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mc:AlternateContent xmlns:mc="http://schemas.openxmlformats.org/markup-compatibility/2006">
    <mc:Choice Requires="x15">
      <x15ac:absPath xmlns:x15ac="http://schemas.microsoft.com/office/spreadsheetml/2010/11/ac" url="/Users/sabazafar/Desktop/"/>
    </mc:Choice>
  </mc:AlternateContent>
  <xr:revisionPtr revIDLastSave="0" documentId="13_ncr:2001_{3F09F6BA-91CC-9F44-893D-A977C14775C1}" xr6:coauthVersionLast="47" xr6:coauthVersionMax="47" xr10:uidLastSave="{00000000-0000-0000-0000-000000000000}"/>
  <bookViews>
    <workbookView xWindow="20" yWindow="500" windowWidth="28100" windowHeight="17500" xr2:uid="{67B5B888-94BE-0E4E-9CD5-FA617D06499A}"/>
  </bookViews>
  <sheets>
    <sheet name="Dashboard" sheetId="5" r:id="rId1"/>
    <sheet name="PivotTables" sheetId="3" r:id="rId2"/>
    <sheet name="Data" sheetId="1" r:id="rId3"/>
    <sheet name="Count of Product" sheetId="2" r:id="rId4"/>
  </sheets>
  <definedNames>
    <definedName name="NativeTimeline_Date">#N/A</definedName>
    <definedName name="Slicer_Category">#N/A</definedName>
    <definedName name="Slicer_Supplier">#N/A</definedName>
    <definedName name="Slicer_Warehouse">#N/A</definedName>
  </definedNames>
  <calcPr calcId="191029"/>
  <pivotCaches>
    <pivotCache cacheId="31" r:id="rId5"/>
    <pivotCache cacheId="30"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 i="1"/>
  <c r="AA5" i="5"/>
  <c r="AA4" i="5"/>
  <c r="AA3" i="5"/>
  <c r="AA2" i="5"/>
  <c r="AA6" i="5" l="1"/>
  <c r="AA7" i="5"/>
</calcChain>
</file>

<file path=xl/sharedStrings.xml><?xml version="1.0" encoding="utf-8"?>
<sst xmlns="http://schemas.openxmlformats.org/spreadsheetml/2006/main" count="10248" uniqueCount="231">
  <si>
    <t>Date</t>
  </si>
  <si>
    <t>Product_ID</t>
  </si>
  <si>
    <t>Product_Name</t>
  </si>
  <si>
    <t>Category</t>
  </si>
  <si>
    <t>Warehouse</t>
  </si>
  <si>
    <t>Opening_Stock</t>
  </si>
  <si>
    <t>Units_Received</t>
  </si>
  <si>
    <t>Units_Sold</t>
  </si>
  <si>
    <t>Closing_Stock</t>
  </si>
  <si>
    <t>Stockout_Flag</t>
  </si>
  <si>
    <t>Lead_Time_Days</t>
  </si>
  <si>
    <t>Supplier</t>
  </si>
  <si>
    <t>Unit_Cost</t>
  </si>
  <si>
    <t>Unit_Price</t>
  </si>
  <si>
    <t>P1008</t>
  </si>
  <si>
    <t>LED Monitor</t>
  </si>
  <si>
    <t>Electronics</t>
  </si>
  <si>
    <t>Tokyo Hub</t>
  </si>
  <si>
    <t>Digital Edge Co.</t>
  </si>
  <si>
    <t>P1009</t>
  </si>
  <si>
    <t>Smartphone Stand</t>
  </si>
  <si>
    <t>Fukuoka Warehouse</t>
  </si>
  <si>
    <t>P1013</t>
  </si>
  <si>
    <t>Wi-Fi Router</t>
  </si>
  <si>
    <t>NextGen Trading</t>
  </si>
  <si>
    <t>P1034</t>
  </si>
  <si>
    <t>Olive Oil 1L</t>
  </si>
  <si>
    <t>Food</t>
  </si>
  <si>
    <t>Nagoya Depot</t>
  </si>
  <si>
    <t>Golden Harvest Supply</t>
  </si>
  <si>
    <t>P1038</t>
  </si>
  <si>
    <t>Chocolate Cookies</t>
  </si>
  <si>
    <t>P1067</t>
  </si>
  <si>
    <t>Sticky Notes</t>
  </si>
  <si>
    <t>Stationery</t>
  </si>
  <si>
    <t>Osaka Central</t>
  </si>
  <si>
    <t>PaperPoint Trading</t>
  </si>
  <si>
    <t>P1074</t>
  </si>
  <si>
    <t>Glue Stick</t>
  </si>
  <si>
    <t>WriteWell Supplies</t>
  </si>
  <si>
    <t>P1076</t>
  </si>
  <si>
    <t>Eraser Pack</t>
  </si>
  <si>
    <t>OfficePro Stationers</t>
  </si>
  <si>
    <t>P1079</t>
  </si>
  <si>
    <t>Correction Tape</t>
  </si>
  <si>
    <t>TechNova Supplies</t>
  </si>
  <si>
    <t>P1030</t>
  </si>
  <si>
    <t>Yoga Leggings</t>
  </si>
  <si>
    <t>Clothing</t>
  </si>
  <si>
    <t>StyleLine Apparel</t>
  </si>
  <si>
    <t>P1049</t>
  </si>
  <si>
    <t>Office Chair</t>
  </si>
  <si>
    <t>Furniture</t>
  </si>
  <si>
    <t>Comfort Living Supply</t>
  </si>
  <si>
    <t>P1059</t>
  </si>
  <si>
    <t>Storage Drawer</t>
  </si>
  <si>
    <t>HomeSpace Furnishings</t>
  </si>
  <si>
    <t>P1063</t>
  </si>
  <si>
    <t>Wooden Bench</t>
  </si>
  <si>
    <t>P1070</t>
  </si>
  <si>
    <t>Paper Clips Box</t>
  </si>
  <si>
    <t>P1026</t>
  </si>
  <si>
    <t>Wool Scarf</t>
  </si>
  <si>
    <t>Prime Garments Ltd.</t>
  </si>
  <si>
    <t>P1045</t>
  </si>
  <si>
    <t>Breakfast Cereal</t>
  </si>
  <si>
    <t>Daily Essentials Co.</t>
  </si>
  <si>
    <t>P1060</t>
  </si>
  <si>
    <t>Folding Table</t>
  </si>
  <si>
    <t>P1069</t>
  </si>
  <si>
    <t>Stapler</t>
  </si>
  <si>
    <t>P1002</t>
  </si>
  <si>
    <t>Mechanical Keyboard</t>
  </si>
  <si>
    <t>P1006</t>
  </si>
  <si>
    <t>Webcam</t>
  </si>
  <si>
    <t>P1025</t>
  </si>
  <si>
    <t>Casual Sneakers</t>
  </si>
  <si>
    <t>UrbanWear Distributors</t>
  </si>
  <si>
    <t>P1043</t>
  </si>
  <si>
    <t>Mineral Water 1.5L</t>
  </si>
  <si>
    <t>FreshMart Foods</t>
  </si>
  <si>
    <t>P1061</t>
  </si>
  <si>
    <t>Recliner Chair</t>
  </si>
  <si>
    <t>OakLine Interiors</t>
  </si>
  <si>
    <t>P1020</t>
  </si>
  <si>
    <t>Polo Shirt</t>
  </si>
  <si>
    <t>P1023</t>
  </si>
  <si>
    <t>Winter Jacket</t>
  </si>
  <si>
    <t>P1065</t>
  </si>
  <si>
    <t>Ballpoint Pen Pack</t>
  </si>
  <si>
    <t>P1027</t>
  </si>
  <si>
    <t>Leather Belt</t>
  </si>
  <si>
    <t>P1033</t>
  </si>
  <si>
    <t>Basmati Rice 5kg</t>
  </si>
  <si>
    <t>P1014</t>
  </si>
  <si>
    <t>Graphic Tablet</t>
  </si>
  <si>
    <t>P1028</t>
  </si>
  <si>
    <t>Ankle Socks</t>
  </si>
  <si>
    <t>P1039</t>
  </si>
  <si>
    <t>Tomato Ketchup</t>
  </si>
  <si>
    <t>P1051</t>
  </si>
  <si>
    <t>Bookshelf</t>
  </si>
  <si>
    <t>P1064</t>
  </si>
  <si>
    <t>Display Shelf</t>
  </si>
  <si>
    <t>P1068</t>
  </si>
  <si>
    <t>Whiteboard Marker</t>
  </si>
  <si>
    <t>P1001</t>
  </si>
  <si>
    <t>Wireless Mouse</t>
  </si>
  <si>
    <t>P1016</t>
  </si>
  <si>
    <t>Mini Projector</t>
  </si>
  <si>
    <t>P1057</t>
  </si>
  <si>
    <t>Bedside Table</t>
  </si>
  <si>
    <t>P1011</t>
  </si>
  <si>
    <t>Laptop Sleeve</t>
  </si>
  <si>
    <t>P1041</t>
  </si>
  <si>
    <t>Pasta 500g</t>
  </si>
  <si>
    <t>P1053</t>
  </si>
  <si>
    <t>Dining Chair</t>
  </si>
  <si>
    <t>P1071</t>
  </si>
  <si>
    <t>Highlighter Set</t>
  </si>
  <si>
    <t>P1012</t>
  </si>
  <si>
    <t>HDMI Cable</t>
  </si>
  <si>
    <t>P1035</t>
  </si>
  <si>
    <t>Green Tea Pack</t>
  </si>
  <si>
    <t>P1054</t>
  </si>
  <si>
    <t>Shoe Rack</t>
  </si>
  <si>
    <t>P1075</t>
  </si>
  <si>
    <t>Mechanical Pencil</t>
  </si>
  <si>
    <t>P1017</t>
  </si>
  <si>
    <t>Cotton T-Shirt</t>
  </si>
  <si>
    <t>P1018</t>
  </si>
  <si>
    <t>Denim Jeans</t>
  </si>
  <si>
    <t>P1010</t>
  </si>
  <si>
    <t>Power Bank</t>
  </si>
  <si>
    <t>P1044</t>
  </si>
  <si>
    <t>Orange Juice</t>
  </si>
  <si>
    <t>P1046</t>
  </si>
  <si>
    <t>Brown Sugar</t>
  </si>
  <si>
    <t>P1077</t>
  </si>
  <si>
    <t>Ring Binder</t>
  </si>
  <si>
    <t>P1055</t>
  </si>
  <si>
    <t>Wardrobe Cabinet</t>
  </si>
  <si>
    <t>P1058</t>
  </si>
  <si>
    <t>Computer Desk</t>
  </si>
  <si>
    <t>P1022</t>
  </si>
  <si>
    <t>Formal Trousers</t>
  </si>
  <si>
    <t>P1024</t>
  </si>
  <si>
    <t>Sports Cap</t>
  </si>
  <si>
    <t>P1047</t>
  </si>
  <si>
    <t>Milk Powder</t>
  </si>
  <si>
    <t>P1056</t>
  </si>
  <si>
    <t>TV Stand</t>
  </si>
  <si>
    <t>P1004</t>
  </si>
  <si>
    <t>Bluetooth Speaker</t>
  </si>
  <si>
    <t>P1032</t>
  </si>
  <si>
    <t>Cardigan Sweater</t>
  </si>
  <si>
    <t>P1037</t>
  </si>
  <si>
    <t>Whole Wheat Flour</t>
  </si>
  <si>
    <t>P1052</t>
  </si>
  <si>
    <t>Coffee Table</t>
  </si>
  <si>
    <t>P1042</t>
  </si>
  <si>
    <t>Canned Tuna</t>
  </si>
  <si>
    <t>P1005</t>
  </si>
  <si>
    <t>Noise Cancelling Headphones</t>
  </si>
  <si>
    <t>P1029</t>
  </si>
  <si>
    <t>Summer Dress</t>
  </si>
  <si>
    <t>P1003</t>
  </si>
  <si>
    <t>USB-C Charger</t>
  </si>
  <si>
    <t>P1078</t>
  </si>
  <si>
    <t>File Folder Set</t>
  </si>
  <si>
    <t>P1019</t>
  </si>
  <si>
    <t>Hooded Sweatshirt</t>
  </si>
  <si>
    <t>P1040</t>
  </si>
  <si>
    <t>Peanut Butter</t>
  </si>
  <si>
    <t>P1062</t>
  </si>
  <si>
    <t>Kitchen Stool</t>
  </si>
  <si>
    <t>P1066</t>
  </si>
  <si>
    <t>A4 Notebook</t>
  </si>
  <si>
    <t>P1007</t>
  </si>
  <si>
    <t>Portable SSD</t>
  </si>
  <si>
    <t>P1072</t>
  </si>
  <si>
    <t>Desk Organizer</t>
  </si>
  <si>
    <t>P1050</t>
  </si>
  <si>
    <t>Study Desk</t>
  </si>
  <si>
    <t>P1015</t>
  </si>
  <si>
    <t>Fitness Tracker</t>
  </si>
  <si>
    <t>P1048</t>
  </si>
  <si>
    <t>Sea Salt</t>
  </si>
  <si>
    <t>P1036</t>
  </si>
  <si>
    <t>Instant Coffee</t>
  </si>
  <si>
    <t>P1031</t>
  </si>
  <si>
    <t>Raincoat</t>
  </si>
  <si>
    <t>P1021</t>
  </si>
  <si>
    <t>Running Shoes</t>
  </si>
  <si>
    <t>P1073</t>
  </si>
  <si>
    <t>Printer Paper Ream</t>
  </si>
  <si>
    <t>P1080</t>
  </si>
  <si>
    <t>Scissors</t>
  </si>
  <si>
    <t>Grand Total</t>
  </si>
  <si>
    <t>Count of Product_Name</t>
  </si>
  <si>
    <t>Year_Month</t>
  </si>
  <si>
    <t>Row Labels</t>
  </si>
  <si>
    <t>Total Units Sold</t>
  </si>
  <si>
    <t>Category-wise Units Sold</t>
  </si>
  <si>
    <t>Warehouse-wise Units Sold</t>
  </si>
  <si>
    <t>Average Lead Time</t>
  </si>
  <si>
    <t>Supplier-wise Average Lead Time</t>
  </si>
  <si>
    <t>Jan</t>
  </si>
  <si>
    <t>Feb</t>
  </si>
  <si>
    <t>Mar</t>
  </si>
  <si>
    <t>Apr</t>
  </si>
  <si>
    <t>May</t>
  </si>
  <si>
    <t>Jun</t>
  </si>
  <si>
    <t>Jul</t>
  </si>
  <si>
    <t>Aug</t>
  </si>
  <si>
    <t>Sep</t>
  </si>
  <si>
    <t>Oct</t>
  </si>
  <si>
    <t>Nov</t>
  </si>
  <si>
    <t>Dec</t>
  </si>
  <si>
    <t>Monthly Units Sold</t>
  </si>
  <si>
    <t>Monthly Units Sold Trend</t>
  </si>
  <si>
    <t>Stockout Count</t>
  </si>
  <si>
    <t>Stockout Count by Category</t>
  </si>
  <si>
    <t>Product-wise Units Sold</t>
  </si>
  <si>
    <t>Avg Opening Stock</t>
  </si>
  <si>
    <t>Avg Closing Stock</t>
  </si>
  <si>
    <t>Stockout Days</t>
  </si>
  <si>
    <t>Lead Time Variance</t>
  </si>
  <si>
    <t>KPI Support Pivot</t>
  </si>
  <si>
    <t>Inventory Turnover</t>
  </si>
  <si>
    <t>Stockout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</si>
</sst>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Red]&quot;¥&quot;#,##0"/>
    <numFmt numFmtId="165" formatCode="yyyy\-mm\-dd"/>
    <numFmt numFmtId="166" formatCode="0.0%"/>
  </numFmts>
  <fonts count="23" x14ac:knownFonts="1">
    <font>
      <sz val="12"/>
      <color theme="1"/>
      <name val="Century Gothic"/>
      <family val="2"/>
      <scheme val="minor"/>
    </font>
    <font>
      <sz val="12"/>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2"/>
      <color rgb="FF006100"/>
      <name val="Century Gothic"/>
      <family val="2"/>
      <scheme val="minor"/>
    </font>
    <font>
      <sz val="12"/>
      <color rgb="FF9C0006"/>
      <name val="Century Gothic"/>
      <family val="2"/>
      <scheme val="minor"/>
    </font>
    <font>
      <sz val="12"/>
      <color rgb="FF9C5700"/>
      <name val="Century Gothic"/>
      <family val="2"/>
      <scheme val="minor"/>
    </font>
    <font>
      <sz val="12"/>
      <color rgb="FF3F3F76"/>
      <name val="Century Gothic"/>
      <family val="2"/>
      <scheme val="minor"/>
    </font>
    <font>
      <b/>
      <sz val="12"/>
      <color rgb="FF3F3F3F"/>
      <name val="Century Gothic"/>
      <family val="2"/>
      <scheme val="minor"/>
    </font>
    <font>
      <b/>
      <sz val="12"/>
      <color rgb="FFFA7D00"/>
      <name val="Century Gothic"/>
      <family val="2"/>
      <scheme val="minor"/>
    </font>
    <font>
      <sz val="12"/>
      <color rgb="FFFA7D00"/>
      <name val="Century Gothic"/>
      <family val="2"/>
      <scheme val="minor"/>
    </font>
    <font>
      <b/>
      <sz val="12"/>
      <color theme="0"/>
      <name val="Century Gothic"/>
      <family val="2"/>
      <scheme val="minor"/>
    </font>
    <font>
      <sz val="12"/>
      <color rgb="FFFF0000"/>
      <name val="Century Gothic"/>
      <family val="2"/>
      <scheme val="minor"/>
    </font>
    <font>
      <i/>
      <sz val="12"/>
      <color rgb="FF7F7F7F"/>
      <name val="Century Gothic"/>
      <family val="2"/>
      <scheme val="minor"/>
    </font>
    <font>
      <b/>
      <sz val="12"/>
      <color theme="1"/>
      <name val="Century Gothic"/>
      <family val="2"/>
      <scheme val="minor"/>
    </font>
    <font>
      <sz val="12"/>
      <color theme="0"/>
      <name val="Century Gothic"/>
      <family val="2"/>
      <scheme val="minor"/>
    </font>
    <font>
      <b/>
      <sz val="14"/>
      <color theme="1"/>
      <name val="Century Gothic"/>
      <scheme val="minor"/>
    </font>
    <font>
      <sz val="12"/>
      <color theme="1"/>
      <name val="Century Gothic"/>
      <scheme val="minor"/>
    </font>
    <font>
      <b/>
      <i/>
      <sz val="11"/>
      <color rgb="FF000000"/>
      <name val="Calibri"/>
      <family val="2"/>
    </font>
    <font>
      <b/>
      <sz val="14"/>
      <color theme="0"/>
      <name val="Century Gothic"/>
      <family val="2"/>
      <scheme val="minor"/>
    </font>
    <font>
      <b/>
      <sz val="12"/>
      <color theme="1"/>
      <name val="Century Gothic"/>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rgb="FFF0F2F5"/>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xf numFmtId="164" fontId="18" fillId="0" borderId="0" xfId="0" applyNumberFormat="1" applyFont="1"/>
    <xf numFmtId="164" fontId="0" fillId="0" borderId="0" xfId="0" applyNumberFormat="1"/>
    <xf numFmtId="0" fontId="18" fillId="0" borderId="0" xfId="0" applyFont="1" applyAlignment="1">
      <alignment horizontal="center"/>
    </xf>
    <xf numFmtId="0" fontId="0" fillId="0" borderId="0" xfId="0" applyAlignment="1">
      <alignment horizontal="center"/>
    </xf>
    <xf numFmtId="0" fontId="19" fillId="0" borderId="0" xfId="0" applyFont="1"/>
    <xf numFmtId="0" fontId="20" fillId="0" borderId="0" xfId="0" quotePrefix="1" applyFont="1" applyAlignment="1">
      <alignment horizontal="left" vertical="center"/>
    </xf>
    <xf numFmtId="0" fontId="0" fillId="0" borderId="0" xfId="0" pivotButton="1"/>
    <xf numFmtId="165" fontId="21" fillId="33" borderId="0" xfId="0" applyNumberFormat="1" applyFont="1" applyFill="1" applyAlignment="1">
      <alignment horizontal="center"/>
    </xf>
    <xf numFmtId="165" fontId="0" fillId="0" borderId="0" xfId="0" applyNumberFormat="1" applyFont="1" applyAlignment="1">
      <alignment horizontal="center"/>
    </xf>
    <xf numFmtId="0" fontId="0" fillId="0" borderId="0" xfId="0" applyFont="1" applyAlignment="1">
      <alignment horizontal="center"/>
    </xf>
    <xf numFmtId="0" fontId="0" fillId="0" borderId="0" xfId="0" applyAlignment="1">
      <alignment horizontal="left"/>
    </xf>
    <xf numFmtId="0" fontId="0" fillId="0" borderId="0" xfId="0" applyNumberFormat="1"/>
    <xf numFmtId="0" fontId="22" fillId="0" borderId="0" xfId="0" applyFont="1"/>
    <xf numFmtId="0" fontId="0" fillId="34" borderId="0" xfId="0" applyFill="1"/>
    <xf numFmtId="3" fontId="0" fillId="34" borderId="0" xfId="0" applyNumberFormat="1" applyFill="1"/>
    <xf numFmtId="166" fontId="0" fillId="34" borderId="0" xfId="0" applyNumberFormat="1" applyFill="1"/>
    <xf numFmtId="2" fontId="0" fillId="34" borderId="0" xfId="0" applyNumberFormat="1" applyFill="1"/>
    <xf numFmtId="0" fontId="0" fillId="35" borderId="0" xfId="0" applyFill="1"/>
    <xf numFmtId="14" fontId="18" fillId="0" borderId="0" xfId="0" applyNumberFormat="1" applyFon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yyyy/mm/dd"/>
    </dxf>
    <dxf>
      <numFmt numFmtId="164" formatCode="&quot;¥&quot;#,##0;[Red]&quot;¥&quot;#,##0"/>
    </dxf>
    <dxf>
      <numFmt numFmtId="164" formatCode="&quot;¥&quot;#,##0;[Red]&quot;¥&quot;#,##0"/>
    </dxf>
    <dxf>
      <alignment horizontal="center" vertical="bottom" textRotation="0" wrapText="0" indent="0" justifyLastLine="0" shrinkToFit="0" readingOrder="0"/>
    </dxf>
    <dxf>
      <font>
        <b/>
        <i val="0"/>
        <strike val="0"/>
        <condense val="0"/>
        <extend val="0"/>
        <outline val="0"/>
        <shadow val="0"/>
        <u val="none"/>
        <vertAlign val="baseline"/>
        <sz val="14"/>
        <color theme="1"/>
        <name val="Century Gothic"/>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[INVENTORY_RECORD.xlsx]PivotTables!PT_CategorySales</c:name>
    <c:fmtId val="2"/>
  </c:pivotSource>
  <c:chart>
    <c:title>
      <c:tx>
        <c:rich>
          <a:bodyPr/>
          <a:lstStyle/>
          <a:p>
            <a:pPr>
              <a:defRPr/>
            </a:pPr>
            <a:r>
              <a:rPr lang="en-US"/>
              <a:t>Units Sold by Category</a:t>
            </a:r>
          </a:p>
        </c:rich>
      </c:tx>
      <c:overlay val="0"/>
    </c:title>
    <c:autoTitleDeleted val="0"/>
    <c:pivotFmts>
      <c:pivotFmt>
        <c:idx val="0"/>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PivotTables!$B$3</c:f>
              <c:strCache>
                <c:ptCount val="1"/>
                <c:pt idx="0">
                  <c:v>Total</c:v>
                </c:pt>
              </c:strCache>
            </c:strRef>
          </c:tx>
          <c:invertIfNegative val="0"/>
          <c:cat>
            <c:strRef>
              <c:f>PivotTables!$A$4:$A$9</c:f>
              <c:strCache>
                <c:ptCount val="5"/>
                <c:pt idx="0">
                  <c:v>Clothing</c:v>
                </c:pt>
                <c:pt idx="1">
                  <c:v>Electronics</c:v>
                </c:pt>
                <c:pt idx="2">
                  <c:v>Food</c:v>
                </c:pt>
                <c:pt idx="3">
                  <c:v>Furniture</c:v>
                </c:pt>
                <c:pt idx="4">
                  <c:v>Stationery</c:v>
                </c:pt>
              </c:strCache>
            </c:strRef>
          </c:cat>
          <c:val>
            <c:numRef>
              <c:f>PivotTables!$B$4:$B$9</c:f>
              <c:numCache>
                <c:formatCode>General</c:formatCode>
                <c:ptCount val="5"/>
                <c:pt idx="0">
                  <c:v>30421</c:v>
                </c:pt>
                <c:pt idx="1">
                  <c:v>17616</c:v>
                </c:pt>
                <c:pt idx="2">
                  <c:v>48709</c:v>
                </c:pt>
                <c:pt idx="3">
                  <c:v>4386</c:v>
                </c:pt>
                <c:pt idx="4">
                  <c:v>34892</c:v>
                </c:pt>
              </c:numCache>
            </c:numRef>
          </c:val>
          <c:extLst>
            <c:ext xmlns:c16="http://schemas.microsoft.com/office/drawing/2014/chart" uri="{C3380CC4-5D6E-409C-BE32-E72D297353CC}">
              <c16:uniqueId val="{00000000-02DA-3344-9116-37380E5FE0D2}"/>
            </c:ext>
          </c:extLst>
        </c:ser>
        <c:dLbls>
          <c:showLegendKey val="0"/>
          <c:showVal val="0"/>
          <c:showCatName val="0"/>
          <c:showSerName val="0"/>
          <c:showPercent val="0"/>
          <c:showBubbleSize val="0"/>
        </c:dLbls>
        <c:gapWidth val="150"/>
        <c:axId val="952295552"/>
        <c:axId val="952297264"/>
      </c:barChart>
      <c:catAx>
        <c:axId val="952295552"/>
        <c:scaling>
          <c:orientation val="minMax"/>
        </c:scaling>
        <c:delete val="0"/>
        <c:axPos val="l"/>
        <c:numFmt formatCode="General" sourceLinked="1"/>
        <c:majorTickMark val="out"/>
        <c:minorTickMark val="none"/>
        <c:tickLblPos val="nextTo"/>
        <c:crossAx val="952297264"/>
        <c:crosses val="autoZero"/>
        <c:auto val="1"/>
        <c:lblAlgn val="ctr"/>
        <c:lblOffset val="100"/>
        <c:noMultiLvlLbl val="0"/>
      </c:catAx>
      <c:valAx>
        <c:axId val="952297264"/>
        <c:scaling>
          <c:orientation val="minMax"/>
        </c:scaling>
        <c:delete val="0"/>
        <c:axPos val="b"/>
        <c:majorGridlines/>
        <c:numFmt formatCode="General" sourceLinked="1"/>
        <c:majorTickMark val="out"/>
        <c:minorTickMark val="none"/>
        <c:tickLblPos val="nextTo"/>
        <c:crossAx val="952295552"/>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noFill/>
    </a:ln>
    <a:effectLst>
      <a:softEdge rad="12700"/>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[INVENTORY_RECORD.xlsx]PivotTables!PT_MonthlyTrend</c:name>
    <c:fmtId val="2"/>
  </c:pivotSource>
  <c:chart>
    <c:title>
      <c:tx>
        <c:rich>
          <a:bodyPr/>
          <a:lstStyle/>
          <a:p>
            <a:pPr>
              <a:defRPr/>
            </a:pPr>
            <a:r>
              <a:rPr lang="en-US"/>
              <a:t>Monthly Units Sold Trend</a:t>
            </a:r>
          </a:p>
        </c:rich>
      </c:tx>
      <c:overlay val="0"/>
    </c:title>
    <c:autoTitleDeleted val="0"/>
    <c:pivotFmts>
      <c:pivotFmt>
        <c:idx val="0"/>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PivotTables!$N$3</c:f>
              <c:strCache>
                <c:ptCount val="1"/>
                <c:pt idx="0">
                  <c:v>Total</c:v>
                </c:pt>
              </c:strCache>
            </c:strRef>
          </c:tx>
          <c:cat>
            <c:strRef>
              <c:f>PivotTables!$M$4:$M$16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PivotTables!$N$4:$N$16</c:f>
              <c:numCache>
                <c:formatCode>General</c:formatCode>
                <c:ptCount val="12"/>
                <c:pt idx="0">
                  <c:v>11683</c:v>
                </c:pt>
                <c:pt idx="1">
                  <c:v>9855</c:v>
                </c:pt>
                <c:pt idx="2">
                  <c:v>9690</c:v>
                </c:pt>
                <c:pt idx="3">
                  <c:v>11261</c:v>
                </c:pt>
                <c:pt idx="4">
                  <c:v>11772</c:v>
                </c:pt>
                <c:pt idx="5">
                  <c:v>11758</c:v>
                </c:pt>
                <c:pt idx="6">
                  <c:v>11498</c:v>
                </c:pt>
                <c:pt idx="7">
                  <c:v>12978</c:v>
                </c:pt>
                <c:pt idx="8">
                  <c:v>11124</c:v>
                </c:pt>
                <c:pt idx="9">
                  <c:v>12382</c:v>
                </c:pt>
                <c:pt idx="10">
                  <c:v>11228</c:v>
                </c:pt>
                <c:pt idx="11">
                  <c:v>10795</c:v>
                </c:pt>
              </c:numCache>
            </c:numRef>
          </c:val>
          <c:smooth val="0"/>
          <c:extLst>
            <c:ext xmlns:c16="http://schemas.microsoft.com/office/drawing/2014/chart" uri="{C3380CC4-5D6E-409C-BE32-E72D297353CC}">
              <c16:uniqueId val="{00000000-252C-DB44-B2DC-9AA0A05BDF38}"/>
            </c:ext>
          </c:extLst>
        </c:ser>
        <c:dLbls>
          <c:showLegendKey val="0"/>
          <c:showVal val="0"/>
          <c:showCatName val="0"/>
          <c:showSerName val="0"/>
          <c:showPercent val="0"/>
          <c:showBubbleSize val="0"/>
        </c:dLbls>
        <c:marker val="1"/>
        <c:smooth val="0"/>
        <c:axId val="952612032"/>
        <c:axId val="952356656"/>
      </c:lineChart>
      <c:catAx>
        <c:axId val="952612032"/>
        <c:scaling>
          <c:orientation val="minMax"/>
        </c:scaling>
        <c:delete val="0"/>
        <c:axPos val="b"/>
        <c:numFmt formatCode="General" sourceLinked="1"/>
        <c:majorTickMark val="out"/>
        <c:minorTickMark val="none"/>
        <c:tickLblPos val="nextTo"/>
        <c:txPr>
          <a:bodyPr/>
          <a:lstStyle/>
          <a:p>
            <a:pPr>
              <a:defRPr sz="900"/>
            </a:pPr>
            <a:endParaRPr lang="en-JP"/>
          </a:p>
        </c:txPr>
        <c:crossAx val="952356656"/>
        <c:crosses val="autoZero"/>
        <c:auto val="1"/>
        <c:lblAlgn val="ctr"/>
        <c:lblOffset val="100"/>
        <c:noMultiLvlLbl val="0"/>
      </c:catAx>
      <c:valAx>
        <c:axId val="952356656"/>
        <c:scaling>
          <c:orientation val="minMax"/>
        </c:scaling>
        <c:delete val="0"/>
        <c:axPos val="l"/>
        <c:majorGridlines/>
        <c:numFmt formatCode="General" sourceLinked="1"/>
        <c:majorTickMark val="out"/>
        <c:minorTickMark val="none"/>
        <c:tickLblPos val="nextTo"/>
        <c:txPr>
          <a:bodyPr/>
          <a:lstStyle/>
          <a:p>
            <a:pPr>
              <a:defRPr sz="900"/>
            </a:pPr>
            <a:endParaRPr lang="en-JP"/>
          </a:p>
        </c:txPr>
        <c:crossAx val="952612032"/>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[INVENTORY_RECORD.xlsx]PivotTables!PT_WarehouseSales</c:name>
    <c:fmtId val="2"/>
  </c:pivotSource>
  <c:chart>
    <c:title>
      <c:tx>
        <c:rich>
          <a:bodyPr/>
          <a:lstStyle/>
          <a:p>
            <a:pPr>
              <a:defRPr/>
            </a:pPr>
            <a:r>
              <a:rPr lang="en-US"/>
              <a:t>Units Sold by Warehouse</a:t>
            </a:r>
          </a:p>
        </c:rich>
      </c:tx>
      <c:layout>
        <c:manualLayout>
          <c:xMode val="edge"/>
          <c:yMode val="edge"/>
          <c:x val="0.14467788117394417"/>
          <c:y val="2.7027027027027029E-2"/>
        </c:manualLayout>
      </c:layout>
      <c:overlay val="0"/>
      <c:spPr>
        <a:ln>
          <a:noFill/>
        </a:ln>
      </c:spPr>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PivotTables!$F$3</c:f>
              <c:strCache>
                <c:ptCount val="1"/>
                <c:pt idx="0">
                  <c:v>Total</c:v>
                </c:pt>
              </c:strCache>
            </c:strRef>
          </c:tx>
          <c:invertIfNegative val="0"/>
          <c:cat>
            <c:strRef>
              <c:f>PivotTables!$E$4:$E$8</c:f>
              <c:strCache>
                <c:ptCount val="4"/>
                <c:pt idx="0">
                  <c:v>Fukuoka Warehouse</c:v>
                </c:pt>
                <c:pt idx="1">
                  <c:v>Nagoya Depot</c:v>
                </c:pt>
                <c:pt idx="2">
                  <c:v>Osaka Central</c:v>
                </c:pt>
                <c:pt idx="3">
                  <c:v>Tokyo Hub</c:v>
                </c:pt>
              </c:strCache>
            </c:strRef>
          </c:cat>
          <c:val>
            <c:numRef>
              <c:f>PivotTables!$F$4:$F$8</c:f>
              <c:numCache>
                <c:formatCode>General</c:formatCode>
                <c:ptCount val="4"/>
                <c:pt idx="0">
                  <c:v>34538</c:v>
                </c:pt>
                <c:pt idx="1">
                  <c:v>35097</c:v>
                </c:pt>
                <c:pt idx="2">
                  <c:v>33787</c:v>
                </c:pt>
                <c:pt idx="3">
                  <c:v>32602</c:v>
                </c:pt>
              </c:numCache>
            </c:numRef>
          </c:val>
          <c:extLst>
            <c:ext xmlns:c16="http://schemas.microsoft.com/office/drawing/2014/chart" uri="{C3380CC4-5D6E-409C-BE32-E72D297353CC}">
              <c16:uniqueId val="{00000000-D3E4-2249-890B-B9EF9A3AE135}"/>
            </c:ext>
          </c:extLst>
        </c:ser>
        <c:dLbls>
          <c:showLegendKey val="0"/>
          <c:showVal val="0"/>
          <c:showCatName val="0"/>
          <c:showSerName val="0"/>
          <c:showPercent val="0"/>
          <c:showBubbleSize val="0"/>
        </c:dLbls>
        <c:gapWidth val="150"/>
        <c:axId val="952463296"/>
        <c:axId val="952531264"/>
      </c:barChart>
      <c:catAx>
        <c:axId val="952463296"/>
        <c:scaling>
          <c:orientation val="minMax"/>
        </c:scaling>
        <c:delete val="0"/>
        <c:axPos val="b"/>
        <c:numFmt formatCode="General" sourceLinked="1"/>
        <c:majorTickMark val="out"/>
        <c:minorTickMark val="none"/>
        <c:tickLblPos val="nextTo"/>
        <c:crossAx val="952531264"/>
        <c:crosses val="autoZero"/>
        <c:auto val="1"/>
        <c:lblAlgn val="ctr"/>
        <c:lblOffset val="100"/>
        <c:noMultiLvlLbl val="0"/>
      </c:catAx>
      <c:valAx>
        <c:axId val="952531264"/>
        <c:scaling>
          <c:orientation val="minMax"/>
        </c:scaling>
        <c:delete val="0"/>
        <c:axPos val="l"/>
        <c:majorGridlines/>
        <c:numFmt formatCode="General" sourceLinked="1"/>
        <c:majorTickMark val="out"/>
        <c:minorTickMark val="none"/>
        <c:tickLblPos val="nextTo"/>
        <c:crossAx val="952463296"/>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[INVENTORY_RECORD.xlsx]PivotTables!PT_StockoutCategory</c:name>
    <c:fmtId val="2"/>
  </c:pivotSource>
  <c:chart>
    <c:title>
      <c:tx>
        <c:rich>
          <a:bodyPr/>
          <a:lstStyle/>
          <a:p>
            <a:pPr>
              <a:defRPr/>
            </a:pPr>
            <a:r>
              <a:rPr lang="en-US"/>
              <a:t>Stockout Count by Category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PivotTables!$R$3</c:f>
              <c:strCache>
                <c:ptCount val="1"/>
                <c:pt idx="0">
                  <c:v>Total</c:v>
                </c:pt>
              </c:strCache>
            </c:strRef>
          </c:tx>
          <c:invertIfNegative val="0"/>
          <c:cat>
            <c:strRef>
              <c:f>PivotTables!$Q$4:$Q$9</c:f>
              <c:strCache>
                <c:ptCount val="5"/>
                <c:pt idx="0">
                  <c:v>Clothing</c:v>
                </c:pt>
                <c:pt idx="1">
                  <c:v>Electronics</c:v>
                </c:pt>
                <c:pt idx="2">
                  <c:v>Food</c:v>
                </c:pt>
                <c:pt idx="3">
                  <c:v>Furniture</c:v>
                </c:pt>
                <c:pt idx="4">
                  <c:v>Stationery</c:v>
                </c:pt>
              </c:strCache>
            </c:strRef>
          </c:cat>
          <c:val>
            <c:numRef>
              <c:f>PivotTables!$R$4:$R$9</c:f>
              <c:numCache>
                <c:formatCode>General</c:formatCode>
                <c:ptCount val="5"/>
                <c:pt idx="0">
                  <c:v>7</c:v>
                </c:pt>
                <c:pt idx="1">
                  <c:v>8</c:v>
                </c:pt>
                <c:pt idx="2">
                  <c:v>3</c:v>
                </c:pt>
                <c:pt idx="3">
                  <c:v>0</c:v>
                </c:pt>
                <c:pt idx="4">
                  <c:v>4</c:v>
                </c:pt>
              </c:numCache>
            </c:numRef>
          </c:val>
          <c:extLst>
            <c:ext xmlns:c16="http://schemas.microsoft.com/office/drawing/2014/chart" uri="{C3380CC4-5D6E-409C-BE32-E72D297353CC}">
              <c16:uniqueId val="{00000000-305C-9748-87CF-1488599DDB72}"/>
            </c:ext>
          </c:extLst>
        </c:ser>
        <c:dLbls>
          <c:showLegendKey val="0"/>
          <c:showVal val="0"/>
          <c:showCatName val="0"/>
          <c:showSerName val="0"/>
          <c:showPercent val="0"/>
          <c:showBubbleSize val="0"/>
        </c:dLbls>
        <c:gapWidth val="150"/>
        <c:axId val="952988976"/>
        <c:axId val="952190112"/>
      </c:barChart>
      <c:catAx>
        <c:axId val="952988976"/>
        <c:scaling>
          <c:orientation val="minMax"/>
        </c:scaling>
        <c:delete val="0"/>
        <c:axPos val="b"/>
        <c:numFmt formatCode="General" sourceLinked="1"/>
        <c:majorTickMark val="out"/>
        <c:minorTickMark val="none"/>
        <c:tickLblPos val="nextTo"/>
        <c:crossAx val="952190112"/>
        <c:crosses val="autoZero"/>
        <c:auto val="1"/>
        <c:lblAlgn val="ctr"/>
        <c:lblOffset val="100"/>
        <c:noMultiLvlLbl val="0"/>
      </c:catAx>
      <c:valAx>
        <c:axId val="952190112"/>
        <c:scaling>
          <c:orientation val="minMax"/>
        </c:scaling>
        <c:delete val="0"/>
        <c:axPos val="l"/>
        <c:majorGridlines/>
        <c:numFmt formatCode="General" sourceLinked="1"/>
        <c:majorTickMark val="out"/>
        <c:minorTickMark val="none"/>
        <c:tickLblPos val="nextTo"/>
        <c:crossAx val="952988976"/>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cap="rnd">
      <a:noFill/>
      <a:prstDash val="sysDot"/>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[INVENTORY_RECORD.xlsx]PivotTables!PT_SupplierLeadTime</c:name>
    <c:fmtId val="2"/>
  </c:pivotSource>
  <c:chart>
    <c:title>
      <c:tx>
        <c:rich>
          <a:bodyPr/>
          <a:lstStyle/>
          <a:p>
            <a:pPr>
              <a:defRPr/>
            </a:pPr>
            <a:r>
              <a:rPr lang="en-US"/>
              <a:t>Average Lead Time by Supplier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PivotTables!$J$3</c:f>
              <c:strCache>
                <c:ptCount val="1"/>
                <c:pt idx="0">
                  <c:v>Total</c:v>
                </c:pt>
              </c:strCache>
            </c:strRef>
          </c:tx>
          <c:invertIfNegative val="0"/>
          <c:cat>
            <c:strRef>
              <c:f>PivotTables!$I$4:$I$12</c:f>
              <c:strCache>
                <c:ptCount val="8"/>
                <c:pt idx="0">
                  <c:v>Comfort Living Supply</c:v>
                </c:pt>
                <c:pt idx="1">
                  <c:v>Digital Edge Co.</c:v>
                </c:pt>
                <c:pt idx="2">
                  <c:v>OakLine Interiors</c:v>
                </c:pt>
                <c:pt idx="3">
                  <c:v>PaperPoint Trading</c:v>
                </c:pt>
                <c:pt idx="4">
                  <c:v>Prime Garments Ltd.</c:v>
                </c:pt>
                <c:pt idx="5">
                  <c:v>StyleLine Apparel</c:v>
                </c:pt>
                <c:pt idx="6">
                  <c:v>TechNova Supplies</c:v>
                </c:pt>
                <c:pt idx="7">
                  <c:v>UrbanWear Distributors</c:v>
                </c:pt>
              </c:strCache>
            </c:strRef>
          </c:cat>
          <c:val>
            <c:numRef>
              <c:f>PivotTables!$J$4:$J$12</c:f>
              <c:numCache>
                <c:formatCode>General</c:formatCode>
                <c:ptCount val="8"/>
                <c:pt idx="0">
                  <c:v>8.348684210526315</c:v>
                </c:pt>
                <c:pt idx="1">
                  <c:v>7.9580419580419584</c:v>
                </c:pt>
                <c:pt idx="2">
                  <c:v>8.2686567164179099</c:v>
                </c:pt>
                <c:pt idx="3">
                  <c:v>8.238532110091743</c:v>
                </c:pt>
                <c:pt idx="4">
                  <c:v>8.3538461538461544</c:v>
                </c:pt>
                <c:pt idx="5">
                  <c:v>8.183098591549296</c:v>
                </c:pt>
                <c:pt idx="6">
                  <c:v>8.0149253731343286</c:v>
                </c:pt>
                <c:pt idx="7">
                  <c:v>8.1578947368421044</c:v>
                </c:pt>
              </c:numCache>
            </c:numRef>
          </c:val>
          <c:extLst>
            <c:ext xmlns:c16="http://schemas.microsoft.com/office/drawing/2014/chart" uri="{C3380CC4-5D6E-409C-BE32-E72D297353CC}">
              <c16:uniqueId val="{00000000-6D68-9E43-8AED-EAAAC8DD4987}"/>
            </c:ext>
          </c:extLst>
        </c:ser>
        <c:dLbls>
          <c:showLegendKey val="0"/>
          <c:showVal val="0"/>
          <c:showCatName val="0"/>
          <c:showSerName val="0"/>
          <c:showPercent val="0"/>
          <c:showBubbleSize val="0"/>
        </c:dLbls>
        <c:gapWidth val="150"/>
        <c:axId val="952526080"/>
        <c:axId val="952133104"/>
      </c:barChart>
      <c:catAx>
        <c:axId val="952526080"/>
        <c:scaling>
          <c:orientation val="minMax"/>
        </c:scaling>
        <c:delete val="0"/>
        <c:axPos val="b"/>
        <c:numFmt formatCode="General" sourceLinked="1"/>
        <c:majorTickMark val="out"/>
        <c:minorTickMark val="none"/>
        <c:tickLblPos val="nextTo"/>
        <c:crossAx val="952133104"/>
        <c:crosses val="autoZero"/>
        <c:auto val="1"/>
        <c:lblAlgn val="ctr"/>
        <c:lblOffset val="100"/>
        <c:noMultiLvlLbl val="0"/>
      </c:catAx>
      <c:valAx>
        <c:axId val="952133104"/>
        <c:scaling>
          <c:orientation val="minMax"/>
        </c:scaling>
        <c:delete val="0"/>
        <c:axPos val="l"/>
        <c:majorGridlines/>
        <c:numFmt formatCode="General" sourceLinked="1"/>
        <c:majorTickMark val="out"/>
        <c:minorTickMark val="none"/>
        <c:tickLblPos val="nextTo"/>
        <c:crossAx val="952526080"/>
        <c:crosses val="autoZero"/>
        <c:crossBetween val="between"/>
      </c:valAx>
      <c:spPr>
        <a:solidFill>
          <a:srgbClr val="FFFF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46038"/>
      </a:schemeClr>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203200</xdr:colOff>
      <xdr:row>4</xdr:row>
      <xdr:rowOff>114299</xdr:rowOff>
    </xdr:from>
    <xdr:to>
      <xdr:col>20</xdr:col>
      <xdr:colOff>0</xdr:colOff>
      <xdr:row>54</xdr:row>
      <xdr:rowOff>101600</xdr:rowOff>
    </xdr:to>
    <xdr:sp macro="" textlink="">
      <xdr:nvSpPr>
        <xdr:cNvPr id="34" name="Rounded Rectangle 33">
          <a:extLst>
            <a:ext uri="{FF2B5EF4-FFF2-40B4-BE49-F238E27FC236}">
              <a16:creationId xmlns:a16="http://schemas.microsoft.com/office/drawing/2014/main" id="{A973CCE2-8E1F-F04E-953D-C4203A7CB9DC}"/>
            </a:ext>
          </a:extLst>
        </xdr:cNvPr>
        <xdr:cNvSpPr/>
      </xdr:nvSpPr>
      <xdr:spPr>
        <a:xfrm>
          <a:off x="16541578" y="938083"/>
          <a:ext cx="2680044" cy="10284598"/>
        </a:xfrm>
        <a:prstGeom prst="roundRect">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FF"/>
              </a:solidFill>
            </a:rPr>
            <a:t>Key Insights</a:t>
          </a:r>
        </a:p>
      </xdr:txBody>
    </xdr:sp>
    <xdr:clientData/>
  </xdr:twoCellAnchor>
  <xdr:twoCellAnchor>
    <xdr:from>
      <xdr:col>0</xdr:col>
      <xdr:colOff>381000</xdr:colOff>
      <xdr:row>0</xdr:row>
      <xdr:rowOff>1</xdr:rowOff>
    </xdr:from>
    <xdr:to>
      <xdr:col>19</xdr:col>
      <xdr:colOff>736600</xdr:colOff>
      <xdr:row>4</xdr:row>
      <xdr:rowOff>84667</xdr:rowOff>
    </xdr:to>
    <xdr:sp macro="" textlink="">
      <xdr:nvSpPr>
        <xdr:cNvPr id="2" name="Rounded Rectangle 1">
          <a:extLst>
            <a:ext uri="{FF2B5EF4-FFF2-40B4-BE49-F238E27FC236}">
              <a16:creationId xmlns:a16="http://schemas.microsoft.com/office/drawing/2014/main" id="{EE7CEADF-80C9-9707-CDFF-8C8269300F51}"/>
            </a:ext>
          </a:extLst>
        </xdr:cNvPr>
        <xdr:cNvSpPr/>
      </xdr:nvSpPr>
      <xdr:spPr>
        <a:xfrm>
          <a:off x="381000" y="1"/>
          <a:ext cx="18372667" cy="897466"/>
        </a:xfrm>
        <a:prstGeom prst="roundRect">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bg1"/>
              </a:solidFill>
            </a:rPr>
            <a:t>Inventory Management Dashboard</a:t>
          </a:r>
        </a:p>
      </xdr:txBody>
    </xdr:sp>
    <xdr:clientData/>
  </xdr:twoCellAnchor>
  <xdr:twoCellAnchor>
    <xdr:from>
      <xdr:col>0</xdr:col>
      <xdr:colOff>254000</xdr:colOff>
      <xdr:row>4</xdr:row>
      <xdr:rowOff>118533</xdr:rowOff>
    </xdr:from>
    <xdr:to>
      <xdr:col>2</xdr:col>
      <xdr:colOff>774700</xdr:colOff>
      <xdr:row>54</xdr:row>
      <xdr:rowOff>67733</xdr:rowOff>
    </xdr:to>
    <xdr:sp macro="" textlink="">
      <xdr:nvSpPr>
        <xdr:cNvPr id="3" name="Rounded Rectangle 2">
          <a:extLst>
            <a:ext uri="{FF2B5EF4-FFF2-40B4-BE49-F238E27FC236}">
              <a16:creationId xmlns:a16="http://schemas.microsoft.com/office/drawing/2014/main" id="{8D8455D7-1153-74A0-15F8-7C0937FD6018}"/>
            </a:ext>
          </a:extLst>
        </xdr:cNvPr>
        <xdr:cNvSpPr/>
      </xdr:nvSpPr>
      <xdr:spPr>
        <a:xfrm>
          <a:off x="254000" y="931333"/>
          <a:ext cx="2180167" cy="10109200"/>
        </a:xfrm>
        <a:prstGeom prst="roundRect">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FFFFFF"/>
              </a:solidFill>
            </a:rPr>
            <a:t>Filters</a:t>
          </a:r>
        </a:p>
      </xdr:txBody>
    </xdr:sp>
    <xdr:clientData/>
  </xdr:twoCellAnchor>
  <xdr:twoCellAnchor>
    <xdr:from>
      <xdr:col>3</xdr:col>
      <xdr:colOff>63500</xdr:colOff>
      <xdr:row>10</xdr:row>
      <xdr:rowOff>127000</xdr:rowOff>
    </xdr:from>
    <xdr:to>
      <xdr:col>11</xdr:col>
      <xdr:colOff>444500</xdr:colOff>
      <xdr:row>26</xdr:row>
      <xdr:rowOff>50800</xdr:rowOff>
    </xdr:to>
    <xdr:sp macro="" textlink="">
      <xdr:nvSpPr>
        <xdr:cNvPr id="8" name="Rounded Rectangle 7">
          <a:extLst>
            <a:ext uri="{FF2B5EF4-FFF2-40B4-BE49-F238E27FC236}">
              <a16:creationId xmlns:a16="http://schemas.microsoft.com/office/drawing/2014/main" id="{B39E161D-7D3C-81A8-BB77-7854E7DFB5A3}"/>
            </a:ext>
          </a:extLst>
        </xdr:cNvPr>
        <xdr:cNvSpPr/>
      </xdr:nvSpPr>
      <xdr:spPr>
        <a:xfrm>
          <a:off x="2540000" y="2159000"/>
          <a:ext cx="6985000" cy="3175000"/>
        </a:xfrm>
        <a:prstGeom prst="roundRect">
          <a:avLst/>
        </a:prstGeom>
        <a:solidFill>
          <a:srgbClr val="FFFFFF"/>
        </a:solidFill>
        <a:ln>
          <a:solidFill>
            <a:srgbClr val="C8C8C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 / Stock Trend</a:t>
          </a:r>
        </a:p>
      </xdr:txBody>
    </xdr:sp>
    <xdr:clientData/>
  </xdr:twoCellAnchor>
  <xdr:twoCellAnchor>
    <xdr:from>
      <xdr:col>11</xdr:col>
      <xdr:colOff>595803</xdr:colOff>
      <xdr:row>10</xdr:row>
      <xdr:rowOff>127000</xdr:rowOff>
    </xdr:from>
    <xdr:to>
      <xdr:col>17</xdr:col>
      <xdr:colOff>25400</xdr:colOff>
      <xdr:row>26</xdr:row>
      <xdr:rowOff>50800</xdr:rowOff>
    </xdr:to>
    <xdr:sp macro="" textlink="">
      <xdr:nvSpPr>
        <xdr:cNvPr id="9" name="Rounded Rectangle 8">
          <a:extLst>
            <a:ext uri="{FF2B5EF4-FFF2-40B4-BE49-F238E27FC236}">
              <a16:creationId xmlns:a16="http://schemas.microsoft.com/office/drawing/2014/main" id="{FA23D5E1-B8E3-738B-58BE-6F2E4B3B5E2B}"/>
            </a:ext>
          </a:extLst>
        </xdr:cNvPr>
        <xdr:cNvSpPr/>
      </xdr:nvSpPr>
      <xdr:spPr>
        <a:xfrm>
          <a:off x="9736667" y="2165272"/>
          <a:ext cx="4415523" cy="3185034"/>
        </a:xfrm>
        <a:prstGeom prst="roundRect">
          <a:avLst/>
        </a:prstGeom>
        <a:solidFill>
          <a:srgbClr val="FFFFFF"/>
        </a:solidFill>
        <a:ln>
          <a:solidFill>
            <a:srgbClr val="C8C8C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Stock by Category</a:t>
          </a:r>
        </a:p>
      </xdr:txBody>
    </xdr:sp>
    <xdr:clientData/>
  </xdr:twoCellAnchor>
  <xdr:twoCellAnchor>
    <xdr:from>
      <xdr:col>3</xdr:col>
      <xdr:colOff>63501</xdr:colOff>
      <xdr:row>27</xdr:row>
      <xdr:rowOff>101600</xdr:rowOff>
    </xdr:from>
    <xdr:to>
      <xdr:col>7</xdr:col>
      <xdr:colOff>617838</xdr:colOff>
      <xdr:row>43</xdr:row>
      <xdr:rowOff>114300</xdr:rowOff>
    </xdr:to>
    <xdr:sp macro="" textlink="">
      <xdr:nvSpPr>
        <xdr:cNvPr id="10" name="Rounded Rectangle 9">
          <a:extLst>
            <a:ext uri="{FF2B5EF4-FFF2-40B4-BE49-F238E27FC236}">
              <a16:creationId xmlns:a16="http://schemas.microsoft.com/office/drawing/2014/main" id="{1DD5FEFE-C1DF-40EC-BB15-457A25CCE163}"/>
            </a:ext>
          </a:extLst>
        </xdr:cNvPr>
        <xdr:cNvSpPr/>
      </xdr:nvSpPr>
      <xdr:spPr>
        <a:xfrm>
          <a:off x="2946744" y="5662141"/>
          <a:ext cx="4398662" cy="3307835"/>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Days Inventory Outstanding</a:t>
          </a:r>
        </a:p>
      </xdr:txBody>
    </xdr:sp>
    <xdr:clientData/>
  </xdr:twoCellAnchor>
  <xdr:twoCellAnchor>
    <xdr:from>
      <xdr:col>12</xdr:col>
      <xdr:colOff>446215</xdr:colOff>
      <xdr:row>27</xdr:row>
      <xdr:rowOff>101600</xdr:rowOff>
    </xdr:from>
    <xdr:to>
      <xdr:col>17</xdr:col>
      <xdr:colOff>76199</xdr:colOff>
      <xdr:row>43</xdr:row>
      <xdr:rowOff>102973</xdr:rowOff>
    </xdr:to>
    <xdr:sp macro="" textlink="">
      <xdr:nvSpPr>
        <xdr:cNvPr id="12" name="Rounded Rectangle 11">
          <a:extLst>
            <a:ext uri="{FF2B5EF4-FFF2-40B4-BE49-F238E27FC236}">
              <a16:creationId xmlns:a16="http://schemas.microsoft.com/office/drawing/2014/main" id="{78B6A452-4A28-AE77-29EB-EAD810FBB781}"/>
            </a:ext>
          </a:extLst>
        </xdr:cNvPr>
        <xdr:cNvSpPr/>
      </xdr:nvSpPr>
      <xdr:spPr>
        <a:xfrm>
          <a:off x="11979188" y="5662141"/>
          <a:ext cx="4435389" cy="329650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Write-Off Trend</a:t>
          </a:r>
        </a:p>
      </xdr:txBody>
    </xdr:sp>
    <xdr:clientData/>
  </xdr:twoCellAnchor>
  <xdr:twoCellAnchor>
    <xdr:from>
      <xdr:col>7</xdr:col>
      <xdr:colOff>772297</xdr:colOff>
      <xdr:row>27</xdr:row>
      <xdr:rowOff>139700</xdr:rowOff>
    </xdr:from>
    <xdr:to>
      <xdr:col>12</xdr:col>
      <xdr:colOff>308919</xdr:colOff>
      <xdr:row>43</xdr:row>
      <xdr:rowOff>141111</xdr:rowOff>
    </xdr:to>
    <xdr:sp macro="" textlink="">
      <xdr:nvSpPr>
        <xdr:cNvPr id="11" name="Rounded Rectangle 10">
          <a:extLst>
            <a:ext uri="{FF2B5EF4-FFF2-40B4-BE49-F238E27FC236}">
              <a16:creationId xmlns:a16="http://schemas.microsoft.com/office/drawing/2014/main" id="{145BCE5E-7F86-2CFE-C4EA-5FD03CF73582}"/>
            </a:ext>
          </a:extLst>
        </xdr:cNvPr>
        <xdr:cNvSpPr/>
      </xdr:nvSpPr>
      <xdr:spPr>
        <a:xfrm>
          <a:off x="7499865" y="5700241"/>
          <a:ext cx="4342027" cy="3296546"/>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Payable Analysis</a:t>
          </a:r>
        </a:p>
      </xdr:txBody>
    </xdr:sp>
    <xdr:clientData/>
  </xdr:twoCellAnchor>
  <xdr:twoCellAnchor>
    <xdr:from>
      <xdr:col>12</xdr:col>
      <xdr:colOff>63500</xdr:colOff>
      <xdr:row>11</xdr:row>
      <xdr:rowOff>76200</xdr:rowOff>
    </xdr:from>
    <xdr:to>
      <xdr:col>16</xdr:col>
      <xdr:colOff>673100</xdr:colOff>
      <xdr:row>25</xdr:row>
      <xdr:rowOff>127000</xdr:rowOff>
    </xdr:to>
    <xdr:graphicFrame macro="">
      <xdr:nvGraphicFramePr>
        <xdr:cNvPr id="14" name="Chart 13">
          <a:extLst>
            <a:ext uri="{FF2B5EF4-FFF2-40B4-BE49-F238E27FC236}">
              <a16:creationId xmlns:a16="http://schemas.microsoft.com/office/drawing/2014/main" id="{7979CCEA-6E5F-EB00-4811-5D727AD2B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317500</xdr:colOff>
      <xdr:row>11</xdr:row>
      <xdr:rowOff>88900</xdr:rowOff>
    </xdr:from>
    <xdr:to>
      <xdr:col>11</xdr:col>
      <xdr:colOff>152400</xdr:colOff>
      <xdr:row>25</xdr:row>
      <xdr:rowOff>63500</xdr:rowOff>
    </xdr:to>
    <xdr:graphicFrame macro="">
      <xdr:nvGraphicFramePr>
        <xdr:cNvPr id="13" name="Chart 12">
          <a:extLst>
            <a:ext uri="{FF2B5EF4-FFF2-40B4-BE49-F238E27FC236}">
              <a16:creationId xmlns:a16="http://schemas.microsoft.com/office/drawing/2014/main" id="{45B4CDBC-D006-E538-E6A6-EDC305B9E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266700</xdr:colOff>
      <xdr:row>28</xdr:row>
      <xdr:rowOff>156634</xdr:rowOff>
    </xdr:from>
    <xdr:to>
      <xdr:col>7</xdr:col>
      <xdr:colOff>532027</xdr:colOff>
      <xdr:row>42</xdr:row>
      <xdr:rowOff>131234</xdr:rowOff>
    </xdr:to>
    <xdr:graphicFrame macro="">
      <xdr:nvGraphicFramePr>
        <xdr:cNvPr id="15" name="Chart 14">
          <a:extLst>
            <a:ext uri="{FF2B5EF4-FFF2-40B4-BE49-F238E27FC236}">
              <a16:creationId xmlns:a16="http://schemas.microsoft.com/office/drawing/2014/main" id="{5E8948DC-C19E-C505-BC45-2510E7A03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583513</xdr:colOff>
      <xdr:row>28</xdr:row>
      <xdr:rowOff>76200</xdr:rowOff>
    </xdr:from>
    <xdr:to>
      <xdr:col>16</xdr:col>
      <xdr:colOff>749299</xdr:colOff>
      <xdr:row>42</xdr:row>
      <xdr:rowOff>88900</xdr:rowOff>
    </xdr:to>
    <xdr:graphicFrame macro="">
      <xdr:nvGraphicFramePr>
        <xdr:cNvPr id="17" name="Chart 16">
          <a:extLst>
            <a:ext uri="{FF2B5EF4-FFF2-40B4-BE49-F238E27FC236}">
              <a16:creationId xmlns:a16="http://schemas.microsoft.com/office/drawing/2014/main" id="{4B396C64-A65D-8423-0F9E-E229D6BD1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188783</xdr:colOff>
      <xdr:row>28</xdr:row>
      <xdr:rowOff>101600</xdr:rowOff>
    </xdr:from>
    <xdr:to>
      <xdr:col>12</xdr:col>
      <xdr:colOff>137297</xdr:colOff>
      <xdr:row>42</xdr:row>
      <xdr:rowOff>50800</xdr:rowOff>
    </xdr:to>
    <xdr:graphicFrame macro="">
      <xdr:nvGraphicFramePr>
        <xdr:cNvPr id="16" name="Chart 15">
          <a:extLst>
            <a:ext uri="{FF2B5EF4-FFF2-40B4-BE49-F238E27FC236}">
              <a16:creationId xmlns:a16="http://schemas.microsoft.com/office/drawing/2014/main" id="{6FECEFF3-2DB5-2CC2-C766-68E9D31D7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190500</xdr:colOff>
      <xdr:row>4</xdr:row>
      <xdr:rowOff>152399</xdr:rowOff>
    </xdr:from>
    <xdr:to>
      <xdr:col>5</xdr:col>
      <xdr:colOff>190500</xdr:colOff>
      <xdr:row>10</xdr:row>
      <xdr:rowOff>67732</xdr:rowOff>
    </xdr:to>
    <xdr:sp macro="" textlink="Dashboard!AA2">
      <xdr:nvSpPr>
        <xdr:cNvPr id="24" name="KPI_Card_1">
          <a:extLst>
            <a:ext uri="{FF2B5EF4-FFF2-40B4-BE49-F238E27FC236}">
              <a16:creationId xmlns:a16="http://schemas.microsoft.com/office/drawing/2014/main" id="{238E0EF1-5097-885D-21F5-C6A98F1FC7C2}"/>
            </a:ext>
          </a:extLst>
        </xdr:cNvPr>
        <xdr:cNvSpPr/>
      </xdr:nvSpPr>
      <xdr:spPr>
        <a:xfrm>
          <a:off x="2679700" y="965199"/>
          <a:ext cx="1659467" cy="1134533"/>
        </a:xfrm>
        <a:prstGeom prst="roundRect">
          <a:avLst>
            <a:gd name="adj" fmla="val 12000"/>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BEBE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130C84-7A2D-D546-9139-2B77B43C8C57}" type="TxLink">
            <a:rPr lang="en-US" sz="3200" b="1" i="0" u="none" strike="noStrike">
              <a:solidFill>
                <a:schemeClr val="bg1"/>
              </a:solidFill>
              <a:latin typeface="Aptos Narrow"/>
            </a:rPr>
            <a:t>136,024</a:t>
          </a:fld>
          <a:endParaRPr lang="en-US" sz="3200" b="1">
            <a:solidFill>
              <a:schemeClr val="bg1"/>
            </a:solidFill>
            <a:latin typeface="Aptos" panose="020B0004020202020204" pitchFamily="34" charset="0"/>
          </a:endParaRPr>
        </a:p>
      </xdr:txBody>
    </xdr:sp>
    <xdr:clientData/>
  </xdr:twoCellAnchor>
  <xdr:twoCellAnchor>
    <xdr:from>
      <xdr:col>5</xdr:col>
      <xdr:colOff>431800</xdr:colOff>
      <xdr:row>4</xdr:row>
      <xdr:rowOff>152399</xdr:rowOff>
    </xdr:from>
    <xdr:to>
      <xdr:col>7</xdr:col>
      <xdr:colOff>431800</xdr:colOff>
      <xdr:row>10</xdr:row>
      <xdr:rowOff>50800</xdr:rowOff>
    </xdr:to>
    <xdr:sp macro="" textlink="Dashboard!AA3">
      <xdr:nvSpPr>
        <xdr:cNvPr id="25" name="KPI_Card_2">
          <a:extLst>
            <a:ext uri="{FF2B5EF4-FFF2-40B4-BE49-F238E27FC236}">
              <a16:creationId xmlns:a16="http://schemas.microsoft.com/office/drawing/2014/main" id="{F8A06BF5-7330-380E-28A1-E8E08E688A36}"/>
            </a:ext>
          </a:extLst>
        </xdr:cNvPr>
        <xdr:cNvSpPr/>
      </xdr:nvSpPr>
      <xdr:spPr>
        <a:xfrm>
          <a:off x="5173133" y="965199"/>
          <a:ext cx="1896534" cy="1117601"/>
        </a:xfrm>
        <a:prstGeom prst="roundRect">
          <a:avLst>
            <a:gd name="adj" fmla="val 12000"/>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BEBE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0"/>
        <a:lstStyle/>
        <a:p>
          <a:pPr algn="ctr"/>
          <a:fld id="{02ADD40A-FF5D-434D-95F7-87C6058817DC}" type="TxLink">
            <a:rPr lang="en-US" sz="3200" b="1" i="0" u="none" strike="noStrike">
              <a:solidFill>
                <a:schemeClr val="bg1"/>
              </a:solidFill>
              <a:latin typeface="Aptos Narrow"/>
            </a:rPr>
            <a:t>164</a:t>
          </a:fld>
          <a:endParaRPr lang="en-US" sz="3200" b="1">
            <a:solidFill>
              <a:schemeClr val="bg1"/>
            </a:solidFill>
            <a:latin typeface="Aptos" panose="020B0004020202020204" pitchFamily="34" charset="0"/>
          </a:endParaRPr>
        </a:p>
      </xdr:txBody>
    </xdr:sp>
    <xdr:clientData/>
  </xdr:twoCellAnchor>
  <xdr:twoCellAnchor>
    <xdr:from>
      <xdr:col>7</xdr:col>
      <xdr:colOff>711200</xdr:colOff>
      <xdr:row>4</xdr:row>
      <xdr:rowOff>152399</xdr:rowOff>
    </xdr:from>
    <xdr:to>
      <xdr:col>9</xdr:col>
      <xdr:colOff>711200</xdr:colOff>
      <xdr:row>10</xdr:row>
      <xdr:rowOff>67732</xdr:rowOff>
    </xdr:to>
    <xdr:sp macro="" textlink="Dashboard!AA4">
      <xdr:nvSpPr>
        <xdr:cNvPr id="26" name="KPI_Card_3">
          <a:extLst>
            <a:ext uri="{FF2B5EF4-FFF2-40B4-BE49-F238E27FC236}">
              <a16:creationId xmlns:a16="http://schemas.microsoft.com/office/drawing/2014/main" id="{2405FAF5-B209-AE4B-03CC-B6A2EA0552C7}"/>
            </a:ext>
          </a:extLst>
        </xdr:cNvPr>
        <xdr:cNvSpPr/>
      </xdr:nvSpPr>
      <xdr:spPr>
        <a:xfrm>
          <a:off x="7349067" y="965199"/>
          <a:ext cx="1896533" cy="1134533"/>
        </a:xfrm>
        <a:prstGeom prst="roundRect">
          <a:avLst>
            <a:gd name="adj" fmla="val 12000"/>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BEBE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D504B77-DF6A-4748-A98F-253C7E66B581}" type="TxLink">
            <a:rPr lang="en-US" sz="3200" b="1" i="0" u="none" strike="noStrike">
              <a:solidFill>
                <a:schemeClr val="bg1"/>
              </a:solidFill>
              <a:latin typeface="Aptos Narrow"/>
            </a:rPr>
            <a:t>180</a:t>
          </a:fld>
          <a:endParaRPr lang="en-US" sz="3200" b="1">
            <a:solidFill>
              <a:schemeClr val="bg1"/>
            </a:solidFill>
            <a:latin typeface="Aptos" panose="020B0004020202020204" pitchFamily="34" charset="0"/>
          </a:endParaRPr>
        </a:p>
      </xdr:txBody>
    </xdr:sp>
    <xdr:clientData/>
  </xdr:twoCellAnchor>
  <xdr:twoCellAnchor>
    <xdr:from>
      <xdr:col>10</xdr:col>
      <xdr:colOff>139700</xdr:colOff>
      <xdr:row>4</xdr:row>
      <xdr:rowOff>135467</xdr:rowOff>
    </xdr:from>
    <xdr:to>
      <xdr:col>12</xdr:col>
      <xdr:colOff>139700</xdr:colOff>
      <xdr:row>10</xdr:row>
      <xdr:rowOff>67733</xdr:rowOff>
    </xdr:to>
    <xdr:sp macro="" textlink="Dashboard!AA5">
      <xdr:nvSpPr>
        <xdr:cNvPr id="27" name="KPI_Card_4">
          <a:extLst>
            <a:ext uri="{FF2B5EF4-FFF2-40B4-BE49-F238E27FC236}">
              <a16:creationId xmlns:a16="http://schemas.microsoft.com/office/drawing/2014/main" id="{8B5AEE4E-9716-B4F7-D146-677E545A4AC4}"/>
            </a:ext>
          </a:extLst>
        </xdr:cNvPr>
        <xdr:cNvSpPr/>
      </xdr:nvSpPr>
      <xdr:spPr>
        <a:xfrm>
          <a:off x="8437033" y="948267"/>
          <a:ext cx="1659467" cy="1151466"/>
        </a:xfrm>
        <a:prstGeom prst="roundRect">
          <a:avLst>
            <a:gd name="adj" fmla="val 12000"/>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BEBE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ECEE7A-3CE8-D442-8AA8-DFF3F5C20209}" type="TxLink">
            <a:rPr lang="en-US" sz="3200" b="1" i="0" u="none" strike="noStrike">
              <a:solidFill>
                <a:schemeClr val="bg1"/>
              </a:solidFill>
              <a:latin typeface="Aptos Narrow"/>
            </a:rPr>
            <a:t>22</a:t>
          </a:fld>
          <a:endParaRPr lang="en-US" sz="3200" b="1">
            <a:solidFill>
              <a:schemeClr val="bg1"/>
            </a:solidFill>
            <a:latin typeface="Aptos" panose="020B0004020202020204" pitchFamily="34" charset="0"/>
          </a:endParaRPr>
        </a:p>
      </xdr:txBody>
    </xdr:sp>
    <xdr:clientData/>
  </xdr:twoCellAnchor>
  <xdr:twoCellAnchor>
    <xdr:from>
      <xdr:col>12</xdr:col>
      <xdr:colOff>444500</xdr:colOff>
      <xdr:row>4</xdr:row>
      <xdr:rowOff>135467</xdr:rowOff>
    </xdr:from>
    <xdr:to>
      <xdr:col>14</xdr:col>
      <xdr:colOff>444500</xdr:colOff>
      <xdr:row>10</xdr:row>
      <xdr:rowOff>67733</xdr:rowOff>
    </xdr:to>
    <xdr:sp macro="" textlink="Dashboard!AA6">
      <xdr:nvSpPr>
        <xdr:cNvPr id="28" name="KPI_Card_5">
          <a:extLst>
            <a:ext uri="{FF2B5EF4-FFF2-40B4-BE49-F238E27FC236}">
              <a16:creationId xmlns:a16="http://schemas.microsoft.com/office/drawing/2014/main" id="{D5FDFFA6-6CA3-19E7-7F91-DE48440E92EA}"/>
            </a:ext>
          </a:extLst>
        </xdr:cNvPr>
        <xdr:cNvSpPr/>
      </xdr:nvSpPr>
      <xdr:spPr>
        <a:xfrm>
          <a:off x="10401300" y="948267"/>
          <a:ext cx="1659467" cy="1151466"/>
        </a:xfrm>
        <a:prstGeom prst="roundRect">
          <a:avLst>
            <a:gd name="adj" fmla="val 12000"/>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BEBE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ADA9F5-84DC-C446-9F99-F64F73F479D4}" type="TxLink">
            <a:rPr lang="en-US" sz="3200" b="1" i="0" u="none" strike="noStrike">
              <a:solidFill>
                <a:schemeClr val="bg1"/>
              </a:solidFill>
              <a:latin typeface="Aptos Narrow"/>
            </a:rPr>
            <a:t>791.08</a:t>
          </a:fld>
          <a:endParaRPr lang="en-US" sz="3200" b="1">
            <a:solidFill>
              <a:schemeClr val="bg1"/>
            </a:solidFill>
            <a:latin typeface="Aptos" panose="020B0004020202020204" pitchFamily="34" charset="0"/>
          </a:endParaRPr>
        </a:p>
      </xdr:txBody>
    </xdr:sp>
    <xdr:clientData/>
  </xdr:twoCellAnchor>
  <xdr:twoCellAnchor>
    <xdr:from>
      <xdr:col>14</xdr:col>
      <xdr:colOff>800100</xdr:colOff>
      <xdr:row>4</xdr:row>
      <xdr:rowOff>152399</xdr:rowOff>
    </xdr:from>
    <xdr:to>
      <xdr:col>16</xdr:col>
      <xdr:colOff>800100</xdr:colOff>
      <xdr:row>10</xdr:row>
      <xdr:rowOff>84666</xdr:rowOff>
    </xdr:to>
    <xdr:sp macro="" textlink="Dashboard!AA7">
      <xdr:nvSpPr>
        <xdr:cNvPr id="29" name="KPI_Card_6">
          <a:extLst>
            <a:ext uri="{FF2B5EF4-FFF2-40B4-BE49-F238E27FC236}">
              <a16:creationId xmlns:a16="http://schemas.microsoft.com/office/drawing/2014/main" id="{6E79E037-678B-78BA-B3FC-6AE839EB72A6}"/>
            </a:ext>
          </a:extLst>
        </xdr:cNvPr>
        <xdr:cNvSpPr/>
      </xdr:nvSpPr>
      <xdr:spPr>
        <a:xfrm>
          <a:off x="14255235" y="976183"/>
          <a:ext cx="1922162" cy="1167942"/>
        </a:xfrm>
        <a:prstGeom prst="roundRect">
          <a:avLst>
            <a:gd name="adj" fmla="val 12000"/>
          </a:avLst>
        </a:prstGeom>
        <a:gradFill>
          <a:gsLst>
            <a:gs pos="0">
              <a:schemeClr val="accent1">
                <a:lumMod val="0"/>
              </a:schemeClr>
            </a:gs>
            <a:gs pos="9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2700">
          <a:solidFill>
            <a:srgbClr val="BEBEB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567AD62-1128-1C44-ADB0-E71CA71A98A2}" type="TxLink">
            <a:rPr lang="en-US" sz="3200" b="1" i="0" u="none" strike="noStrike">
              <a:solidFill>
                <a:schemeClr val="bg1"/>
              </a:solidFill>
              <a:latin typeface="Aptos Narrow"/>
            </a:rPr>
            <a:t>1.1%</a:t>
          </a:fld>
          <a:endParaRPr lang="en-US" sz="3200" b="1">
            <a:solidFill>
              <a:schemeClr val="bg1"/>
            </a:solidFill>
            <a:latin typeface="Aptos" panose="020B0004020202020204" pitchFamily="34" charset="0"/>
          </a:endParaRPr>
        </a:p>
      </xdr:txBody>
    </xdr:sp>
    <xdr:clientData/>
  </xdr:twoCellAnchor>
  <xdr:twoCellAnchor editAs="oneCell">
    <xdr:from>
      <xdr:col>0</xdr:col>
      <xdr:colOff>423332</xdr:colOff>
      <xdr:row>7</xdr:row>
      <xdr:rowOff>50800</xdr:rowOff>
    </xdr:from>
    <xdr:to>
      <xdr:col>2</xdr:col>
      <xdr:colOff>600675</xdr:colOff>
      <xdr:row>16</xdr:row>
      <xdr:rowOff>135467</xdr:rowOff>
    </xdr:to>
    <mc:AlternateContent xmlns:mc="http://schemas.openxmlformats.org/markup-compatibility/2006">
      <mc:Choice xmlns:a14="http://schemas.microsoft.com/office/drawing/2010/main" Requires="a14">
        <xdr:graphicFrame macro="">
          <xdr:nvGraphicFramePr>
            <xdr:cNvPr id="30" name="Category">
              <a:extLst>
                <a:ext uri="{FF2B5EF4-FFF2-40B4-BE49-F238E27FC236}">
                  <a16:creationId xmlns:a16="http://schemas.microsoft.com/office/drawing/2014/main" id="{AF0CCA3E-0092-D34C-28C3-74F3704AE6A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23332" y="1473200"/>
              <a:ext cx="2073876" cy="1913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420824</xdr:colOff>
      <xdr:row>16</xdr:row>
      <xdr:rowOff>143462</xdr:rowOff>
    </xdr:from>
    <xdr:to>
      <xdr:col>2</xdr:col>
      <xdr:colOff>600676</xdr:colOff>
      <xdr:row>25</xdr:row>
      <xdr:rowOff>3763</xdr:rowOff>
    </xdr:to>
    <mc:AlternateContent xmlns:mc="http://schemas.openxmlformats.org/markup-compatibility/2006">
      <mc:Choice xmlns:a14="http://schemas.microsoft.com/office/drawing/2010/main" Requires="a14">
        <xdr:graphicFrame macro="">
          <xdr:nvGraphicFramePr>
            <xdr:cNvPr id="31" name="Warehouse">
              <a:extLst>
                <a:ext uri="{FF2B5EF4-FFF2-40B4-BE49-F238E27FC236}">
                  <a16:creationId xmlns:a16="http://schemas.microsoft.com/office/drawing/2014/main" id="{FBB8DF49-CA26-B3DC-0DEE-C3DBF3DFBE6E}"/>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420824" y="3394662"/>
              <a:ext cx="2076385" cy="1689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440267</xdr:colOff>
      <xdr:row>24</xdr:row>
      <xdr:rowOff>202727</xdr:rowOff>
    </xdr:from>
    <xdr:to>
      <xdr:col>2</xdr:col>
      <xdr:colOff>600676</xdr:colOff>
      <xdr:row>45</xdr:row>
      <xdr:rowOff>199774</xdr:rowOff>
    </xdr:to>
    <mc:AlternateContent xmlns:mc="http://schemas.openxmlformats.org/markup-compatibility/2006">
      <mc:Choice xmlns:a14="http://schemas.microsoft.com/office/drawing/2010/main" Requires="a14">
        <xdr:graphicFrame macro="">
          <xdr:nvGraphicFramePr>
            <xdr:cNvPr id="32" name="Supplier">
              <a:extLst>
                <a:ext uri="{FF2B5EF4-FFF2-40B4-BE49-F238E27FC236}">
                  <a16:creationId xmlns:a16="http://schemas.microsoft.com/office/drawing/2014/main" id="{EABB9FE3-D0D1-1A93-AD1F-84BCCEBD422D}"/>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440267" y="5079527"/>
              <a:ext cx="2056942" cy="42642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270934</xdr:colOff>
      <xdr:row>8</xdr:row>
      <xdr:rowOff>67732</xdr:rowOff>
    </xdr:from>
    <xdr:ext cx="1490134" cy="311496"/>
    <xdr:sp macro="" textlink="">
      <xdr:nvSpPr>
        <xdr:cNvPr id="38" name="TextBox 37">
          <a:extLst>
            <a:ext uri="{FF2B5EF4-FFF2-40B4-BE49-F238E27FC236}">
              <a16:creationId xmlns:a16="http://schemas.microsoft.com/office/drawing/2014/main" id="{B1493B8F-CAA3-78B8-1386-33D666EE0276}"/>
            </a:ext>
          </a:extLst>
        </xdr:cNvPr>
        <xdr:cNvSpPr txBox="1"/>
      </xdr:nvSpPr>
      <xdr:spPr>
        <a:xfrm>
          <a:off x="3139136" y="1665934"/>
          <a:ext cx="14901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solidFill>
            </a:rPr>
            <a:t>Total Units</a:t>
          </a:r>
          <a:r>
            <a:rPr lang="en-US" sz="1400" b="1" baseline="0">
              <a:solidFill>
                <a:schemeClr val="tx1"/>
              </a:solidFill>
            </a:rPr>
            <a:t> Sold</a:t>
          </a:r>
          <a:endParaRPr lang="en-US" sz="1400" b="1">
            <a:solidFill>
              <a:schemeClr val="tx1"/>
            </a:solidFill>
          </a:endParaRPr>
        </a:p>
      </xdr:txBody>
    </xdr:sp>
    <xdr:clientData/>
  </xdr:oneCellAnchor>
  <xdr:oneCellAnchor>
    <xdr:from>
      <xdr:col>5</xdr:col>
      <xdr:colOff>223108</xdr:colOff>
      <xdr:row>8</xdr:row>
      <xdr:rowOff>99433</xdr:rowOff>
    </xdr:from>
    <xdr:ext cx="2375244" cy="312458"/>
    <xdr:sp macro="" textlink="">
      <xdr:nvSpPr>
        <xdr:cNvPr id="39" name="TextBox 38">
          <a:extLst>
            <a:ext uri="{FF2B5EF4-FFF2-40B4-BE49-F238E27FC236}">
              <a16:creationId xmlns:a16="http://schemas.microsoft.com/office/drawing/2014/main" id="{7650ADBC-DCA3-253D-4BBB-383471E0FC80}"/>
            </a:ext>
          </a:extLst>
        </xdr:cNvPr>
        <xdr:cNvSpPr txBox="1"/>
      </xdr:nvSpPr>
      <xdr:spPr>
        <a:xfrm>
          <a:off x="5028513" y="1747001"/>
          <a:ext cx="2375244" cy="31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solidFill>
            </a:rPr>
            <a:t>Avg. Opening Stock</a:t>
          </a:r>
        </a:p>
      </xdr:txBody>
    </xdr:sp>
    <xdr:clientData/>
  </xdr:oneCellAnchor>
  <xdr:oneCellAnchor>
    <xdr:from>
      <xdr:col>7</xdr:col>
      <xdr:colOff>364525</xdr:colOff>
      <xdr:row>8</xdr:row>
      <xdr:rowOff>90156</xdr:rowOff>
    </xdr:from>
    <xdr:ext cx="2518718" cy="321735"/>
    <xdr:sp macro="" textlink="">
      <xdr:nvSpPr>
        <xdr:cNvPr id="40" name="TextBox 39">
          <a:extLst>
            <a:ext uri="{FF2B5EF4-FFF2-40B4-BE49-F238E27FC236}">
              <a16:creationId xmlns:a16="http://schemas.microsoft.com/office/drawing/2014/main" id="{75C73737-1FBA-0BD1-13AB-1090317E00F0}"/>
            </a:ext>
          </a:extLst>
        </xdr:cNvPr>
        <xdr:cNvSpPr txBox="1"/>
      </xdr:nvSpPr>
      <xdr:spPr>
        <a:xfrm>
          <a:off x="7092093" y="1737724"/>
          <a:ext cx="2518718" cy="321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solidFill>
            </a:rPr>
            <a:t>Avg. Closing Stock</a:t>
          </a:r>
        </a:p>
      </xdr:txBody>
    </xdr:sp>
    <xdr:clientData/>
  </xdr:oneCellAnchor>
  <xdr:oneCellAnchor>
    <xdr:from>
      <xdr:col>10</xdr:col>
      <xdr:colOff>254000</xdr:colOff>
      <xdr:row>8</xdr:row>
      <xdr:rowOff>50799</xdr:rowOff>
    </xdr:from>
    <xdr:ext cx="1490134" cy="311496"/>
    <xdr:sp macro="" textlink="">
      <xdr:nvSpPr>
        <xdr:cNvPr id="41" name="TextBox 40">
          <a:extLst>
            <a:ext uri="{FF2B5EF4-FFF2-40B4-BE49-F238E27FC236}">
              <a16:creationId xmlns:a16="http://schemas.microsoft.com/office/drawing/2014/main" id="{0809F420-5FAF-CBE9-254D-93CA197FDEF6}"/>
            </a:ext>
          </a:extLst>
        </xdr:cNvPr>
        <xdr:cNvSpPr txBox="1"/>
      </xdr:nvSpPr>
      <xdr:spPr>
        <a:xfrm>
          <a:off x="8551333" y="1676399"/>
          <a:ext cx="14901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solidFill>
            </a:rPr>
            <a:t>Stockout Days</a:t>
          </a:r>
        </a:p>
      </xdr:txBody>
    </xdr:sp>
    <xdr:clientData/>
  </xdr:oneCellAnchor>
  <xdr:oneCellAnchor>
    <xdr:from>
      <xdr:col>12</xdr:col>
      <xdr:colOff>205946</xdr:colOff>
      <xdr:row>8</xdr:row>
      <xdr:rowOff>99433</xdr:rowOff>
    </xdr:from>
    <xdr:ext cx="2341377" cy="312458"/>
    <xdr:sp macro="" textlink="">
      <xdr:nvSpPr>
        <xdr:cNvPr id="42" name="TextBox 41">
          <a:extLst>
            <a:ext uri="{FF2B5EF4-FFF2-40B4-BE49-F238E27FC236}">
              <a16:creationId xmlns:a16="http://schemas.microsoft.com/office/drawing/2014/main" id="{C2220739-FB31-3719-5D14-1B9CCCFAF4C6}"/>
            </a:ext>
          </a:extLst>
        </xdr:cNvPr>
        <xdr:cNvSpPr txBox="1"/>
      </xdr:nvSpPr>
      <xdr:spPr>
        <a:xfrm>
          <a:off x="11738919" y="1747001"/>
          <a:ext cx="2341377" cy="31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tx1"/>
              </a:solidFill>
            </a:rPr>
            <a:t>Inventory Turnover</a:t>
          </a:r>
        </a:p>
      </xdr:txBody>
    </xdr:sp>
    <xdr:clientData/>
  </xdr:oneCellAnchor>
  <xdr:oneCellAnchor>
    <xdr:from>
      <xdr:col>14</xdr:col>
      <xdr:colOff>84895</xdr:colOff>
      <xdr:row>8</xdr:row>
      <xdr:rowOff>137298</xdr:rowOff>
    </xdr:from>
    <xdr:ext cx="2798348" cy="312458"/>
    <xdr:sp macro="" textlink="">
      <xdr:nvSpPr>
        <xdr:cNvPr id="43" name="TextBox 42">
          <a:extLst>
            <a:ext uri="{FF2B5EF4-FFF2-40B4-BE49-F238E27FC236}">
              <a16:creationId xmlns:a16="http://schemas.microsoft.com/office/drawing/2014/main" id="{5D392340-5DA2-02A4-9B40-C6A1FA5DD64F}"/>
            </a:ext>
          </a:extLst>
        </xdr:cNvPr>
        <xdr:cNvSpPr txBox="1"/>
      </xdr:nvSpPr>
      <xdr:spPr>
        <a:xfrm>
          <a:off x="13540030" y="1784866"/>
          <a:ext cx="2798348" cy="3124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bg1"/>
              </a:solidFill>
            </a:rPr>
            <a:t>           </a:t>
          </a:r>
          <a:r>
            <a:rPr lang="en-US" sz="1400" b="1">
              <a:solidFill>
                <a:schemeClr val="tx1"/>
              </a:solidFill>
            </a:rPr>
            <a:t>Stockout Rate %</a:t>
          </a:r>
        </a:p>
      </xdr:txBody>
    </xdr:sp>
    <xdr:clientData/>
  </xdr:oneCellAnchor>
  <xdr:twoCellAnchor editAs="oneCell">
    <xdr:from>
      <xdr:col>3</xdr:col>
      <xdr:colOff>0</xdr:colOff>
      <xdr:row>45</xdr:row>
      <xdr:rowOff>0</xdr:rowOff>
    </xdr:from>
    <xdr:to>
      <xdr:col>17</xdr:col>
      <xdr:colOff>0</xdr:colOff>
      <xdr:row>52</xdr:row>
      <xdr:rowOff>0</xdr:rowOff>
    </xdr:to>
    <mc:AlternateContent xmlns:mc="http://schemas.openxmlformats.org/markup-compatibility/2006">
      <mc:Choice xmlns:tsle="http://schemas.microsoft.com/office/drawing/2012/timeslicer" Requires="tsle">
        <xdr:graphicFrame macro="">
          <xdr:nvGraphicFramePr>
            <xdr:cNvPr id="44" name="Date">
              <a:extLst>
                <a:ext uri="{FF2B5EF4-FFF2-40B4-BE49-F238E27FC236}">
                  <a16:creationId xmlns:a16="http://schemas.microsoft.com/office/drawing/2014/main" id="{631C8F07-0BAC-C246-95F3-5618F575F13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844800" y="9144000"/>
              <a:ext cx="13275733" cy="14224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17</xdr:col>
      <xdr:colOff>257433</xdr:colOff>
      <xdr:row>8</xdr:row>
      <xdr:rowOff>123040</xdr:rowOff>
    </xdr:from>
    <xdr:ext cx="2488513" cy="9150197"/>
    <xdr:sp macro="" textlink="">
      <xdr:nvSpPr>
        <xdr:cNvPr id="45" name="TextBox 44">
          <a:extLst>
            <a:ext uri="{FF2B5EF4-FFF2-40B4-BE49-F238E27FC236}">
              <a16:creationId xmlns:a16="http://schemas.microsoft.com/office/drawing/2014/main" id="{48AB85F7-0B25-4570-CC26-C5ED9A588DE3}"/>
            </a:ext>
          </a:extLst>
        </xdr:cNvPr>
        <xdr:cNvSpPr txBox="1"/>
      </xdr:nvSpPr>
      <xdr:spPr>
        <a:xfrm>
          <a:off x="16595811" y="1770608"/>
          <a:ext cx="2488513" cy="91501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1600">
              <a:solidFill>
                <a:schemeClr val="bg1"/>
              </a:solidFill>
            </a:rPr>
            <a:t>1.</a:t>
          </a:r>
          <a:r>
            <a:rPr lang="en-US" sz="1600" baseline="0">
              <a:solidFill>
                <a:schemeClr val="bg1"/>
              </a:solidFill>
            </a:rPr>
            <a:t> </a:t>
          </a:r>
          <a:r>
            <a:rPr lang="en-US" sz="1600">
              <a:solidFill>
                <a:schemeClr val="bg1"/>
              </a:solidFill>
            </a:rPr>
            <a:t>Total sales reached </a:t>
          </a:r>
          <a:r>
            <a:rPr lang="en-US" sz="1600" b="1">
              <a:solidFill>
                <a:schemeClr val="bg1"/>
              </a:solidFill>
            </a:rPr>
            <a:t>136,024 units</a:t>
          </a:r>
          <a:r>
            <a:rPr lang="en-US" sz="1600">
              <a:solidFill>
                <a:schemeClr val="bg1"/>
              </a:solidFill>
            </a:rPr>
            <a:t>, showing steady demand with slight seasonal peaks. </a:t>
          </a:r>
        </a:p>
        <a:p>
          <a:pPr algn="l"/>
          <a:endParaRPr lang="en-US" sz="1600">
            <a:solidFill>
              <a:schemeClr val="bg1"/>
            </a:solidFill>
          </a:endParaRPr>
        </a:p>
        <a:p>
          <a:pPr algn="l"/>
          <a:r>
            <a:rPr lang="en-US" sz="1600">
              <a:solidFill>
                <a:schemeClr val="bg1"/>
              </a:solidFill>
            </a:rPr>
            <a:t>2. Inventory turnover is high, indicating </a:t>
          </a:r>
          <a:r>
            <a:rPr lang="en-US" sz="1600" b="1">
              <a:solidFill>
                <a:schemeClr val="bg1"/>
              </a:solidFill>
            </a:rPr>
            <a:t>efficient stock movement</a:t>
          </a:r>
          <a:r>
            <a:rPr lang="en-US" sz="1600">
              <a:solidFill>
                <a:schemeClr val="bg1"/>
              </a:solidFill>
            </a:rPr>
            <a:t>. </a:t>
          </a:r>
        </a:p>
        <a:p>
          <a:pPr algn="l"/>
          <a:endParaRPr lang="en-US" sz="1600">
            <a:solidFill>
              <a:schemeClr val="bg1"/>
            </a:solidFill>
          </a:endParaRPr>
        </a:p>
        <a:p>
          <a:pPr algn="l"/>
          <a:r>
            <a:rPr lang="en-US" sz="1600">
              <a:solidFill>
                <a:schemeClr val="bg1"/>
              </a:solidFill>
            </a:rPr>
            <a:t>3. Stockout rate is low (</a:t>
          </a:r>
          <a:r>
            <a:rPr lang="en-US" sz="1600" b="1">
              <a:solidFill>
                <a:schemeClr val="bg1"/>
              </a:solidFill>
            </a:rPr>
            <a:t>1.1%</a:t>
          </a:r>
          <a:r>
            <a:rPr lang="en-US" sz="1600">
              <a:solidFill>
                <a:schemeClr val="bg1"/>
              </a:solidFill>
            </a:rPr>
            <a:t>), but still impacts key categories. </a:t>
          </a:r>
        </a:p>
        <a:p>
          <a:pPr algn="l"/>
          <a:endParaRPr lang="en-US" sz="1600">
            <a:solidFill>
              <a:schemeClr val="bg1"/>
            </a:solidFill>
          </a:endParaRPr>
        </a:p>
        <a:p>
          <a:pPr algn="l"/>
          <a:r>
            <a:rPr lang="en-US" sz="1600" b="1">
              <a:solidFill>
                <a:schemeClr val="bg1"/>
              </a:solidFill>
            </a:rPr>
            <a:t>4. Food and Stationery</a:t>
          </a:r>
          <a:r>
            <a:rPr lang="en-US" sz="1600">
              <a:solidFill>
                <a:schemeClr val="bg1"/>
              </a:solidFill>
            </a:rPr>
            <a:t> are top-performing, while </a:t>
          </a:r>
          <a:r>
            <a:rPr lang="en-US" sz="1600" b="1">
              <a:solidFill>
                <a:schemeClr val="bg1"/>
              </a:solidFill>
            </a:rPr>
            <a:t>Furniture shows low movement</a:t>
          </a:r>
          <a:r>
            <a:rPr lang="en-US" sz="1600">
              <a:solidFill>
                <a:schemeClr val="bg1"/>
              </a:solidFill>
            </a:rPr>
            <a:t>. </a:t>
          </a:r>
        </a:p>
        <a:p>
          <a:pPr algn="l"/>
          <a:endParaRPr lang="en-US" sz="1600">
            <a:solidFill>
              <a:schemeClr val="bg1"/>
            </a:solidFill>
          </a:endParaRPr>
        </a:p>
        <a:p>
          <a:pPr algn="l"/>
          <a:r>
            <a:rPr lang="en-US" sz="1600" b="1">
              <a:solidFill>
                <a:schemeClr val="bg1"/>
              </a:solidFill>
            </a:rPr>
            <a:t>5.</a:t>
          </a:r>
          <a:r>
            <a:rPr lang="en-US" sz="1600" b="1" baseline="0">
              <a:solidFill>
                <a:schemeClr val="bg1"/>
              </a:solidFill>
            </a:rPr>
            <a:t> </a:t>
          </a:r>
          <a:r>
            <a:rPr lang="en-US" sz="1600" b="1">
              <a:solidFill>
                <a:schemeClr val="bg1"/>
              </a:solidFill>
            </a:rPr>
            <a:t>Nagoya Depot leads in sales</a:t>
          </a:r>
          <a:r>
            <a:rPr lang="en-US" sz="1600">
              <a:solidFill>
                <a:schemeClr val="bg1"/>
              </a:solidFill>
            </a:rPr>
            <a:t>, highlighting regional demand differences. </a:t>
          </a:r>
        </a:p>
        <a:p>
          <a:pPr algn="l"/>
          <a:endParaRPr lang="en-US" sz="1600">
            <a:solidFill>
              <a:schemeClr val="bg1"/>
            </a:solidFill>
          </a:endParaRPr>
        </a:p>
        <a:p>
          <a:pPr algn="l"/>
          <a:r>
            <a:rPr lang="en-US" sz="1600">
              <a:solidFill>
                <a:schemeClr val="bg1"/>
              </a:solidFill>
            </a:rPr>
            <a:t>6. Supplier lead times vary, indicating </a:t>
          </a:r>
          <a:r>
            <a:rPr lang="en-US" sz="1600" b="1">
              <a:solidFill>
                <a:schemeClr val="bg1"/>
              </a:solidFill>
            </a:rPr>
            <a:t>inconsistent supplier performance</a:t>
          </a:r>
          <a:r>
            <a:rPr lang="en-US" sz="1600">
              <a:solidFill>
                <a:schemeClr val="bg1"/>
              </a:solidFill>
            </a:rPr>
            <a:t>. </a:t>
          </a:r>
        </a:p>
        <a:p>
          <a:pPr algn="l"/>
          <a:endParaRPr lang="en-US" sz="1600">
            <a:solidFill>
              <a:schemeClr val="bg1"/>
            </a:solidFill>
          </a:endParaRPr>
        </a:p>
        <a:p>
          <a:pPr algn="l"/>
          <a:r>
            <a:rPr lang="en-US" sz="1600">
              <a:solidFill>
                <a:schemeClr val="bg1"/>
              </a:solidFill>
            </a:rPr>
            <a:t>7. Stockouts are higher in </a:t>
          </a:r>
          <a:r>
            <a:rPr lang="en-US" sz="1600" b="1">
              <a:solidFill>
                <a:schemeClr val="bg1"/>
              </a:solidFill>
            </a:rPr>
            <a:t>Electronics and Clothing</a:t>
          </a:r>
          <a:r>
            <a:rPr lang="en-US" sz="1600">
              <a:solidFill>
                <a:schemeClr val="bg1"/>
              </a:solidFill>
            </a:rPr>
            <a:t>, </a:t>
          </a:r>
        </a:p>
        <a:p>
          <a:pPr algn="l"/>
          <a:endParaRPr lang="en-US" sz="1600">
            <a:solidFill>
              <a:schemeClr val="bg1"/>
            </a:solidFill>
          </a:endParaRPr>
        </a:p>
        <a:p>
          <a:pPr algn="l"/>
          <a:r>
            <a:rPr lang="en-US" sz="1600" b="1">
              <a:solidFill>
                <a:schemeClr val="tx1"/>
              </a:solidFill>
            </a:rPr>
            <a:t>suggesting need for better forecasting. </a:t>
          </a:r>
        </a:p>
        <a:p>
          <a:endParaRPr lang="en-US" sz="1600">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ZAFAR" refreshedDate="46113.67167152778" createdVersion="8" refreshedVersion="8" minRefreshableVersion="3" recordCount="2000" xr:uid="{8FBBD1FB-CFA9-8C4D-9EA9-9B735BF147AF}">
  <cacheSource type="worksheet">
    <worksheetSource ref="A1:O2001" sheet="Data"/>
  </cacheSource>
  <cacheFields count="15">
    <cacheField name="Date" numFmtId="165">
      <sharedItems containsSemiMixedTypes="0" containsNonDate="0" containsDate="1" containsString="0" minDate="2025-01-01T00:00:00" maxDate="2026-01-01T00:00:00" count="363">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Product_ID" numFmtId="0">
      <sharedItems/>
    </cacheField>
    <cacheField name="Product_Name" numFmtId="0">
      <sharedItems count="80">
        <s v="LED Monitor"/>
        <s v="Smartphone Stand"/>
        <s v="Wi-Fi Router"/>
        <s v="Olive Oil 1L"/>
        <s v="Chocolate Cookies"/>
        <s v="Sticky Notes"/>
        <s v="Glue Stick"/>
        <s v="Eraser Pack"/>
        <s v="Correction Tape"/>
        <s v="Yoga Leggings"/>
        <s v="Office Chair"/>
        <s v="Storage Drawer"/>
        <s v="Wooden Bench"/>
        <s v="Paper Clips Box"/>
        <s v="Wool Scarf"/>
        <s v="Breakfast Cereal"/>
        <s v="Folding Table"/>
        <s v="Stapler"/>
        <s v="Mechanical Keyboard"/>
        <s v="Webcam"/>
        <s v="Casual Sneakers"/>
        <s v="Mineral Water 1.5L"/>
        <s v="Recliner Chair"/>
        <s v="Polo Shirt"/>
        <s v="Winter Jacket"/>
        <s v="Ballpoint Pen Pack"/>
        <s v="Leather Belt"/>
        <s v="Basmati Rice 5kg"/>
        <s v="Graphic Tablet"/>
        <s v="Ankle Socks"/>
        <s v="Tomato Ketchup"/>
        <s v="Bookshelf"/>
        <s v="Display Shelf"/>
        <s v="Whiteboard Marker"/>
        <s v="Wireless Mouse"/>
        <s v="Mini Projector"/>
        <s v="Bedside Table"/>
        <s v="Laptop Sleeve"/>
        <s v="Pasta 500g"/>
        <s v="Dining Chair"/>
        <s v="Highlighter Set"/>
        <s v="HDMI Cable"/>
        <s v="Green Tea Pack"/>
        <s v="Shoe Rack"/>
        <s v="Mechanical Pencil"/>
        <s v="Cotton T-Shirt"/>
        <s v="Denim Jeans"/>
        <s v="Power Bank"/>
        <s v="Orange Juice"/>
        <s v="Brown Sugar"/>
        <s v="Ring Binder"/>
        <s v="Wardrobe Cabinet"/>
        <s v="Computer Desk"/>
        <s v="Formal Trousers"/>
        <s v="Sports Cap"/>
        <s v="Milk Powder"/>
        <s v="TV Stand"/>
        <s v="Bluetooth Speaker"/>
        <s v="Cardigan Sweater"/>
        <s v="Whole Wheat Flour"/>
        <s v="Coffee Table"/>
        <s v="Canned Tuna"/>
        <s v="Noise Cancelling Headphones"/>
        <s v="Summer Dress"/>
        <s v="USB-C Charger"/>
        <s v="File Folder Set"/>
        <s v="Hooded Sweatshirt"/>
        <s v="Peanut Butter"/>
        <s v="Kitchen Stool"/>
        <s v="A4 Notebook"/>
        <s v="Portable SSD"/>
        <s v="Desk Organizer"/>
        <s v="Study Desk"/>
        <s v="Fitness Tracker"/>
        <s v="Sea Salt"/>
        <s v="Instant Coffee"/>
        <s v="Raincoat"/>
        <s v="Running Shoes"/>
        <s v="Printer Paper Ream"/>
        <s v="Scissors"/>
      </sharedItems>
    </cacheField>
    <cacheField name="Category" numFmtId="0">
      <sharedItems count="5">
        <s v="Electronics"/>
        <s v="Food"/>
        <s v="Stationery"/>
        <s v="Clothing"/>
        <s v="Furniture"/>
      </sharedItems>
    </cacheField>
    <cacheField name="Warehouse" numFmtId="0">
      <sharedItems count="4">
        <s v="Tokyo Hub"/>
        <s v="Fukuoka Warehouse"/>
        <s v="Nagoya Depot"/>
        <s v="Osaka Central"/>
      </sharedItems>
    </cacheField>
    <cacheField name="Opening_Stock" numFmtId="0">
      <sharedItems containsSemiMixedTypes="0" containsString="0" containsNumber="1" containsInteger="1" minValue="10" maxValue="500"/>
    </cacheField>
    <cacheField name="Units_Received" numFmtId="0">
      <sharedItems containsSemiMixedTypes="0" containsString="0" containsNumber="1" containsInteger="1" minValue="2" maxValue="250"/>
    </cacheField>
    <cacheField name="Units_Sold" numFmtId="0">
      <sharedItems containsSemiMixedTypes="0" containsString="0" containsNumber="1" containsInteger="1" minValue="1" maxValue="220"/>
    </cacheField>
    <cacheField name="Closing_Stock" numFmtId="0">
      <sharedItems containsSemiMixedTypes="0" containsString="0" containsNumber="1" containsInteger="1" minValue="0" maxValue="676"/>
    </cacheField>
    <cacheField name="Stockout_Flag" numFmtId="0">
      <sharedItems containsSemiMixedTypes="0" containsString="0" containsNumber="1" containsInteger="1" minValue="0" maxValue="1"/>
    </cacheField>
    <cacheField name="Lead_Time_Days" numFmtId="0">
      <sharedItems containsSemiMixedTypes="0" containsString="0" containsNumber="1" containsInteger="1" minValue="1" maxValue="14"/>
    </cacheField>
    <cacheField name="Supplier" numFmtId="0">
      <sharedItems count="15">
        <s v="Digital Edge Co."/>
        <s v="NextGen Trading"/>
        <s v="Golden Harvest Supply"/>
        <s v="PaperPoint Trading"/>
        <s v="WriteWell Supplies"/>
        <s v="OfficePro Stationers"/>
        <s v="TechNova Supplies"/>
        <s v="StyleLine Apparel"/>
        <s v="Comfort Living Supply"/>
        <s v="HomeSpace Furnishings"/>
        <s v="Prime Garments Ltd."/>
        <s v="Daily Essentials Co."/>
        <s v="UrbanWear Distributors"/>
        <s v="FreshMart Foods"/>
        <s v="OakLine Interiors"/>
      </sharedItems>
    </cacheField>
    <cacheField name="Unit_Cost" numFmtId="164">
      <sharedItems containsSemiMixedTypes="0" containsString="0" containsNumber="1" minValue="1" maxValue="348.92"/>
    </cacheField>
    <cacheField name="Unit_Price" numFmtId="164">
      <sharedItems containsSemiMixedTypes="0" containsString="0" containsNumber="1" minValue="1.35" maxValue="517.33000000000004"/>
    </cacheField>
    <cacheField name="Year_Month" numFmtId="165">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395075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A ZAFAR" refreshedDate="46113.67167210648" createdVersion="8" refreshedVersion="8" minRefreshableVersion="3" recordCount="2000" xr:uid="{D69094EF-E0BB-8849-B541-92272C8D6B30}">
  <cacheSource type="worksheet">
    <worksheetSource ref="B1:C2001" sheet="Data"/>
  </cacheSource>
  <cacheFields count="2">
    <cacheField name="Product_ID" numFmtId="0">
      <sharedItems count="80">
        <s v="P1008"/>
        <s v="P1009"/>
        <s v="P1013"/>
        <s v="P1034"/>
        <s v="P1038"/>
        <s v="P1067"/>
        <s v="P1074"/>
        <s v="P1076"/>
        <s v="P1079"/>
        <s v="P1030"/>
        <s v="P1049"/>
        <s v="P1059"/>
        <s v="P1063"/>
        <s v="P1070"/>
        <s v="P1026"/>
        <s v="P1045"/>
        <s v="P1060"/>
        <s v="P1069"/>
        <s v="P1002"/>
        <s v="P1006"/>
        <s v="P1025"/>
        <s v="P1043"/>
        <s v="P1061"/>
        <s v="P1020"/>
        <s v="P1023"/>
        <s v="P1065"/>
        <s v="P1027"/>
        <s v="P1033"/>
        <s v="P1014"/>
        <s v="P1028"/>
        <s v="P1039"/>
        <s v="P1051"/>
        <s v="P1064"/>
        <s v="P1068"/>
        <s v="P1001"/>
        <s v="P1016"/>
        <s v="P1057"/>
        <s v="P1011"/>
        <s v="P1041"/>
        <s v="P1053"/>
        <s v="P1071"/>
        <s v="P1012"/>
        <s v="P1035"/>
        <s v="P1054"/>
        <s v="P1075"/>
        <s v="P1017"/>
        <s v="P1018"/>
        <s v="P1010"/>
        <s v="P1044"/>
        <s v="P1046"/>
        <s v="P1077"/>
        <s v="P1055"/>
        <s v="P1058"/>
        <s v="P1022"/>
        <s v="P1024"/>
        <s v="P1047"/>
        <s v="P1056"/>
        <s v="P1004"/>
        <s v="P1032"/>
        <s v="P1037"/>
        <s v="P1052"/>
        <s v="P1042"/>
        <s v="P1005"/>
        <s v="P1029"/>
        <s v="P1003"/>
        <s v="P1078"/>
        <s v="P1019"/>
        <s v="P1040"/>
        <s v="P1062"/>
        <s v="P1066"/>
        <s v="P1007"/>
        <s v="P1072"/>
        <s v="P1050"/>
        <s v="P1015"/>
        <s v="P1048"/>
        <s v="P1036"/>
        <s v="P1031"/>
        <s v="P1021"/>
        <s v="P1073"/>
        <s v="P1080"/>
      </sharedItems>
    </cacheField>
    <cacheField name="Product_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P1008"/>
    <x v="0"/>
    <x v="0"/>
    <x v="0"/>
    <n v="131"/>
    <n v="14"/>
    <n v="30"/>
    <n v="115"/>
    <n v="0"/>
    <n v="7"/>
    <x v="0"/>
    <n v="66.2"/>
    <n v="85.22"/>
    <x v="0"/>
  </r>
  <r>
    <x v="0"/>
    <s v="P1009"/>
    <x v="1"/>
    <x v="0"/>
    <x v="1"/>
    <n v="171"/>
    <n v="55"/>
    <n v="26"/>
    <n v="200"/>
    <n v="0"/>
    <n v="12"/>
    <x v="0"/>
    <n v="159.16"/>
    <n v="184.42"/>
    <x v="0"/>
  </r>
  <r>
    <x v="0"/>
    <s v="P1013"/>
    <x v="2"/>
    <x v="0"/>
    <x v="1"/>
    <n v="96"/>
    <n v="69"/>
    <n v="18"/>
    <n v="147"/>
    <n v="0"/>
    <n v="7"/>
    <x v="1"/>
    <n v="62.11"/>
    <n v="85.16"/>
    <x v="0"/>
  </r>
  <r>
    <x v="0"/>
    <s v="P1034"/>
    <x v="3"/>
    <x v="1"/>
    <x v="2"/>
    <n v="319"/>
    <n v="185"/>
    <n v="199"/>
    <n v="305"/>
    <n v="0"/>
    <n v="3"/>
    <x v="2"/>
    <n v="11.76"/>
    <n v="16.89"/>
    <x v="0"/>
  </r>
  <r>
    <x v="0"/>
    <s v="P1038"/>
    <x v="4"/>
    <x v="1"/>
    <x v="1"/>
    <n v="268"/>
    <n v="129"/>
    <n v="45"/>
    <n v="352"/>
    <n v="0"/>
    <n v="5"/>
    <x v="2"/>
    <n v="4.88"/>
    <n v="6.89"/>
    <x v="0"/>
  </r>
  <r>
    <x v="0"/>
    <s v="P1067"/>
    <x v="5"/>
    <x v="2"/>
    <x v="3"/>
    <n v="236"/>
    <n v="58"/>
    <n v="59"/>
    <n v="235"/>
    <n v="0"/>
    <n v="4"/>
    <x v="3"/>
    <n v="1.9"/>
    <n v="2.54"/>
    <x v="0"/>
  </r>
  <r>
    <x v="0"/>
    <s v="P1074"/>
    <x v="6"/>
    <x v="2"/>
    <x v="3"/>
    <n v="238"/>
    <n v="101"/>
    <n v="94"/>
    <n v="245"/>
    <n v="0"/>
    <n v="5"/>
    <x v="4"/>
    <n v="15.08"/>
    <n v="20.64"/>
    <x v="0"/>
  </r>
  <r>
    <x v="0"/>
    <s v="P1076"/>
    <x v="7"/>
    <x v="2"/>
    <x v="1"/>
    <n v="303"/>
    <n v="102"/>
    <n v="115"/>
    <n v="290"/>
    <n v="0"/>
    <n v="5"/>
    <x v="5"/>
    <n v="22.17"/>
    <n v="29.14"/>
    <x v="0"/>
  </r>
  <r>
    <x v="0"/>
    <s v="P1079"/>
    <x v="8"/>
    <x v="2"/>
    <x v="2"/>
    <n v="205"/>
    <n v="135"/>
    <n v="21"/>
    <n v="319"/>
    <n v="0"/>
    <n v="9"/>
    <x v="4"/>
    <n v="9.1"/>
    <n v="13.31"/>
    <x v="0"/>
  </r>
  <r>
    <x v="1"/>
    <s v="P1008"/>
    <x v="0"/>
    <x v="0"/>
    <x v="3"/>
    <n v="172"/>
    <n v="69"/>
    <n v="69"/>
    <n v="172"/>
    <n v="0"/>
    <n v="5"/>
    <x v="6"/>
    <n v="108.26"/>
    <n v="136.07"/>
    <x v="0"/>
  </r>
  <r>
    <x v="1"/>
    <s v="P1030"/>
    <x v="9"/>
    <x v="3"/>
    <x v="2"/>
    <n v="125"/>
    <n v="40"/>
    <n v="10"/>
    <n v="155"/>
    <n v="0"/>
    <n v="12"/>
    <x v="7"/>
    <n v="53.01"/>
    <n v="65.61"/>
    <x v="0"/>
  </r>
  <r>
    <x v="1"/>
    <s v="P1049"/>
    <x v="10"/>
    <x v="4"/>
    <x v="0"/>
    <n v="53"/>
    <n v="21"/>
    <n v="12"/>
    <n v="62"/>
    <n v="0"/>
    <n v="12"/>
    <x v="8"/>
    <n v="339.74"/>
    <n v="511.26"/>
    <x v="0"/>
  </r>
  <r>
    <x v="1"/>
    <s v="P1059"/>
    <x v="11"/>
    <x v="4"/>
    <x v="1"/>
    <n v="73"/>
    <n v="11"/>
    <n v="19"/>
    <n v="65"/>
    <n v="0"/>
    <n v="3"/>
    <x v="9"/>
    <n v="126.79"/>
    <n v="153.27000000000001"/>
    <x v="0"/>
  </r>
  <r>
    <x v="1"/>
    <s v="P1063"/>
    <x v="12"/>
    <x v="4"/>
    <x v="1"/>
    <n v="14"/>
    <n v="20"/>
    <n v="2"/>
    <n v="32"/>
    <n v="0"/>
    <n v="11"/>
    <x v="8"/>
    <n v="93.82"/>
    <n v="126.08"/>
    <x v="0"/>
  </r>
  <r>
    <x v="1"/>
    <s v="P1070"/>
    <x v="13"/>
    <x v="2"/>
    <x v="0"/>
    <n v="168"/>
    <n v="97"/>
    <n v="38"/>
    <n v="227"/>
    <n v="0"/>
    <n v="5"/>
    <x v="5"/>
    <n v="24.94"/>
    <n v="35.64"/>
    <x v="0"/>
  </r>
  <r>
    <x v="2"/>
    <s v="P1026"/>
    <x v="14"/>
    <x v="3"/>
    <x v="1"/>
    <n v="206"/>
    <n v="109"/>
    <n v="17"/>
    <n v="298"/>
    <n v="0"/>
    <n v="9"/>
    <x v="10"/>
    <n v="82.03"/>
    <n v="125.91"/>
    <x v="0"/>
  </r>
  <r>
    <x v="2"/>
    <s v="P1045"/>
    <x v="15"/>
    <x v="1"/>
    <x v="0"/>
    <n v="363"/>
    <n v="160"/>
    <n v="145"/>
    <n v="378"/>
    <n v="0"/>
    <n v="6"/>
    <x v="11"/>
    <n v="4.1500000000000004"/>
    <n v="6"/>
    <x v="0"/>
  </r>
  <r>
    <x v="2"/>
    <s v="P1060"/>
    <x v="16"/>
    <x v="4"/>
    <x v="1"/>
    <n v="64"/>
    <n v="4"/>
    <n v="13"/>
    <n v="55"/>
    <n v="0"/>
    <n v="4"/>
    <x v="8"/>
    <n v="179.22"/>
    <n v="264.60000000000002"/>
    <x v="0"/>
  </r>
  <r>
    <x v="2"/>
    <s v="P1069"/>
    <x v="17"/>
    <x v="2"/>
    <x v="2"/>
    <n v="393"/>
    <n v="190"/>
    <n v="101"/>
    <n v="482"/>
    <n v="0"/>
    <n v="6"/>
    <x v="3"/>
    <n v="28.36"/>
    <n v="36.76"/>
    <x v="0"/>
  </r>
  <r>
    <x v="3"/>
    <s v="P1002"/>
    <x v="18"/>
    <x v="0"/>
    <x v="1"/>
    <n v="176"/>
    <n v="84"/>
    <n v="9"/>
    <n v="251"/>
    <n v="0"/>
    <n v="2"/>
    <x v="6"/>
    <n v="171.52"/>
    <n v="232.29"/>
    <x v="0"/>
  </r>
  <r>
    <x v="3"/>
    <s v="P1006"/>
    <x v="19"/>
    <x v="0"/>
    <x v="2"/>
    <n v="65"/>
    <n v="24"/>
    <n v="6"/>
    <n v="83"/>
    <n v="0"/>
    <n v="14"/>
    <x v="1"/>
    <n v="120.89"/>
    <n v="163.43"/>
    <x v="0"/>
  </r>
  <r>
    <x v="3"/>
    <s v="P1025"/>
    <x v="20"/>
    <x v="3"/>
    <x v="1"/>
    <n v="278"/>
    <n v="100"/>
    <n v="109"/>
    <n v="269"/>
    <n v="0"/>
    <n v="4"/>
    <x v="12"/>
    <n v="41.06"/>
    <n v="60.91"/>
    <x v="0"/>
  </r>
  <r>
    <x v="3"/>
    <s v="P1026"/>
    <x v="14"/>
    <x v="3"/>
    <x v="2"/>
    <n v="41"/>
    <n v="139"/>
    <n v="31"/>
    <n v="149"/>
    <n v="0"/>
    <n v="4"/>
    <x v="7"/>
    <n v="49.12"/>
    <n v="57.88"/>
    <x v="0"/>
  </r>
  <r>
    <x v="3"/>
    <s v="P1038"/>
    <x v="4"/>
    <x v="1"/>
    <x v="0"/>
    <n v="367"/>
    <n v="80"/>
    <n v="153"/>
    <n v="294"/>
    <n v="0"/>
    <n v="3"/>
    <x v="11"/>
    <n v="19.47"/>
    <n v="23.99"/>
    <x v="0"/>
  </r>
  <r>
    <x v="3"/>
    <s v="P1043"/>
    <x v="21"/>
    <x v="1"/>
    <x v="2"/>
    <n v="91"/>
    <n v="105"/>
    <n v="21"/>
    <n v="175"/>
    <n v="0"/>
    <n v="7"/>
    <x v="13"/>
    <n v="15.65"/>
    <n v="19.309999999999999"/>
    <x v="0"/>
  </r>
  <r>
    <x v="3"/>
    <s v="P1045"/>
    <x v="15"/>
    <x v="1"/>
    <x v="1"/>
    <n v="187"/>
    <n v="56"/>
    <n v="34"/>
    <n v="209"/>
    <n v="0"/>
    <n v="2"/>
    <x v="11"/>
    <n v="9.01"/>
    <n v="12.32"/>
    <x v="0"/>
  </r>
  <r>
    <x v="3"/>
    <s v="P1061"/>
    <x v="22"/>
    <x v="4"/>
    <x v="2"/>
    <n v="20"/>
    <n v="3"/>
    <n v="18"/>
    <n v="5"/>
    <n v="0"/>
    <n v="10"/>
    <x v="14"/>
    <n v="337.36"/>
    <n v="472.63"/>
    <x v="0"/>
  </r>
  <r>
    <x v="4"/>
    <s v="P1013"/>
    <x v="2"/>
    <x v="0"/>
    <x v="3"/>
    <n v="70"/>
    <n v="52"/>
    <n v="27"/>
    <n v="95"/>
    <n v="0"/>
    <n v="9"/>
    <x v="6"/>
    <n v="178.83"/>
    <n v="229.56"/>
    <x v="0"/>
  </r>
  <r>
    <x v="4"/>
    <s v="P1020"/>
    <x v="23"/>
    <x v="3"/>
    <x v="1"/>
    <n v="60"/>
    <n v="58"/>
    <n v="111"/>
    <n v="7"/>
    <n v="0"/>
    <n v="3"/>
    <x v="12"/>
    <n v="13.35"/>
    <n v="19.739999999999998"/>
    <x v="0"/>
  </r>
  <r>
    <x v="4"/>
    <s v="P1023"/>
    <x v="24"/>
    <x v="3"/>
    <x v="1"/>
    <n v="204"/>
    <n v="77"/>
    <n v="30"/>
    <n v="251"/>
    <n v="0"/>
    <n v="3"/>
    <x v="7"/>
    <n v="19.89"/>
    <n v="28.64"/>
    <x v="0"/>
  </r>
  <r>
    <x v="4"/>
    <s v="P1025"/>
    <x v="20"/>
    <x v="3"/>
    <x v="1"/>
    <n v="102"/>
    <n v="87"/>
    <n v="11"/>
    <n v="178"/>
    <n v="0"/>
    <n v="13"/>
    <x v="10"/>
    <n v="46.96"/>
    <n v="70.87"/>
    <x v="0"/>
  </r>
  <r>
    <x v="4"/>
    <s v="P1026"/>
    <x v="14"/>
    <x v="3"/>
    <x v="3"/>
    <n v="299"/>
    <n v="25"/>
    <n v="127"/>
    <n v="197"/>
    <n v="0"/>
    <n v="6"/>
    <x v="12"/>
    <n v="35.97"/>
    <n v="52.12"/>
    <x v="0"/>
  </r>
  <r>
    <x v="4"/>
    <s v="P1034"/>
    <x v="3"/>
    <x v="1"/>
    <x v="1"/>
    <n v="107"/>
    <n v="236"/>
    <n v="210"/>
    <n v="133"/>
    <n v="0"/>
    <n v="3"/>
    <x v="2"/>
    <n v="12.79"/>
    <n v="16.98"/>
    <x v="0"/>
  </r>
  <r>
    <x v="4"/>
    <s v="P1038"/>
    <x v="4"/>
    <x v="1"/>
    <x v="0"/>
    <n v="191"/>
    <n v="104"/>
    <n v="174"/>
    <n v="121"/>
    <n v="0"/>
    <n v="6"/>
    <x v="13"/>
    <n v="11.25"/>
    <n v="15.84"/>
    <x v="0"/>
  </r>
  <r>
    <x v="4"/>
    <s v="P1065"/>
    <x v="25"/>
    <x v="2"/>
    <x v="1"/>
    <n v="282"/>
    <n v="52"/>
    <n v="123"/>
    <n v="211"/>
    <n v="0"/>
    <n v="12"/>
    <x v="3"/>
    <n v="5.29"/>
    <n v="6.29"/>
    <x v="0"/>
  </r>
  <r>
    <x v="5"/>
    <s v="P1027"/>
    <x v="26"/>
    <x v="3"/>
    <x v="3"/>
    <n v="87"/>
    <n v="105"/>
    <n v="125"/>
    <n v="67"/>
    <n v="0"/>
    <n v="13"/>
    <x v="10"/>
    <n v="9.3000000000000007"/>
    <n v="13.41"/>
    <x v="0"/>
  </r>
  <r>
    <x v="5"/>
    <s v="P1033"/>
    <x v="27"/>
    <x v="1"/>
    <x v="3"/>
    <n v="183"/>
    <n v="200"/>
    <n v="219"/>
    <n v="164"/>
    <n v="0"/>
    <n v="2"/>
    <x v="2"/>
    <n v="17.39"/>
    <n v="25.67"/>
    <x v="0"/>
  </r>
  <r>
    <x v="5"/>
    <s v="P1045"/>
    <x v="15"/>
    <x v="1"/>
    <x v="0"/>
    <n v="397"/>
    <n v="208"/>
    <n v="216"/>
    <n v="389"/>
    <n v="0"/>
    <n v="2"/>
    <x v="11"/>
    <n v="18.2"/>
    <n v="24.01"/>
    <x v="0"/>
  </r>
  <r>
    <x v="5"/>
    <s v="P1049"/>
    <x v="10"/>
    <x v="4"/>
    <x v="3"/>
    <n v="10"/>
    <n v="7"/>
    <n v="6"/>
    <n v="11"/>
    <n v="0"/>
    <n v="7"/>
    <x v="8"/>
    <n v="305.31"/>
    <n v="389.7"/>
    <x v="0"/>
  </r>
  <r>
    <x v="6"/>
    <s v="P1014"/>
    <x v="28"/>
    <x v="0"/>
    <x v="1"/>
    <n v="75"/>
    <n v="52"/>
    <n v="38"/>
    <n v="89"/>
    <n v="0"/>
    <n v="6"/>
    <x v="0"/>
    <n v="117.51"/>
    <n v="141.13999999999999"/>
    <x v="0"/>
  </r>
  <r>
    <x v="6"/>
    <s v="P1028"/>
    <x v="29"/>
    <x v="3"/>
    <x v="0"/>
    <n v="122"/>
    <n v="51"/>
    <n v="34"/>
    <n v="139"/>
    <n v="0"/>
    <n v="13"/>
    <x v="7"/>
    <n v="38.520000000000003"/>
    <n v="55.4"/>
    <x v="0"/>
  </r>
  <r>
    <x v="6"/>
    <s v="P1039"/>
    <x v="30"/>
    <x v="1"/>
    <x v="0"/>
    <n v="343"/>
    <n v="125"/>
    <n v="87"/>
    <n v="381"/>
    <n v="0"/>
    <n v="3"/>
    <x v="2"/>
    <n v="2.02"/>
    <n v="2.98"/>
    <x v="0"/>
  </r>
  <r>
    <x v="6"/>
    <s v="P1051"/>
    <x v="31"/>
    <x v="4"/>
    <x v="0"/>
    <n v="14"/>
    <n v="19"/>
    <n v="15"/>
    <n v="18"/>
    <n v="0"/>
    <n v="5"/>
    <x v="14"/>
    <n v="48.49"/>
    <n v="69.16"/>
    <x v="0"/>
  </r>
  <r>
    <x v="6"/>
    <s v="P1064"/>
    <x v="32"/>
    <x v="4"/>
    <x v="2"/>
    <n v="50"/>
    <n v="5"/>
    <n v="11"/>
    <n v="44"/>
    <n v="0"/>
    <n v="7"/>
    <x v="8"/>
    <n v="247.4"/>
    <n v="378.42"/>
    <x v="0"/>
  </r>
  <r>
    <x v="6"/>
    <s v="P1068"/>
    <x v="33"/>
    <x v="2"/>
    <x v="1"/>
    <n v="155"/>
    <n v="118"/>
    <n v="74"/>
    <n v="199"/>
    <n v="0"/>
    <n v="11"/>
    <x v="5"/>
    <n v="9.2200000000000006"/>
    <n v="13.14"/>
    <x v="0"/>
  </r>
  <r>
    <x v="6"/>
    <s v="P1074"/>
    <x v="6"/>
    <x v="2"/>
    <x v="1"/>
    <n v="303"/>
    <n v="129"/>
    <n v="16"/>
    <n v="416"/>
    <n v="0"/>
    <n v="11"/>
    <x v="4"/>
    <n v="14.74"/>
    <n v="18.09"/>
    <x v="0"/>
  </r>
  <r>
    <x v="7"/>
    <s v="P1001"/>
    <x v="34"/>
    <x v="0"/>
    <x v="2"/>
    <n v="58"/>
    <n v="65"/>
    <n v="17"/>
    <n v="106"/>
    <n v="0"/>
    <n v="9"/>
    <x v="6"/>
    <n v="186.65"/>
    <n v="215.81"/>
    <x v="0"/>
  </r>
  <r>
    <x v="7"/>
    <s v="P1009"/>
    <x v="1"/>
    <x v="0"/>
    <x v="2"/>
    <n v="178"/>
    <n v="84"/>
    <n v="14"/>
    <n v="248"/>
    <n v="0"/>
    <n v="12"/>
    <x v="0"/>
    <n v="193.29"/>
    <n v="274.54000000000002"/>
    <x v="0"/>
  </r>
  <r>
    <x v="7"/>
    <s v="P1016"/>
    <x v="35"/>
    <x v="0"/>
    <x v="1"/>
    <n v="144"/>
    <n v="42"/>
    <n v="5"/>
    <n v="181"/>
    <n v="0"/>
    <n v="13"/>
    <x v="1"/>
    <n v="54.36"/>
    <n v="80.78"/>
    <x v="0"/>
  </r>
  <r>
    <x v="7"/>
    <s v="P1049"/>
    <x v="10"/>
    <x v="4"/>
    <x v="1"/>
    <n v="62"/>
    <n v="5"/>
    <n v="4"/>
    <n v="63"/>
    <n v="0"/>
    <n v="5"/>
    <x v="8"/>
    <n v="325.20999999999998"/>
    <n v="480.85"/>
    <x v="0"/>
  </r>
  <r>
    <x v="7"/>
    <s v="P1057"/>
    <x v="36"/>
    <x v="4"/>
    <x v="0"/>
    <n v="40"/>
    <n v="12"/>
    <n v="13"/>
    <n v="39"/>
    <n v="0"/>
    <n v="8"/>
    <x v="9"/>
    <n v="121.34"/>
    <n v="184.66"/>
    <x v="0"/>
  </r>
  <r>
    <x v="7"/>
    <s v="P1079"/>
    <x v="8"/>
    <x v="2"/>
    <x v="2"/>
    <n v="380"/>
    <n v="208"/>
    <n v="143"/>
    <n v="445"/>
    <n v="0"/>
    <n v="12"/>
    <x v="3"/>
    <n v="22.4"/>
    <n v="27.01"/>
    <x v="0"/>
  </r>
  <r>
    <x v="8"/>
    <s v="P1011"/>
    <x v="37"/>
    <x v="0"/>
    <x v="0"/>
    <n v="125"/>
    <n v="78"/>
    <n v="78"/>
    <n v="125"/>
    <n v="0"/>
    <n v="3"/>
    <x v="1"/>
    <n v="49.91"/>
    <n v="70.03"/>
    <x v="0"/>
  </r>
  <r>
    <x v="8"/>
    <s v="P1023"/>
    <x v="24"/>
    <x v="3"/>
    <x v="0"/>
    <n v="261"/>
    <n v="96"/>
    <n v="71"/>
    <n v="286"/>
    <n v="0"/>
    <n v="8"/>
    <x v="10"/>
    <n v="65.42"/>
    <n v="88.38"/>
    <x v="0"/>
  </r>
  <r>
    <x v="8"/>
    <s v="P1033"/>
    <x v="27"/>
    <x v="1"/>
    <x v="1"/>
    <n v="148"/>
    <n v="109"/>
    <n v="86"/>
    <n v="171"/>
    <n v="0"/>
    <n v="4"/>
    <x v="2"/>
    <n v="4.2699999999999996"/>
    <n v="5.36"/>
    <x v="0"/>
  </r>
  <r>
    <x v="8"/>
    <s v="P1041"/>
    <x v="38"/>
    <x v="1"/>
    <x v="3"/>
    <n v="374"/>
    <n v="147"/>
    <n v="130"/>
    <n v="391"/>
    <n v="0"/>
    <n v="1"/>
    <x v="11"/>
    <n v="19.510000000000002"/>
    <n v="23.69"/>
    <x v="0"/>
  </r>
  <r>
    <x v="8"/>
    <s v="P1053"/>
    <x v="39"/>
    <x v="4"/>
    <x v="2"/>
    <n v="54"/>
    <n v="13"/>
    <n v="14"/>
    <n v="53"/>
    <n v="0"/>
    <n v="11"/>
    <x v="9"/>
    <n v="327.87"/>
    <n v="413.62"/>
    <x v="0"/>
  </r>
  <r>
    <x v="8"/>
    <s v="P1060"/>
    <x v="16"/>
    <x v="4"/>
    <x v="2"/>
    <n v="17"/>
    <n v="24"/>
    <n v="16"/>
    <n v="25"/>
    <n v="0"/>
    <n v="14"/>
    <x v="8"/>
    <n v="348.24"/>
    <n v="428.59"/>
    <x v="0"/>
  </r>
  <r>
    <x v="8"/>
    <s v="P1071"/>
    <x v="40"/>
    <x v="2"/>
    <x v="2"/>
    <n v="232"/>
    <n v="55"/>
    <n v="42"/>
    <n v="245"/>
    <n v="0"/>
    <n v="9"/>
    <x v="5"/>
    <n v="18.37"/>
    <n v="28.42"/>
    <x v="0"/>
  </r>
  <r>
    <x v="8"/>
    <s v="P1076"/>
    <x v="7"/>
    <x v="2"/>
    <x v="1"/>
    <n v="104"/>
    <n v="88"/>
    <n v="146"/>
    <n v="46"/>
    <n v="0"/>
    <n v="9"/>
    <x v="3"/>
    <n v="2.91"/>
    <n v="3.61"/>
    <x v="0"/>
  </r>
  <r>
    <x v="9"/>
    <s v="P1008"/>
    <x v="0"/>
    <x v="0"/>
    <x v="3"/>
    <n v="103"/>
    <n v="74"/>
    <n v="5"/>
    <n v="172"/>
    <n v="0"/>
    <n v="6"/>
    <x v="6"/>
    <n v="110.81"/>
    <n v="140.09"/>
    <x v="0"/>
  </r>
  <r>
    <x v="9"/>
    <s v="P1012"/>
    <x v="41"/>
    <x v="0"/>
    <x v="2"/>
    <n v="21"/>
    <n v="74"/>
    <n v="64"/>
    <n v="31"/>
    <n v="0"/>
    <n v="4"/>
    <x v="0"/>
    <n v="150.04"/>
    <n v="204.49"/>
    <x v="0"/>
  </r>
  <r>
    <x v="9"/>
    <s v="P1035"/>
    <x v="42"/>
    <x v="1"/>
    <x v="0"/>
    <n v="383"/>
    <n v="246"/>
    <n v="216"/>
    <n v="413"/>
    <n v="0"/>
    <n v="3"/>
    <x v="11"/>
    <n v="19.41"/>
    <n v="22.69"/>
    <x v="0"/>
  </r>
  <r>
    <x v="9"/>
    <s v="P1054"/>
    <x v="43"/>
    <x v="4"/>
    <x v="0"/>
    <n v="64"/>
    <n v="24"/>
    <n v="4"/>
    <n v="84"/>
    <n v="0"/>
    <n v="10"/>
    <x v="9"/>
    <n v="176.36"/>
    <n v="219.76"/>
    <x v="0"/>
  </r>
  <r>
    <x v="9"/>
    <s v="P1075"/>
    <x v="44"/>
    <x v="2"/>
    <x v="1"/>
    <n v="190"/>
    <n v="71"/>
    <n v="33"/>
    <n v="228"/>
    <n v="0"/>
    <n v="2"/>
    <x v="5"/>
    <n v="9.68"/>
    <n v="12.8"/>
    <x v="0"/>
  </r>
  <r>
    <x v="10"/>
    <s v="P1002"/>
    <x v="18"/>
    <x v="0"/>
    <x v="2"/>
    <n v="160"/>
    <n v="71"/>
    <n v="51"/>
    <n v="180"/>
    <n v="0"/>
    <n v="3"/>
    <x v="0"/>
    <n v="64.8"/>
    <n v="98.06"/>
    <x v="0"/>
  </r>
  <r>
    <x v="10"/>
    <s v="P1009"/>
    <x v="1"/>
    <x v="0"/>
    <x v="2"/>
    <n v="115"/>
    <n v="41"/>
    <n v="57"/>
    <n v="99"/>
    <n v="0"/>
    <n v="12"/>
    <x v="6"/>
    <n v="201.39"/>
    <n v="239.8"/>
    <x v="0"/>
  </r>
  <r>
    <x v="10"/>
    <s v="P1017"/>
    <x v="45"/>
    <x v="3"/>
    <x v="0"/>
    <n v="118"/>
    <n v="80"/>
    <n v="122"/>
    <n v="76"/>
    <n v="0"/>
    <n v="10"/>
    <x v="7"/>
    <n v="77.88"/>
    <n v="106.98"/>
    <x v="0"/>
  </r>
  <r>
    <x v="10"/>
    <s v="P1018"/>
    <x v="46"/>
    <x v="3"/>
    <x v="3"/>
    <n v="198"/>
    <n v="111"/>
    <n v="101"/>
    <n v="208"/>
    <n v="0"/>
    <n v="3"/>
    <x v="12"/>
    <n v="29.07"/>
    <n v="33.67"/>
    <x v="0"/>
  </r>
  <r>
    <x v="10"/>
    <s v="P1074"/>
    <x v="6"/>
    <x v="2"/>
    <x v="3"/>
    <n v="72"/>
    <n v="119"/>
    <n v="154"/>
    <n v="37"/>
    <n v="0"/>
    <n v="3"/>
    <x v="4"/>
    <n v="9.16"/>
    <n v="14.03"/>
    <x v="0"/>
  </r>
  <r>
    <x v="11"/>
    <s v="P1006"/>
    <x v="19"/>
    <x v="0"/>
    <x v="3"/>
    <n v="141"/>
    <n v="63"/>
    <n v="10"/>
    <n v="194"/>
    <n v="0"/>
    <n v="5"/>
    <x v="6"/>
    <n v="216.5"/>
    <n v="272.72000000000003"/>
    <x v="0"/>
  </r>
  <r>
    <x v="11"/>
    <s v="P1010"/>
    <x v="47"/>
    <x v="0"/>
    <x v="2"/>
    <n v="120"/>
    <n v="80"/>
    <n v="76"/>
    <n v="124"/>
    <n v="0"/>
    <n v="6"/>
    <x v="0"/>
    <n v="18.7"/>
    <n v="28.49"/>
    <x v="0"/>
  </r>
  <r>
    <x v="11"/>
    <s v="P1012"/>
    <x v="41"/>
    <x v="0"/>
    <x v="2"/>
    <n v="141"/>
    <n v="19"/>
    <n v="21"/>
    <n v="139"/>
    <n v="0"/>
    <n v="6"/>
    <x v="0"/>
    <n v="120.06"/>
    <n v="172.27"/>
    <x v="0"/>
  </r>
  <r>
    <x v="11"/>
    <s v="P1026"/>
    <x v="14"/>
    <x v="3"/>
    <x v="0"/>
    <n v="206"/>
    <n v="142"/>
    <n v="83"/>
    <n v="265"/>
    <n v="0"/>
    <n v="10"/>
    <x v="10"/>
    <n v="54.67"/>
    <n v="71.23"/>
    <x v="0"/>
  </r>
  <r>
    <x v="11"/>
    <s v="P1027"/>
    <x v="26"/>
    <x v="3"/>
    <x v="1"/>
    <n v="251"/>
    <n v="81"/>
    <n v="36"/>
    <n v="296"/>
    <n v="0"/>
    <n v="6"/>
    <x v="12"/>
    <n v="12.35"/>
    <n v="16.88"/>
    <x v="0"/>
  </r>
  <r>
    <x v="11"/>
    <s v="P1044"/>
    <x v="48"/>
    <x v="1"/>
    <x v="3"/>
    <n v="193"/>
    <n v="245"/>
    <n v="215"/>
    <n v="223"/>
    <n v="0"/>
    <n v="1"/>
    <x v="13"/>
    <n v="20.16"/>
    <n v="29.14"/>
    <x v="0"/>
  </r>
  <r>
    <x v="11"/>
    <s v="P1046"/>
    <x v="49"/>
    <x v="1"/>
    <x v="0"/>
    <n v="341"/>
    <n v="224"/>
    <n v="127"/>
    <n v="438"/>
    <n v="0"/>
    <n v="3"/>
    <x v="11"/>
    <n v="9.0500000000000007"/>
    <n v="10.55"/>
    <x v="0"/>
  </r>
  <r>
    <x v="11"/>
    <s v="P1051"/>
    <x v="31"/>
    <x v="4"/>
    <x v="3"/>
    <n v="33"/>
    <n v="16"/>
    <n v="7"/>
    <n v="42"/>
    <n v="0"/>
    <n v="4"/>
    <x v="9"/>
    <n v="164.15"/>
    <n v="192.81"/>
    <x v="0"/>
  </r>
  <r>
    <x v="11"/>
    <s v="P1076"/>
    <x v="7"/>
    <x v="2"/>
    <x v="1"/>
    <n v="253"/>
    <n v="178"/>
    <n v="133"/>
    <n v="298"/>
    <n v="0"/>
    <n v="9"/>
    <x v="4"/>
    <n v="25.16"/>
    <n v="38.869999999999997"/>
    <x v="0"/>
  </r>
  <r>
    <x v="11"/>
    <s v="P1077"/>
    <x v="50"/>
    <x v="2"/>
    <x v="0"/>
    <n v="225"/>
    <n v="119"/>
    <n v="76"/>
    <n v="268"/>
    <n v="0"/>
    <n v="12"/>
    <x v="5"/>
    <n v="4.9800000000000004"/>
    <n v="7.59"/>
    <x v="0"/>
  </r>
  <r>
    <x v="12"/>
    <s v="P1001"/>
    <x v="34"/>
    <x v="0"/>
    <x v="3"/>
    <n v="28"/>
    <n v="59"/>
    <n v="10"/>
    <n v="77"/>
    <n v="0"/>
    <n v="4"/>
    <x v="0"/>
    <n v="170.71"/>
    <n v="263.79000000000002"/>
    <x v="0"/>
  </r>
  <r>
    <x v="12"/>
    <s v="P1001"/>
    <x v="34"/>
    <x v="0"/>
    <x v="2"/>
    <n v="65"/>
    <n v="41"/>
    <n v="19"/>
    <n v="87"/>
    <n v="0"/>
    <n v="13"/>
    <x v="1"/>
    <n v="204.47"/>
    <n v="272.82"/>
    <x v="0"/>
  </r>
  <r>
    <x v="12"/>
    <s v="P1025"/>
    <x v="20"/>
    <x v="3"/>
    <x v="2"/>
    <n v="130"/>
    <n v="111"/>
    <n v="72"/>
    <n v="169"/>
    <n v="0"/>
    <n v="14"/>
    <x v="7"/>
    <n v="81.180000000000007"/>
    <n v="95.91"/>
    <x v="0"/>
  </r>
  <r>
    <x v="12"/>
    <s v="P1054"/>
    <x v="43"/>
    <x v="4"/>
    <x v="1"/>
    <n v="14"/>
    <n v="14"/>
    <n v="11"/>
    <n v="17"/>
    <n v="0"/>
    <n v="10"/>
    <x v="9"/>
    <n v="234.82"/>
    <n v="353.83"/>
    <x v="0"/>
  </r>
  <r>
    <x v="12"/>
    <s v="P1055"/>
    <x v="51"/>
    <x v="4"/>
    <x v="3"/>
    <n v="16"/>
    <n v="18"/>
    <n v="7"/>
    <n v="27"/>
    <n v="0"/>
    <n v="6"/>
    <x v="8"/>
    <n v="277.36"/>
    <n v="386.79"/>
    <x v="0"/>
  </r>
  <r>
    <x v="12"/>
    <s v="P1058"/>
    <x v="52"/>
    <x v="4"/>
    <x v="2"/>
    <n v="45"/>
    <n v="4"/>
    <n v="9"/>
    <n v="40"/>
    <n v="0"/>
    <n v="9"/>
    <x v="9"/>
    <n v="124.27"/>
    <n v="179.92"/>
    <x v="0"/>
  </r>
  <r>
    <x v="13"/>
    <s v="P1022"/>
    <x v="53"/>
    <x v="3"/>
    <x v="1"/>
    <n v="106"/>
    <n v="74"/>
    <n v="40"/>
    <n v="140"/>
    <n v="0"/>
    <n v="11"/>
    <x v="10"/>
    <n v="56.7"/>
    <n v="68.569999999999993"/>
    <x v="0"/>
  </r>
  <r>
    <x v="13"/>
    <s v="P1024"/>
    <x v="54"/>
    <x v="3"/>
    <x v="2"/>
    <n v="136"/>
    <n v="82"/>
    <n v="74"/>
    <n v="144"/>
    <n v="0"/>
    <n v="8"/>
    <x v="10"/>
    <n v="9.2899999999999991"/>
    <n v="12.24"/>
    <x v="0"/>
  </r>
  <r>
    <x v="13"/>
    <s v="P1028"/>
    <x v="29"/>
    <x v="3"/>
    <x v="3"/>
    <n v="80"/>
    <n v="95"/>
    <n v="98"/>
    <n v="77"/>
    <n v="0"/>
    <n v="3"/>
    <x v="12"/>
    <n v="88.66"/>
    <n v="115.88"/>
    <x v="0"/>
  </r>
  <r>
    <x v="13"/>
    <s v="P1035"/>
    <x v="42"/>
    <x v="1"/>
    <x v="1"/>
    <n v="161"/>
    <n v="224"/>
    <n v="196"/>
    <n v="189"/>
    <n v="0"/>
    <n v="4"/>
    <x v="11"/>
    <n v="22.66"/>
    <n v="34.54"/>
    <x v="0"/>
  </r>
  <r>
    <x v="13"/>
    <s v="P1044"/>
    <x v="48"/>
    <x v="1"/>
    <x v="2"/>
    <n v="351"/>
    <n v="243"/>
    <n v="57"/>
    <n v="537"/>
    <n v="0"/>
    <n v="4"/>
    <x v="13"/>
    <n v="18.3"/>
    <n v="21.31"/>
    <x v="0"/>
  </r>
  <r>
    <x v="13"/>
    <s v="P1047"/>
    <x v="55"/>
    <x v="1"/>
    <x v="3"/>
    <n v="97"/>
    <n v="221"/>
    <n v="132"/>
    <n v="186"/>
    <n v="0"/>
    <n v="5"/>
    <x v="11"/>
    <n v="17.79"/>
    <n v="26.26"/>
    <x v="0"/>
  </r>
  <r>
    <x v="13"/>
    <s v="P1056"/>
    <x v="56"/>
    <x v="4"/>
    <x v="3"/>
    <n v="27"/>
    <n v="10"/>
    <n v="9"/>
    <n v="28"/>
    <n v="0"/>
    <n v="8"/>
    <x v="14"/>
    <n v="108.16"/>
    <n v="142"/>
    <x v="0"/>
  </r>
  <r>
    <x v="13"/>
    <s v="P1060"/>
    <x v="16"/>
    <x v="4"/>
    <x v="1"/>
    <n v="77"/>
    <n v="13"/>
    <n v="19"/>
    <n v="71"/>
    <n v="0"/>
    <n v="3"/>
    <x v="8"/>
    <n v="39.799999999999997"/>
    <n v="50.55"/>
    <x v="0"/>
  </r>
  <r>
    <x v="13"/>
    <s v="P1064"/>
    <x v="32"/>
    <x v="4"/>
    <x v="0"/>
    <n v="77"/>
    <n v="20"/>
    <n v="13"/>
    <n v="84"/>
    <n v="0"/>
    <n v="8"/>
    <x v="14"/>
    <n v="345.51"/>
    <n v="510.78"/>
    <x v="0"/>
  </r>
  <r>
    <x v="13"/>
    <s v="P1065"/>
    <x v="25"/>
    <x v="2"/>
    <x v="1"/>
    <n v="210"/>
    <n v="39"/>
    <n v="119"/>
    <n v="130"/>
    <n v="0"/>
    <n v="10"/>
    <x v="4"/>
    <n v="5.75"/>
    <n v="7.49"/>
    <x v="0"/>
  </r>
  <r>
    <x v="14"/>
    <s v="P1001"/>
    <x v="34"/>
    <x v="0"/>
    <x v="1"/>
    <n v="39"/>
    <n v="69"/>
    <n v="78"/>
    <n v="30"/>
    <n v="0"/>
    <n v="9"/>
    <x v="1"/>
    <n v="46.78"/>
    <n v="66.23"/>
    <x v="0"/>
  </r>
  <r>
    <x v="14"/>
    <s v="P1004"/>
    <x v="57"/>
    <x v="0"/>
    <x v="3"/>
    <n v="130"/>
    <n v="25"/>
    <n v="27"/>
    <n v="128"/>
    <n v="0"/>
    <n v="8"/>
    <x v="6"/>
    <n v="135.63"/>
    <n v="167.41"/>
    <x v="0"/>
  </r>
  <r>
    <x v="14"/>
    <s v="P1008"/>
    <x v="0"/>
    <x v="0"/>
    <x v="2"/>
    <n v="155"/>
    <n v="55"/>
    <n v="11"/>
    <n v="199"/>
    <n v="0"/>
    <n v="8"/>
    <x v="0"/>
    <n v="149.51"/>
    <n v="182.55"/>
    <x v="0"/>
  </r>
  <r>
    <x v="14"/>
    <s v="P1032"/>
    <x v="58"/>
    <x v="3"/>
    <x v="1"/>
    <n v="137"/>
    <n v="131"/>
    <n v="134"/>
    <n v="134"/>
    <n v="0"/>
    <n v="8"/>
    <x v="7"/>
    <n v="52.73"/>
    <n v="61.95"/>
    <x v="0"/>
  </r>
  <r>
    <x v="14"/>
    <s v="P1032"/>
    <x v="58"/>
    <x v="3"/>
    <x v="2"/>
    <n v="280"/>
    <n v="89"/>
    <n v="72"/>
    <n v="297"/>
    <n v="0"/>
    <n v="14"/>
    <x v="7"/>
    <n v="59.49"/>
    <n v="74.959999999999994"/>
    <x v="0"/>
  </r>
  <r>
    <x v="14"/>
    <s v="P1033"/>
    <x v="27"/>
    <x v="1"/>
    <x v="3"/>
    <n v="122"/>
    <n v="47"/>
    <n v="32"/>
    <n v="137"/>
    <n v="0"/>
    <n v="5"/>
    <x v="13"/>
    <n v="8.61"/>
    <n v="10.45"/>
    <x v="0"/>
  </r>
  <r>
    <x v="14"/>
    <s v="P1037"/>
    <x v="59"/>
    <x v="1"/>
    <x v="2"/>
    <n v="146"/>
    <n v="213"/>
    <n v="109"/>
    <n v="250"/>
    <n v="0"/>
    <n v="7"/>
    <x v="11"/>
    <n v="19.57"/>
    <n v="27.35"/>
    <x v="0"/>
  </r>
  <r>
    <x v="14"/>
    <s v="P1043"/>
    <x v="21"/>
    <x v="1"/>
    <x v="2"/>
    <n v="154"/>
    <n v="143"/>
    <n v="57"/>
    <n v="240"/>
    <n v="0"/>
    <n v="2"/>
    <x v="2"/>
    <n v="17.62"/>
    <n v="23.58"/>
    <x v="0"/>
  </r>
  <r>
    <x v="15"/>
    <s v="P1052"/>
    <x v="60"/>
    <x v="4"/>
    <x v="2"/>
    <n v="33"/>
    <n v="18"/>
    <n v="7"/>
    <n v="44"/>
    <n v="0"/>
    <n v="12"/>
    <x v="9"/>
    <n v="337.73"/>
    <n v="448.39"/>
    <x v="0"/>
  </r>
  <r>
    <x v="15"/>
    <s v="P1071"/>
    <x v="40"/>
    <x v="2"/>
    <x v="3"/>
    <n v="74"/>
    <n v="204"/>
    <n v="17"/>
    <n v="261"/>
    <n v="0"/>
    <n v="4"/>
    <x v="3"/>
    <n v="5.21"/>
    <n v="7.53"/>
    <x v="0"/>
  </r>
  <r>
    <x v="15"/>
    <s v="P1075"/>
    <x v="44"/>
    <x v="2"/>
    <x v="2"/>
    <n v="218"/>
    <n v="150"/>
    <n v="130"/>
    <n v="238"/>
    <n v="0"/>
    <n v="11"/>
    <x v="5"/>
    <n v="18.12"/>
    <n v="21.35"/>
    <x v="0"/>
  </r>
  <r>
    <x v="16"/>
    <s v="P1004"/>
    <x v="57"/>
    <x v="0"/>
    <x v="3"/>
    <n v="22"/>
    <n v="87"/>
    <n v="51"/>
    <n v="58"/>
    <n v="0"/>
    <n v="4"/>
    <x v="6"/>
    <n v="17.059999999999999"/>
    <n v="21.49"/>
    <x v="0"/>
  </r>
  <r>
    <x v="16"/>
    <s v="P1013"/>
    <x v="2"/>
    <x v="0"/>
    <x v="0"/>
    <n v="139"/>
    <n v="68"/>
    <n v="37"/>
    <n v="170"/>
    <n v="0"/>
    <n v="3"/>
    <x v="6"/>
    <n v="103.72"/>
    <n v="147.72"/>
    <x v="0"/>
  </r>
  <r>
    <x v="16"/>
    <s v="P1020"/>
    <x v="23"/>
    <x v="3"/>
    <x v="2"/>
    <n v="105"/>
    <n v="144"/>
    <n v="72"/>
    <n v="177"/>
    <n v="0"/>
    <n v="8"/>
    <x v="7"/>
    <n v="31.16"/>
    <n v="42.75"/>
    <x v="0"/>
  </r>
  <r>
    <x v="16"/>
    <s v="P1042"/>
    <x v="61"/>
    <x v="1"/>
    <x v="0"/>
    <n v="142"/>
    <n v="203"/>
    <n v="84"/>
    <n v="261"/>
    <n v="0"/>
    <n v="6"/>
    <x v="13"/>
    <n v="19.850000000000001"/>
    <n v="30.54"/>
    <x v="0"/>
  </r>
  <r>
    <x v="16"/>
    <s v="P1045"/>
    <x v="15"/>
    <x v="1"/>
    <x v="3"/>
    <n v="119"/>
    <n v="221"/>
    <n v="33"/>
    <n v="307"/>
    <n v="0"/>
    <n v="3"/>
    <x v="11"/>
    <n v="23.93"/>
    <n v="28.49"/>
    <x v="0"/>
  </r>
  <r>
    <x v="16"/>
    <s v="P1051"/>
    <x v="31"/>
    <x v="4"/>
    <x v="0"/>
    <n v="10"/>
    <n v="12"/>
    <n v="18"/>
    <n v="4"/>
    <n v="0"/>
    <n v="7"/>
    <x v="8"/>
    <n v="229.24"/>
    <n v="299.83999999999997"/>
    <x v="0"/>
  </r>
  <r>
    <x v="16"/>
    <s v="P1077"/>
    <x v="50"/>
    <x v="2"/>
    <x v="1"/>
    <n v="130"/>
    <n v="208"/>
    <n v="79"/>
    <n v="259"/>
    <n v="0"/>
    <n v="14"/>
    <x v="3"/>
    <n v="13.67"/>
    <n v="17.89"/>
    <x v="0"/>
  </r>
  <r>
    <x v="17"/>
    <s v="P1047"/>
    <x v="55"/>
    <x v="1"/>
    <x v="2"/>
    <n v="499"/>
    <n v="135"/>
    <n v="141"/>
    <n v="493"/>
    <n v="0"/>
    <n v="2"/>
    <x v="13"/>
    <n v="23.56"/>
    <n v="34.04"/>
    <x v="0"/>
  </r>
  <r>
    <x v="17"/>
    <s v="P1058"/>
    <x v="52"/>
    <x v="4"/>
    <x v="1"/>
    <n v="68"/>
    <n v="14"/>
    <n v="14"/>
    <n v="68"/>
    <n v="0"/>
    <n v="4"/>
    <x v="14"/>
    <n v="225.45"/>
    <n v="326.26"/>
    <x v="0"/>
  </r>
  <r>
    <x v="17"/>
    <s v="P1061"/>
    <x v="22"/>
    <x v="4"/>
    <x v="1"/>
    <n v="48"/>
    <n v="2"/>
    <n v="1"/>
    <n v="49"/>
    <n v="0"/>
    <n v="14"/>
    <x v="8"/>
    <n v="134.25"/>
    <n v="170.95"/>
    <x v="0"/>
  </r>
  <r>
    <x v="18"/>
    <s v="P1033"/>
    <x v="27"/>
    <x v="1"/>
    <x v="0"/>
    <n v="188"/>
    <n v="113"/>
    <n v="208"/>
    <n v="93"/>
    <n v="0"/>
    <n v="7"/>
    <x v="2"/>
    <n v="5.0599999999999996"/>
    <n v="7.11"/>
    <x v="0"/>
  </r>
  <r>
    <x v="18"/>
    <s v="P1045"/>
    <x v="15"/>
    <x v="1"/>
    <x v="2"/>
    <n v="279"/>
    <n v="81"/>
    <n v="109"/>
    <n v="251"/>
    <n v="0"/>
    <n v="3"/>
    <x v="13"/>
    <n v="13.01"/>
    <n v="18.010000000000002"/>
    <x v="0"/>
  </r>
  <r>
    <x v="18"/>
    <s v="P1049"/>
    <x v="10"/>
    <x v="4"/>
    <x v="0"/>
    <n v="25"/>
    <n v="2"/>
    <n v="13"/>
    <n v="14"/>
    <n v="0"/>
    <n v="7"/>
    <x v="9"/>
    <n v="296.89999999999998"/>
    <n v="418.72"/>
    <x v="0"/>
  </r>
  <r>
    <x v="19"/>
    <s v="P1001"/>
    <x v="34"/>
    <x v="0"/>
    <x v="3"/>
    <n v="49"/>
    <n v="66"/>
    <n v="22"/>
    <n v="93"/>
    <n v="0"/>
    <n v="4"/>
    <x v="0"/>
    <n v="72.58"/>
    <n v="89.5"/>
    <x v="0"/>
  </r>
  <r>
    <x v="19"/>
    <s v="P1004"/>
    <x v="57"/>
    <x v="0"/>
    <x v="0"/>
    <n v="154"/>
    <n v="85"/>
    <n v="14"/>
    <n v="225"/>
    <n v="0"/>
    <n v="6"/>
    <x v="0"/>
    <n v="77.34"/>
    <n v="102.85"/>
    <x v="0"/>
  </r>
  <r>
    <x v="19"/>
    <s v="P1005"/>
    <x v="62"/>
    <x v="0"/>
    <x v="0"/>
    <n v="120"/>
    <n v="69"/>
    <n v="10"/>
    <n v="179"/>
    <n v="0"/>
    <n v="13"/>
    <x v="0"/>
    <n v="125.95"/>
    <n v="185.34"/>
    <x v="0"/>
  </r>
  <r>
    <x v="19"/>
    <s v="P1029"/>
    <x v="63"/>
    <x v="3"/>
    <x v="0"/>
    <n v="93"/>
    <n v="113"/>
    <n v="85"/>
    <n v="121"/>
    <n v="0"/>
    <n v="4"/>
    <x v="10"/>
    <n v="23.11"/>
    <n v="30.61"/>
    <x v="0"/>
  </r>
  <r>
    <x v="19"/>
    <s v="P1054"/>
    <x v="43"/>
    <x v="4"/>
    <x v="1"/>
    <n v="31"/>
    <n v="3"/>
    <n v="6"/>
    <n v="28"/>
    <n v="0"/>
    <n v="12"/>
    <x v="9"/>
    <n v="46.97"/>
    <n v="67.62"/>
    <x v="0"/>
  </r>
  <r>
    <x v="19"/>
    <s v="P1077"/>
    <x v="50"/>
    <x v="2"/>
    <x v="0"/>
    <n v="295"/>
    <n v="191"/>
    <n v="56"/>
    <n v="430"/>
    <n v="0"/>
    <n v="5"/>
    <x v="4"/>
    <n v="15.39"/>
    <n v="18.739999999999998"/>
    <x v="0"/>
  </r>
  <r>
    <x v="20"/>
    <s v="P1014"/>
    <x v="28"/>
    <x v="0"/>
    <x v="2"/>
    <n v="54"/>
    <n v="39"/>
    <n v="12"/>
    <n v="81"/>
    <n v="0"/>
    <n v="7"/>
    <x v="6"/>
    <n v="130.27000000000001"/>
    <n v="199.71"/>
    <x v="0"/>
  </r>
  <r>
    <x v="20"/>
    <s v="P1022"/>
    <x v="53"/>
    <x v="3"/>
    <x v="0"/>
    <n v="100"/>
    <n v="114"/>
    <n v="49"/>
    <n v="165"/>
    <n v="0"/>
    <n v="9"/>
    <x v="7"/>
    <n v="11.1"/>
    <n v="12.96"/>
    <x v="0"/>
  </r>
  <r>
    <x v="20"/>
    <s v="P1075"/>
    <x v="44"/>
    <x v="2"/>
    <x v="0"/>
    <n v="185"/>
    <n v="74"/>
    <n v="66"/>
    <n v="193"/>
    <n v="0"/>
    <n v="3"/>
    <x v="5"/>
    <n v="6.85"/>
    <n v="9.7200000000000006"/>
    <x v="0"/>
  </r>
  <r>
    <x v="20"/>
    <s v="P1076"/>
    <x v="7"/>
    <x v="2"/>
    <x v="3"/>
    <n v="96"/>
    <n v="43"/>
    <n v="139"/>
    <n v="0"/>
    <n v="1"/>
    <n v="12"/>
    <x v="5"/>
    <n v="28.07"/>
    <n v="35.840000000000003"/>
    <x v="0"/>
  </r>
  <r>
    <x v="21"/>
    <s v="P1003"/>
    <x v="64"/>
    <x v="0"/>
    <x v="1"/>
    <n v="47"/>
    <n v="45"/>
    <n v="68"/>
    <n v="24"/>
    <n v="0"/>
    <n v="3"/>
    <x v="6"/>
    <n v="50.42"/>
    <n v="65.2"/>
    <x v="0"/>
  </r>
  <r>
    <x v="21"/>
    <s v="P1014"/>
    <x v="28"/>
    <x v="0"/>
    <x v="3"/>
    <n v="178"/>
    <n v="19"/>
    <n v="80"/>
    <n v="117"/>
    <n v="0"/>
    <n v="5"/>
    <x v="1"/>
    <n v="122.69"/>
    <n v="144.34"/>
    <x v="0"/>
  </r>
  <r>
    <x v="21"/>
    <s v="P1054"/>
    <x v="43"/>
    <x v="4"/>
    <x v="0"/>
    <n v="56"/>
    <n v="5"/>
    <n v="12"/>
    <n v="49"/>
    <n v="0"/>
    <n v="7"/>
    <x v="9"/>
    <n v="262.81"/>
    <n v="369.58"/>
    <x v="0"/>
  </r>
  <r>
    <x v="21"/>
    <s v="P1060"/>
    <x v="16"/>
    <x v="4"/>
    <x v="2"/>
    <n v="36"/>
    <n v="16"/>
    <n v="3"/>
    <n v="49"/>
    <n v="0"/>
    <n v="9"/>
    <x v="8"/>
    <n v="126.18"/>
    <n v="175.91"/>
    <x v="0"/>
  </r>
  <r>
    <x v="21"/>
    <s v="P1076"/>
    <x v="7"/>
    <x v="2"/>
    <x v="3"/>
    <n v="164"/>
    <n v="194"/>
    <n v="162"/>
    <n v="196"/>
    <n v="0"/>
    <n v="3"/>
    <x v="3"/>
    <n v="15.08"/>
    <n v="22.35"/>
    <x v="0"/>
  </r>
  <r>
    <x v="21"/>
    <s v="P1078"/>
    <x v="65"/>
    <x v="2"/>
    <x v="2"/>
    <n v="131"/>
    <n v="56"/>
    <n v="142"/>
    <n v="45"/>
    <n v="0"/>
    <n v="11"/>
    <x v="3"/>
    <n v="26.46"/>
    <n v="38.520000000000003"/>
    <x v="0"/>
  </r>
  <r>
    <x v="22"/>
    <s v="P1019"/>
    <x v="66"/>
    <x v="3"/>
    <x v="3"/>
    <n v="79"/>
    <n v="108"/>
    <n v="70"/>
    <n v="117"/>
    <n v="0"/>
    <n v="6"/>
    <x v="10"/>
    <n v="16.100000000000001"/>
    <n v="19"/>
    <x v="0"/>
  </r>
  <r>
    <x v="22"/>
    <s v="P1047"/>
    <x v="55"/>
    <x v="1"/>
    <x v="1"/>
    <n v="311"/>
    <n v="165"/>
    <n v="106"/>
    <n v="370"/>
    <n v="0"/>
    <n v="5"/>
    <x v="13"/>
    <n v="18.54"/>
    <n v="25.38"/>
    <x v="0"/>
  </r>
  <r>
    <x v="22"/>
    <s v="P1049"/>
    <x v="10"/>
    <x v="4"/>
    <x v="3"/>
    <n v="51"/>
    <n v="6"/>
    <n v="11"/>
    <n v="46"/>
    <n v="0"/>
    <n v="2"/>
    <x v="9"/>
    <n v="210.99"/>
    <n v="279.93"/>
    <x v="0"/>
  </r>
  <r>
    <x v="22"/>
    <s v="P1059"/>
    <x v="11"/>
    <x v="4"/>
    <x v="3"/>
    <n v="39"/>
    <n v="22"/>
    <n v="10"/>
    <n v="51"/>
    <n v="0"/>
    <n v="9"/>
    <x v="8"/>
    <n v="85.89"/>
    <n v="130.02000000000001"/>
    <x v="0"/>
  </r>
  <r>
    <x v="22"/>
    <s v="P1067"/>
    <x v="5"/>
    <x v="2"/>
    <x v="2"/>
    <n v="132"/>
    <n v="127"/>
    <n v="71"/>
    <n v="188"/>
    <n v="0"/>
    <n v="8"/>
    <x v="4"/>
    <n v="26.44"/>
    <n v="30.83"/>
    <x v="0"/>
  </r>
  <r>
    <x v="23"/>
    <s v="P1012"/>
    <x v="41"/>
    <x v="0"/>
    <x v="2"/>
    <n v="102"/>
    <n v="57"/>
    <n v="26"/>
    <n v="133"/>
    <n v="0"/>
    <n v="12"/>
    <x v="1"/>
    <n v="21.9"/>
    <n v="31.09"/>
    <x v="0"/>
  </r>
  <r>
    <x v="23"/>
    <s v="P1030"/>
    <x v="9"/>
    <x v="3"/>
    <x v="2"/>
    <n v="236"/>
    <n v="99"/>
    <n v="16"/>
    <n v="319"/>
    <n v="0"/>
    <n v="8"/>
    <x v="12"/>
    <n v="80.91"/>
    <n v="123.4"/>
    <x v="0"/>
  </r>
  <r>
    <x v="24"/>
    <s v="P1005"/>
    <x v="62"/>
    <x v="0"/>
    <x v="2"/>
    <n v="46"/>
    <n v="82"/>
    <n v="75"/>
    <n v="53"/>
    <n v="0"/>
    <n v="11"/>
    <x v="0"/>
    <n v="65.28"/>
    <n v="93.47"/>
    <x v="0"/>
  </r>
  <r>
    <x v="24"/>
    <s v="P1030"/>
    <x v="9"/>
    <x v="3"/>
    <x v="3"/>
    <n v="135"/>
    <n v="147"/>
    <n v="35"/>
    <n v="247"/>
    <n v="0"/>
    <n v="3"/>
    <x v="12"/>
    <n v="68.010000000000005"/>
    <n v="82.69"/>
    <x v="0"/>
  </r>
  <r>
    <x v="24"/>
    <s v="P1040"/>
    <x v="67"/>
    <x v="1"/>
    <x v="3"/>
    <n v="135"/>
    <n v="104"/>
    <n v="31"/>
    <n v="208"/>
    <n v="0"/>
    <n v="5"/>
    <x v="13"/>
    <n v="24.12"/>
    <n v="33.020000000000003"/>
    <x v="0"/>
  </r>
  <r>
    <x v="24"/>
    <s v="P1049"/>
    <x v="10"/>
    <x v="4"/>
    <x v="1"/>
    <n v="59"/>
    <n v="7"/>
    <n v="20"/>
    <n v="46"/>
    <n v="0"/>
    <n v="2"/>
    <x v="8"/>
    <n v="66.22"/>
    <n v="86.53"/>
    <x v="0"/>
  </r>
  <r>
    <x v="24"/>
    <s v="P1059"/>
    <x v="11"/>
    <x v="4"/>
    <x v="2"/>
    <n v="33"/>
    <n v="17"/>
    <n v="5"/>
    <n v="45"/>
    <n v="0"/>
    <n v="6"/>
    <x v="9"/>
    <n v="128.03"/>
    <n v="190.76"/>
    <x v="0"/>
  </r>
  <r>
    <x v="24"/>
    <s v="P1062"/>
    <x v="68"/>
    <x v="4"/>
    <x v="1"/>
    <n v="22"/>
    <n v="12"/>
    <n v="13"/>
    <n v="21"/>
    <n v="0"/>
    <n v="11"/>
    <x v="8"/>
    <n v="315.89999999999998"/>
    <n v="486.11"/>
    <x v="0"/>
  </r>
  <r>
    <x v="24"/>
    <s v="P1063"/>
    <x v="12"/>
    <x v="4"/>
    <x v="3"/>
    <n v="57"/>
    <n v="18"/>
    <n v="19"/>
    <n v="56"/>
    <n v="0"/>
    <n v="4"/>
    <x v="8"/>
    <n v="164.7"/>
    <n v="209.59"/>
    <x v="0"/>
  </r>
  <r>
    <x v="24"/>
    <s v="P1066"/>
    <x v="69"/>
    <x v="2"/>
    <x v="0"/>
    <n v="373"/>
    <n v="203"/>
    <n v="43"/>
    <n v="533"/>
    <n v="0"/>
    <n v="4"/>
    <x v="5"/>
    <n v="19.420000000000002"/>
    <n v="22.66"/>
    <x v="0"/>
  </r>
  <r>
    <x v="24"/>
    <s v="P1066"/>
    <x v="69"/>
    <x v="2"/>
    <x v="0"/>
    <n v="256"/>
    <n v="59"/>
    <n v="102"/>
    <n v="213"/>
    <n v="0"/>
    <n v="12"/>
    <x v="4"/>
    <n v="18.25"/>
    <n v="23.44"/>
    <x v="0"/>
  </r>
  <r>
    <x v="25"/>
    <s v="P1023"/>
    <x v="24"/>
    <x v="3"/>
    <x v="0"/>
    <n v="229"/>
    <n v="122"/>
    <n v="62"/>
    <n v="289"/>
    <n v="0"/>
    <n v="3"/>
    <x v="12"/>
    <n v="86.38"/>
    <n v="101.77"/>
    <x v="0"/>
  </r>
  <r>
    <x v="25"/>
    <s v="P1024"/>
    <x v="54"/>
    <x v="3"/>
    <x v="0"/>
    <n v="67"/>
    <n v="96"/>
    <n v="10"/>
    <n v="153"/>
    <n v="0"/>
    <n v="13"/>
    <x v="12"/>
    <n v="23.44"/>
    <n v="29.8"/>
    <x v="0"/>
  </r>
  <r>
    <x v="25"/>
    <s v="P1063"/>
    <x v="12"/>
    <x v="4"/>
    <x v="3"/>
    <n v="74"/>
    <n v="19"/>
    <n v="2"/>
    <n v="91"/>
    <n v="0"/>
    <n v="4"/>
    <x v="14"/>
    <n v="202.67"/>
    <n v="279.72000000000003"/>
    <x v="0"/>
  </r>
  <r>
    <x v="25"/>
    <s v="P1064"/>
    <x v="32"/>
    <x v="4"/>
    <x v="1"/>
    <n v="50"/>
    <n v="23"/>
    <n v="4"/>
    <n v="69"/>
    <n v="0"/>
    <n v="3"/>
    <x v="8"/>
    <n v="116.23"/>
    <n v="180.12"/>
    <x v="0"/>
  </r>
  <r>
    <x v="25"/>
    <s v="P1076"/>
    <x v="7"/>
    <x v="2"/>
    <x v="3"/>
    <n v="366"/>
    <n v="105"/>
    <n v="136"/>
    <n v="335"/>
    <n v="0"/>
    <n v="10"/>
    <x v="5"/>
    <n v="10.96"/>
    <n v="16.829999999999998"/>
    <x v="0"/>
  </r>
  <r>
    <x v="26"/>
    <s v="P1001"/>
    <x v="34"/>
    <x v="0"/>
    <x v="2"/>
    <n v="50"/>
    <n v="28"/>
    <n v="72"/>
    <n v="6"/>
    <n v="0"/>
    <n v="9"/>
    <x v="6"/>
    <n v="138.68"/>
    <n v="176.79"/>
    <x v="0"/>
  </r>
  <r>
    <x v="26"/>
    <s v="P1002"/>
    <x v="18"/>
    <x v="0"/>
    <x v="3"/>
    <n v="51"/>
    <n v="82"/>
    <n v="31"/>
    <n v="102"/>
    <n v="0"/>
    <n v="5"/>
    <x v="1"/>
    <n v="93.48"/>
    <n v="129.53"/>
    <x v="0"/>
  </r>
  <r>
    <x v="26"/>
    <s v="P1005"/>
    <x v="62"/>
    <x v="0"/>
    <x v="1"/>
    <n v="35"/>
    <n v="63"/>
    <n v="47"/>
    <n v="51"/>
    <n v="0"/>
    <n v="11"/>
    <x v="1"/>
    <n v="150.99"/>
    <n v="198.29"/>
    <x v="0"/>
  </r>
  <r>
    <x v="26"/>
    <s v="P1027"/>
    <x v="26"/>
    <x v="3"/>
    <x v="3"/>
    <n v="206"/>
    <n v="145"/>
    <n v="66"/>
    <n v="285"/>
    <n v="0"/>
    <n v="2"/>
    <x v="7"/>
    <n v="10.53"/>
    <n v="12.33"/>
    <x v="0"/>
  </r>
  <r>
    <x v="26"/>
    <s v="P1070"/>
    <x v="13"/>
    <x v="2"/>
    <x v="1"/>
    <n v="100"/>
    <n v="33"/>
    <n v="133"/>
    <n v="0"/>
    <n v="1"/>
    <n v="9"/>
    <x v="4"/>
    <n v="19.82"/>
    <n v="27.29"/>
    <x v="0"/>
  </r>
  <r>
    <x v="27"/>
    <s v="P1001"/>
    <x v="34"/>
    <x v="0"/>
    <x v="2"/>
    <n v="150"/>
    <n v="71"/>
    <n v="68"/>
    <n v="153"/>
    <n v="0"/>
    <n v="7"/>
    <x v="0"/>
    <n v="18.47"/>
    <n v="27.96"/>
    <x v="0"/>
  </r>
  <r>
    <x v="27"/>
    <s v="P1024"/>
    <x v="54"/>
    <x v="3"/>
    <x v="1"/>
    <n v="193"/>
    <n v="121"/>
    <n v="92"/>
    <n v="222"/>
    <n v="0"/>
    <n v="4"/>
    <x v="12"/>
    <n v="75.739999999999995"/>
    <n v="108.29"/>
    <x v="0"/>
  </r>
  <r>
    <x v="27"/>
    <s v="P1029"/>
    <x v="63"/>
    <x v="3"/>
    <x v="1"/>
    <n v="94"/>
    <n v="141"/>
    <n v="106"/>
    <n v="129"/>
    <n v="0"/>
    <n v="8"/>
    <x v="7"/>
    <n v="58.86"/>
    <n v="78.94"/>
    <x v="0"/>
  </r>
  <r>
    <x v="27"/>
    <s v="P1040"/>
    <x v="67"/>
    <x v="1"/>
    <x v="3"/>
    <n v="365"/>
    <n v="65"/>
    <n v="163"/>
    <n v="267"/>
    <n v="0"/>
    <n v="5"/>
    <x v="13"/>
    <n v="24.9"/>
    <n v="33.42"/>
    <x v="0"/>
  </r>
  <r>
    <x v="27"/>
    <s v="P1044"/>
    <x v="48"/>
    <x v="1"/>
    <x v="0"/>
    <n v="139"/>
    <n v="186"/>
    <n v="68"/>
    <n v="257"/>
    <n v="0"/>
    <n v="7"/>
    <x v="13"/>
    <n v="3.77"/>
    <n v="4.42"/>
    <x v="0"/>
  </r>
  <r>
    <x v="27"/>
    <s v="P1069"/>
    <x v="17"/>
    <x v="2"/>
    <x v="2"/>
    <n v="348"/>
    <n v="169"/>
    <n v="58"/>
    <n v="459"/>
    <n v="0"/>
    <n v="14"/>
    <x v="4"/>
    <n v="24.66"/>
    <n v="32.340000000000003"/>
    <x v="0"/>
  </r>
  <r>
    <x v="28"/>
    <s v="P1020"/>
    <x v="23"/>
    <x v="3"/>
    <x v="3"/>
    <n v="50"/>
    <n v="88"/>
    <n v="73"/>
    <n v="65"/>
    <n v="0"/>
    <n v="11"/>
    <x v="12"/>
    <n v="31.71"/>
    <n v="40.4"/>
    <x v="0"/>
  </r>
  <r>
    <x v="28"/>
    <s v="P1029"/>
    <x v="63"/>
    <x v="3"/>
    <x v="1"/>
    <n v="243"/>
    <n v="72"/>
    <n v="128"/>
    <n v="187"/>
    <n v="0"/>
    <n v="11"/>
    <x v="10"/>
    <n v="23.68"/>
    <n v="30.19"/>
    <x v="0"/>
  </r>
  <r>
    <x v="28"/>
    <s v="P1046"/>
    <x v="49"/>
    <x v="1"/>
    <x v="3"/>
    <n v="299"/>
    <n v="131"/>
    <n v="207"/>
    <n v="223"/>
    <n v="0"/>
    <n v="3"/>
    <x v="11"/>
    <n v="10.56"/>
    <n v="14.35"/>
    <x v="0"/>
  </r>
  <r>
    <x v="28"/>
    <s v="P1066"/>
    <x v="69"/>
    <x v="2"/>
    <x v="1"/>
    <n v="253"/>
    <n v="187"/>
    <n v="118"/>
    <n v="322"/>
    <n v="0"/>
    <n v="3"/>
    <x v="3"/>
    <n v="17.32"/>
    <n v="26.6"/>
    <x v="0"/>
  </r>
  <r>
    <x v="28"/>
    <s v="P1067"/>
    <x v="5"/>
    <x v="2"/>
    <x v="3"/>
    <n v="298"/>
    <n v="41"/>
    <n v="163"/>
    <n v="176"/>
    <n v="0"/>
    <n v="11"/>
    <x v="4"/>
    <n v="27.93"/>
    <n v="41.11"/>
    <x v="0"/>
  </r>
  <r>
    <x v="28"/>
    <s v="P1070"/>
    <x v="13"/>
    <x v="2"/>
    <x v="0"/>
    <n v="332"/>
    <n v="183"/>
    <n v="37"/>
    <n v="478"/>
    <n v="0"/>
    <n v="9"/>
    <x v="5"/>
    <n v="2.81"/>
    <n v="4.1500000000000004"/>
    <x v="0"/>
  </r>
  <r>
    <x v="28"/>
    <s v="P1075"/>
    <x v="44"/>
    <x v="2"/>
    <x v="0"/>
    <n v="306"/>
    <n v="157"/>
    <n v="41"/>
    <n v="422"/>
    <n v="0"/>
    <n v="6"/>
    <x v="4"/>
    <n v="17.23"/>
    <n v="23.45"/>
    <x v="0"/>
  </r>
  <r>
    <x v="28"/>
    <s v="P1078"/>
    <x v="65"/>
    <x v="2"/>
    <x v="1"/>
    <n v="333"/>
    <n v="156"/>
    <n v="123"/>
    <n v="366"/>
    <n v="0"/>
    <n v="8"/>
    <x v="4"/>
    <n v="9.9499999999999993"/>
    <n v="12.61"/>
    <x v="0"/>
  </r>
  <r>
    <x v="29"/>
    <s v="P1070"/>
    <x v="13"/>
    <x v="2"/>
    <x v="1"/>
    <n v="327"/>
    <n v="46"/>
    <n v="44"/>
    <n v="329"/>
    <n v="0"/>
    <n v="9"/>
    <x v="4"/>
    <n v="24.7"/>
    <n v="28.54"/>
    <x v="0"/>
  </r>
  <r>
    <x v="30"/>
    <s v="P1047"/>
    <x v="55"/>
    <x v="1"/>
    <x v="2"/>
    <n v="293"/>
    <n v="89"/>
    <n v="185"/>
    <n v="197"/>
    <n v="0"/>
    <n v="7"/>
    <x v="13"/>
    <n v="21.54"/>
    <n v="29.36"/>
    <x v="0"/>
  </r>
  <r>
    <x v="30"/>
    <s v="P1056"/>
    <x v="56"/>
    <x v="4"/>
    <x v="3"/>
    <n v="49"/>
    <n v="14"/>
    <n v="10"/>
    <n v="53"/>
    <n v="0"/>
    <n v="3"/>
    <x v="9"/>
    <n v="66.55"/>
    <n v="96.2"/>
    <x v="0"/>
  </r>
  <r>
    <x v="31"/>
    <s v="P1043"/>
    <x v="21"/>
    <x v="1"/>
    <x v="1"/>
    <n v="329"/>
    <n v="105"/>
    <n v="80"/>
    <n v="354"/>
    <n v="0"/>
    <n v="6"/>
    <x v="13"/>
    <n v="2.08"/>
    <n v="2.4300000000000002"/>
    <x v="1"/>
  </r>
  <r>
    <x v="31"/>
    <s v="P1044"/>
    <x v="48"/>
    <x v="1"/>
    <x v="0"/>
    <n v="80"/>
    <n v="170"/>
    <n v="86"/>
    <n v="164"/>
    <n v="0"/>
    <n v="5"/>
    <x v="2"/>
    <n v="21.8"/>
    <n v="25.12"/>
    <x v="1"/>
  </r>
  <r>
    <x v="32"/>
    <s v="P1003"/>
    <x v="64"/>
    <x v="0"/>
    <x v="0"/>
    <n v="66"/>
    <n v="24"/>
    <n v="74"/>
    <n v="16"/>
    <n v="0"/>
    <n v="13"/>
    <x v="1"/>
    <n v="93.69"/>
    <n v="129.16999999999999"/>
    <x v="1"/>
  </r>
  <r>
    <x v="32"/>
    <s v="P1014"/>
    <x v="28"/>
    <x v="0"/>
    <x v="1"/>
    <n v="25"/>
    <n v="72"/>
    <n v="71"/>
    <n v="26"/>
    <n v="0"/>
    <n v="11"/>
    <x v="6"/>
    <n v="16.309999999999999"/>
    <n v="25.14"/>
    <x v="1"/>
  </r>
  <r>
    <x v="32"/>
    <s v="P1018"/>
    <x v="46"/>
    <x v="3"/>
    <x v="1"/>
    <n v="208"/>
    <n v="76"/>
    <n v="63"/>
    <n v="221"/>
    <n v="0"/>
    <n v="7"/>
    <x v="12"/>
    <n v="12.48"/>
    <n v="19.21"/>
    <x v="1"/>
  </r>
  <r>
    <x v="32"/>
    <s v="P1035"/>
    <x v="42"/>
    <x v="1"/>
    <x v="2"/>
    <n v="375"/>
    <n v="218"/>
    <n v="99"/>
    <n v="494"/>
    <n v="0"/>
    <n v="5"/>
    <x v="13"/>
    <n v="22.5"/>
    <n v="33.11"/>
    <x v="1"/>
  </r>
  <r>
    <x v="33"/>
    <s v="P1004"/>
    <x v="57"/>
    <x v="0"/>
    <x v="0"/>
    <n v="66"/>
    <n v="17"/>
    <n v="27"/>
    <n v="56"/>
    <n v="0"/>
    <n v="6"/>
    <x v="1"/>
    <n v="38.99"/>
    <n v="47.72"/>
    <x v="1"/>
  </r>
  <r>
    <x v="33"/>
    <s v="P1006"/>
    <x v="19"/>
    <x v="0"/>
    <x v="1"/>
    <n v="112"/>
    <n v="18"/>
    <n v="19"/>
    <n v="111"/>
    <n v="0"/>
    <n v="11"/>
    <x v="0"/>
    <n v="169.39"/>
    <n v="244.09"/>
    <x v="1"/>
  </r>
  <r>
    <x v="33"/>
    <s v="P1007"/>
    <x v="70"/>
    <x v="0"/>
    <x v="0"/>
    <n v="50"/>
    <n v="20"/>
    <n v="6"/>
    <n v="64"/>
    <n v="0"/>
    <n v="9"/>
    <x v="6"/>
    <n v="131.21"/>
    <n v="199.82"/>
    <x v="1"/>
  </r>
  <r>
    <x v="33"/>
    <s v="P1009"/>
    <x v="1"/>
    <x v="0"/>
    <x v="0"/>
    <n v="64"/>
    <n v="67"/>
    <n v="55"/>
    <n v="76"/>
    <n v="0"/>
    <n v="3"/>
    <x v="0"/>
    <n v="187.53"/>
    <n v="217.94"/>
    <x v="1"/>
  </r>
  <r>
    <x v="33"/>
    <s v="P1028"/>
    <x v="29"/>
    <x v="3"/>
    <x v="3"/>
    <n v="279"/>
    <n v="104"/>
    <n v="74"/>
    <n v="309"/>
    <n v="0"/>
    <n v="5"/>
    <x v="10"/>
    <n v="26.51"/>
    <n v="37.03"/>
    <x v="1"/>
  </r>
  <r>
    <x v="33"/>
    <s v="P1072"/>
    <x v="71"/>
    <x v="2"/>
    <x v="3"/>
    <n v="204"/>
    <n v="113"/>
    <n v="101"/>
    <n v="216"/>
    <n v="0"/>
    <n v="3"/>
    <x v="5"/>
    <n v="4.7699999999999996"/>
    <n v="6.85"/>
    <x v="1"/>
  </r>
  <r>
    <x v="34"/>
    <s v="P1002"/>
    <x v="18"/>
    <x v="0"/>
    <x v="3"/>
    <n v="114"/>
    <n v="23"/>
    <n v="69"/>
    <n v="68"/>
    <n v="0"/>
    <n v="7"/>
    <x v="6"/>
    <n v="185.01"/>
    <n v="236.26"/>
    <x v="1"/>
  </r>
  <r>
    <x v="34"/>
    <s v="P1007"/>
    <x v="70"/>
    <x v="0"/>
    <x v="3"/>
    <n v="101"/>
    <n v="62"/>
    <n v="68"/>
    <n v="95"/>
    <n v="0"/>
    <n v="4"/>
    <x v="6"/>
    <n v="213.94"/>
    <n v="255.65"/>
    <x v="1"/>
  </r>
  <r>
    <x v="34"/>
    <s v="P1050"/>
    <x v="72"/>
    <x v="4"/>
    <x v="3"/>
    <n v="65"/>
    <n v="24"/>
    <n v="3"/>
    <n v="86"/>
    <n v="0"/>
    <n v="3"/>
    <x v="14"/>
    <n v="295.67"/>
    <n v="447.18"/>
    <x v="1"/>
  </r>
  <r>
    <x v="34"/>
    <s v="P1050"/>
    <x v="72"/>
    <x v="4"/>
    <x v="2"/>
    <n v="45"/>
    <n v="23"/>
    <n v="15"/>
    <n v="53"/>
    <n v="0"/>
    <n v="13"/>
    <x v="14"/>
    <n v="118.38"/>
    <n v="149.38"/>
    <x v="1"/>
  </r>
  <r>
    <x v="34"/>
    <s v="P1068"/>
    <x v="33"/>
    <x v="2"/>
    <x v="3"/>
    <n v="172"/>
    <n v="179"/>
    <n v="84"/>
    <n v="267"/>
    <n v="0"/>
    <n v="12"/>
    <x v="5"/>
    <n v="28.33"/>
    <n v="43.76"/>
    <x v="1"/>
  </r>
  <r>
    <x v="34"/>
    <s v="P1077"/>
    <x v="50"/>
    <x v="2"/>
    <x v="1"/>
    <n v="395"/>
    <n v="173"/>
    <n v="120"/>
    <n v="448"/>
    <n v="0"/>
    <n v="10"/>
    <x v="5"/>
    <n v="23.52"/>
    <n v="27.66"/>
    <x v="1"/>
  </r>
  <r>
    <x v="34"/>
    <s v="P1077"/>
    <x v="50"/>
    <x v="2"/>
    <x v="2"/>
    <n v="153"/>
    <n v="197"/>
    <n v="99"/>
    <n v="251"/>
    <n v="0"/>
    <n v="6"/>
    <x v="3"/>
    <n v="13.87"/>
    <n v="17.52"/>
    <x v="1"/>
  </r>
  <r>
    <x v="35"/>
    <s v="P1009"/>
    <x v="1"/>
    <x v="0"/>
    <x v="2"/>
    <n v="112"/>
    <n v="89"/>
    <n v="45"/>
    <n v="156"/>
    <n v="0"/>
    <n v="4"/>
    <x v="0"/>
    <n v="41.11"/>
    <n v="51.97"/>
    <x v="1"/>
  </r>
  <r>
    <x v="35"/>
    <s v="P1039"/>
    <x v="30"/>
    <x v="1"/>
    <x v="1"/>
    <n v="89"/>
    <n v="135"/>
    <n v="195"/>
    <n v="29"/>
    <n v="0"/>
    <n v="4"/>
    <x v="13"/>
    <n v="13.1"/>
    <n v="19.14"/>
    <x v="1"/>
  </r>
  <r>
    <x v="35"/>
    <s v="P1045"/>
    <x v="15"/>
    <x v="1"/>
    <x v="0"/>
    <n v="270"/>
    <n v="147"/>
    <n v="86"/>
    <n v="331"/>
    <n v="0"/>
    <n v="5"/>
    <x v="11"/>
    <n v="18.670000000000002"/>
    <n v="25.24"/>
    <x v="1"/>
  </r>
  <r>
    <x v="35"/>
    <s v="P1062"/>
    <x v="68"/>
    <x v="4"/>
    <x v="2"/>
    <n v="34"/>
    <n v="21"/>
    <n v="2"/>
    <n v="53"/>
    <n v="0"/>
    <n v="11"/>
    <x v="14"/>
    <n v="50.81"/>
    <n v="73.3"/>
    <x v="1"/>
  </r>
  <r>
    <x v="35"/>
    <s v="P1066"/>
    <x v="69"/>
    <x v="2"/>
    <x v="1"/>
    <n v="377"/>
    <n v="211"/>
    <n v="43"/>
    <n v="545"/>
    <n v="0"/>
    <n v="7"/>
    <x v="4"/>
    <n v="8.2200000000000006"/>
    <n v="10.52"/>
    <x v="1"/>
  </r>
  <r>
    <x v="35"/>
    <s v="P1077"/>
    <x v="50"/>
    <x v="2"/>
    <x v="3"/>
    <n v="205"/>
    <n v="96"/>
    <n v="136"/>
    <n v="165"/>
    <n v="0"/>
    <n v="13"/>
    <x v="5"/>
    <n v="9.66"/>
    <n v="14.46"/>
    <x v="1"/>
  </r>
  <r>
    <x v="36"/>
    <s v="P1008"/>
    <x v="0"/>
    <x v="0"/>
    <x v="2"/>
    <n v="58"/>
    <n v="38"/>
    <n v="24"/>
    <n v="72"/>
    <n v="0"/>
    <n v="12"/>
    <x v="1"/>
    <n v="103.23"/>
    <n v="147.44999999999999"/>
    <x v="1"/>
  </r>
  <r>
    <x v="36"/>
    <s v="P1012"/>
    <x v="41"/>
    <x v="0"/>
    <x v="1"/>
    <n v="138"/>
    <n v="18"/>
    <n v="16"/>
    <n v="140"/>
    <n v="0"/>
    <n v="8"/>
    <x v="0"/>
    <n v="209.23"/>
    <n v="314.64999999999998"/>
    <x v="1"/>
  </r>
  <r>
    <x v="36"/>
    <s v="P1033"/>
    <x v="27"/>
    <x v="1"/>
    <x v="1"/>
    <n v="91"/>
    <n v="55"/>
    <n v="62"/>
    <n v="84"/>
    <n v="0"/>
    <n v="5"/>
    <x v="13"/>
    <n v="16.87"/>
    <n v="25.97"/>
    <x v="1"/>
  </r>
  <r>
    <x v="36"/>
    <s v="P1044"/>
    <x v="48"/>
    <x v="1"/>
    <x v="2"/>
    <n v="255"/>
    <n v="210"/>
    <n v="119"/>
    <n v="346"/>
    <n v="0"/>
    <n v="1"/>
    <x v="2"/>
    <n v="9.4700000000000006"/>
    <n v="12.39"/>
    <x v="1"/>
  </r>
  <r>
    <x v="36"/>
    <s v="P1051"/>
    <x v="31"/>
    <x v="4"/>
    <x v="1"/>
    <n v="28"/>
    <n v="22"/>
    <n v="17"/>
    <n v="33"/>
    <n v="0"/>
    <n v="9"/>
    <x v="9"/>
    <n v="328.72"/>
    <n v="506.47"/>
    <x v="1"/>
  </r>
  <r>
    <x v="36"/>
    <s v="P1072"/>
    <x v="71"/>
    <x v="2"/>
    <x v="0"/>
    <n v="223"/>
    <n v="177"/>
    <n v="32"/>
    <n v="368"/>
    <n v="0"/>
    <n v="7"/>
    <x v="4"/>
    <n v="9.58"/>
    <n v="11.02"/>
    <x v="1"/>
  </r>
  <r>
    <x v="37"/>
    <s v="P1010"/>
    <x v="47"/>
    <x v="0"/>
    <x v="0"/>
    <n v="79"/>
    <n v="58"/>
    <n v="55"/>
    <n v="82"/>
    <n v="0"/>
    <n v="13"/>
    <x v="6"/>
    <n v="48.63"/>
    <n v="61.47"/>
    <x v="1"/>
  </r>
  <r>
    <x v="37"/>
    <s v="P1020"/>
    <x v="23"/>
    <x v="3"/>
    <x v="0"/>
    <n v="273"/>
    <n v="65"/>
    <n v="73"/>
    <n v="265"/>
    <n v="0"/>
    <n v="7"/>
    <x v="12"/>
    <n v="60.7"/>
    <n v="90.44"/>
    <x v="1"/>
  </r>
  <r>
    <x v="37"/>
    <s v="P1022"/>
    <x v="53"/>
    <x v="3"/>
    <x v="3"/>
    <n v="44"/>
    <n v="101"/>
    <n v="140"/>
    <n v="5"/>
    <n v="0"/>
    <n v="12"/>
    <x v="7"/>
    <n v="14.1"/>
    <n v="21.73"/>
    <x v="1"/>
  </r>
  <r>
    <x v="37"/>
    <s v="P1040"/>
    <x v="67"/>
    <x v="1"/>
    <x v="3"/>
    <n v="484"/>
    <n v="225"/>
    <n v="104"/>
    <n v="605"/>
    <n v="0"/>
    <n v="5"/>
    <x v="13"/>
    <n v="2.67"/>
    <n v="3.73"/>
    <x v="1"/>
  </r>
  <r>
    <x v="37"/>
    <s v="P1046"/>
    <x v="49"/>
    <x v="1"/>
    <x v="2"/>
    <n v="458"/>
    <n v="86"/>
    <n v="137"/>
    <n v="407"/>
    <n v="0"/>
    <n v="4"/>
    <x v="2"/>
    <n v="24.65"/>
    <n v="35.78"/>
    <x v="1"/>
  </r>
  <r>
    <x v="37"/>
    <s v="P1052"/>
    <x v="60"/>
    <x v="4"/>
    <x v="0"/>
    <n v="40"/>
    <n v="12"/>
    <n v="10"/>
    <n v="42"/>
    <n v="0"/>
    <n v="9"/>
    <x v="8"/>
    <n v="184.51"/>
    <n v="217.76"/>
    <x v="1"/>
  </r>
  <r>
    <x v="38"/>
    <s v="P1001"/>
    <x v="34"/>
    <x v="0"/>
    <x v="1"/>
    <n v="129"/>
    <n v="18"/>
    <n v="15"/>
    <n v="132"/>
    <n v="0"/>
    <n v="4"/>
    <x v="6"/>
    <n v="200.16"/>
    <n v="232.16"/>
    <x v="1"/>
  </r>
  <r>
    <x v="38"/>
    <s v="P1002"/>
    <x v="18"/>
    <x v="0"/>
    <x v="3"/>
    <n v="93"/>
    <n v="89"/>
    <n v="79"/>
    <n v="103"/>
    <n v="0"/>
    <n v="14"/>
    <x v="0"/>
    <n v="124.52"/>
    <n v="185.13"/>
    <x v="1"/>
  </r>
  <r>
    <x v="38"/>
    <s v="P1011"/>
    <x v="37"/>
    <x v="0"/>
    <x v="0"/>
    <n v="39"/>
    <n v="81"/>
    <n v="77"/>
    <n v="43"/>
    <n v="0"/>
    <n v="8"/>
    <x v="0"/>
    <n v="113.54"/>
    <n v="150.91999999999999"/>
    <x v="1"/>
  </r>
  <r>
    <x v="38"/>
    <s v="P1014"/>
    <x v="28"/>
    <x v="0"/>
    <x v="3"/>
    <n v="47"/>
    <n v="65"/>
    <n v="73"/>
    <n v="39"/>
    <n v="0"/>
    <n v="3"/>
    <x v="1"/>
    <n v="206.76"/>
    <n v="299.92"/>
    <x v="1"/>
  </r>
  <r>
    <x v="38"/>
    <s v="P1018"/>
    <x v="46"/>
    <x v="3"/>
    <x v="2"/>
    <n v="151"/>
    <n v="75"/>
    <n v="69"/>
    <n v="157"/>
    <n v="0"/>
    <n v="12"/>
    <x v="7"/>
    <n v="77.23"/>
    <n v="109.69"/>
    <x v="1"/>
  </r>
  <r>
    <x v="38"/>
    <s v="P1023"/>
    <x v="24"/>
    <x v="3"/>
    <x v="2"/>
    <n v="214"/>
    <n v="114"/>
    <n v="93"/>
    <n v="235"/>
    <n v="0"/>
    <n v="13"/>
    <x v="7"/>
    <n v="82.55"/>
    <n v="105.3"/>
    <x v="1"/>
  </r>
  <r>
    <x v="38"/>
    <s v="P1030"/>
    <x v="9"/>
    <x v="3"/>
    <x v="2"/>
    <n v="154"/>
    <n v="47"/>
    <n v="20"/>
    <n v="181"/>
    <n v="0"/>
    <n v="8"/>
    <x v="7"/>
    <n v="12.73"/>
    <n v="16.63"/>
    <x v="1"/>
  </r>
  <r>
    <x v="38"/>
    <s v="P1035"/>
    <x v="42"/>
    <x v="1"/>
    <x v="0"/>
    <n v="436"/>
    <n v="101"/>
    <n v="81"/>
    <n v="456"/>
    <n v="0"/>
    <n v="6"/>
    <x v="13"/>
    <n v="5.8"/>
    <n v="8.81"/>
    <x v="1"/>
  </r>
  <r>
    <x v="38"/>
    <s v="P1039"/>
    <x v="30"/>
    <x v="1"/>
    <x v="1"/>
    <n v="185"/>
    <n v="185"/>
    <n v="174"/>
    <n v="196"/>
    <n v="0"/>
    <n v="1"/>
    <x v="2"/>
    <n v="13.32"/>
    <n v="16.34"/>
    <x v="1"/>
  </r>
  <r>
    <x v="38"/>
    <s v="P1047"/>
    <x v="55"/>
    <x v="1"/>
    <x v="2"/>
    <n v="387"/>
    <n v="130"/>
    <n v="156"/>
    <n v="361"/>
    <n v="0"/>
    <n v="6"/>
    <x v="2"/>
    <n v="12.56"/>
    <n v="18.55"/>
    <x v="1"/>
  </r>
  <r>
    <x v="38"/>
    <s v="P1047"/>
    <x v="55"/>
    <x v="1"/>
    <x v="1"/>
    <n v="80"/>
    <n v="80"/>
    <n v="67"/>
    <n v="93"/>
    <n v="0"/>
    <n v="7"/>
    <x v="2"/>
    <n v="9.16"/>
    <n v="12.61"/>
    <x v="1"/>
  </r>
  <r>
    <x v="38"/>
    <s v="P1054"/>
    <x v="43"/>
    <x v="4"/>
    <x v="3"/>
    <n v="13"/>
    <n v="6"/>
    <n v="17"/>
    <n v="2"/>
    <n v="0"/>
    <n v="8"/>
    <x v="8"/>
    <n v="330.36"/>
    <n v="479.7"/>
    <x v="1"/>
  </r>
  <r>
    <x v="38"/>
    <s v="P1059"/>
    <x v="11"/>
    <x v="4"/>
    <x v="0"/>
    <n v="23"/>
    <n v="8"/>
    <n v="20"/>
    <n v="11"/>
    <n v="0"/>
    <n v="7"/>
    <x v="8"/>
    <n v="26.21"/>
    <n v="32.67"/>
    <x v="1"/>
  </r>
  <r>
    <x v="39"/>
    <s v="P1007"/>
    <x v="70"/>
    <x v="0"/>
    <x v="0"/>
    <n v="175"/>
    <n v="67"/>
    <n v="24"/>
    <n v="218"/>
    <n v="0"/>
    <n v="3"/>
    <x v="6"/>
    <n v="71.03"/>
    <n v="107.96"/>
    <x v="1"/>
  </r>
  <r>
    <x v="39"/>
    <s v="P1009"/>
    <x v="1"/>
    <x v="0"/>
    <x v="0"/>
    <n v="27"/>
    <n v="88"/>
    <n v="30"/>
    <n v="85"/>
    <n v="0"/>
    <n v="13"/>
    <x v="1"/>
    <n v="157.54"/>
    <n v="206.97"/>
    <x v="1"/>
  </r>
  <r>
    <x v="39"/>
    <s v="P1013"/>
    <x v="2"/>
    <x v="0"/>
    <x v="2"/>
    <n v="175"/>
    <n v="87"/>
    <n v="62"/>
    <n v="200"/>
    <n v="0"/>
    <n v="5"/>
    <x v="1"/>
    <n v="156.99"/>
    <n v="217.73"/>
    <x v="1"/>
  </r>
  <r>
    <x v="39"/>
    <s v="P1062"/>
    <x v="68"/>
    <x v="4"/>
    <x v="0"/>
    <n v="15"/>
    <n v="14"/>
    <n v="7"/>
    <n v="22"/>
    <n v="0"/>
    <n v="6"/>
    <x v="9"/>
    <n v="94.24"/>
    <n v="131.6"/>
    <x v="1"/>
  </r>
  <r>
    <x v="39"/>
    <s v="P1068"/>
    <x v="33"/>
    <x v="2"/>
    <x v="2"/>
    <n v="253"/>
    <n v="152"/>
    <n v="150"/>
    <n v="255"/>
    <n v="0"/>
    <n v="14"/>
    <x v="5"/>
    <n v="4.42"/>
    <n v="6.42"/>
    <x v="1"/>
  </r>
  <r>
    <x v="39"/>
    <s v="P1077"/>
    <x v="50"/>
    <x v="2"/>
    <x v="3"/>
    <n v="218"/>
    <n v="178"/>
    <n v="41"/>
    <n v="355"/>
    <n v="0"/>
    <n v="12"/>
    <x v="4"/>
    <n v="15.65"/>
    <n v="22.68"/>
    <x v="1"/>
  </r>
  <r>
    <x v="39"/>
    <s v="P1079"/>
    <x v="8"/>
    <x v="2"/>
    <x v="0"/>
    <n v="223"/>
    <n v="176"/>
    <n v="149"/>
    <n v="250"/>
    <n v="0"/>
    <n v="11"/>
    <x v="5"/>
    <n v="18.489999999999998"/>
    <n v="21.69"/>
    <x v="1"/>
  </r>
  <r>
    <x v="40"/>
    <s v="P1015"/>
    <x v="73"/>
    <x v="0"/>
    <x v="1"/>
    <n v="132"/>
    <n v="82"/>
    <n v="5"/>
    <n v="209"/>
    <n v="0"/>
    <n v="11"/>
    <x v="1"/>
    <n v="98.94"/>
    <n v="151.5"/>
    <x v="1"/>
  </r>
  <r>
    <x v="40"/>
    <s v="P1037"/>
    <x v="59"/>
    <x v="1"/>
    <x v="3"/>
    <n v="333"/>
    <n v="63"/>
    <n v="181"/>
    <n v="215"/>
    <n v="0"/>
    <n v="6"/>
    <x v="2"/>
    <n v="20.51"/>
    <n v="25.8"/>
    <x v="1"/>
  </r>
  <r>
    <x v="40"/>
    <s v="P1056"/>
    <x v="56"/>
    <x v="4"/>
    <x v="1"/>
    <n v="16"/>
    <n v="10"/>
    <n v="1"/>
    <n v="25"/>
    <n v="0"/>
    <n v="14"/>
    <x v="14"/>
    <n v="126.95"/>
    <n v="178.27"/>
    <x v="1"/>
  </r>
  <r>
    <x v="40"/>
    <s v="P1059"/>
    <x v="11"/>
    <x v="4"/>
    <x v="1"/>
    <n v="30"/>
    <n v="6"/>
    <n v="9"/>
    <n v="27"/>
    <n v="0"/>
    <n v="3"/>
    <x v="8"/>
    <n v="181.37"/>
    <n v="232.76"/>
    <x v="1"/>
  </r>
  <r>
    <x v="40"/>
    <s v="P1063"/>
    <x v="12"/>
    <x v="4"/>
    <x v="3"/>
    <n v="55"/>
    <n v="18"/>
    <n v="3"/>
    <n v="70"/>
    <n v="0"/>
    <n v="11"/>
    <x v="9"/>
    <n v="290.18"/>
    <n v="433.69"/>
    <x v="1"/>
  </r>
  <r>
    <x v="40"/>
    <s v="P1068"/>
    <x v="33"/>
    <x v="2"/>
    <x v="0"/>
    <n v="125"/>
    <n v="141"/>
    <n v="82"/>
    <n v="184"/>
    <n v="0"/>
    <n v="2"/>
    <x v="4"/>
    <n v="20.99"/>
    <n v="25.04"/>
    <x v="1"/>
  </r>
  <r>
    <x v="40"/>
    <s v="P1068"/>
    <x v="33"/>
    <x v="2"/>
    <x v="1"/>
    <n v="232"/>
    <n v="125"/>
    <n v="47"/>
    <n v="310"/>
    <n v="0"/>
    <n v="6"/>
    <x v="3"/>
    <n v="24.27"/>
    <n v="37.5"/>
    <x v="1"/>
  </r>
  <r>
    <x v="41"/>
    <s v="P1004"/>
    <x v="57"/>
    <x v="0"/>
    <x v="2"/>
    <n v="81"/>
    <n v="81"/>
    <n v="65"/>
    <n v="97"/>
    <n v="0"/>
    <n v="14"/>
    <x v="1"/>
    <n v="212.12"/>
    <n v="312.43"/>
    <x v="1"/>
  </r>
  <r>
    <x v="41"/>
    <s v="P1015"/>
    <x v="73"/>
    <x v="0"/>
    <x v="0"/>
    <n v="54"/>
    <n v="85"/>
    <n v="9"/>
    <n v="130"/>
    <n v="0"/>
    <n v="3"/>
    <x v="1"/>
    <n v="143.5"/>
    <n v="179.56"/>
    <x v="1"/>
  </r>
  <r>
    <x v="41"/>
    <s v="P1040"/>
    <x v="67"/>
    <x v="1"/>
    <x v="0"/>
    <n v="450"/>
    <n v="48"/>
    <n v="131"/>
    <n v="367"/>
    <n v="0"/>
    <n v="3"/>
    <x v="11"/>
    <n v="15.29"/>
    <n v="19.77"/>
    <x v="1"/>
  </r>
  <r>
    <x v="41"/>
    <s v="P1052"/>
    <x v="60"/>
    <x v="4"/>
    <x v="3"/>
    <n v="34"/>
    <n v="13"/>
    <n v="13"/>
    <n v="34"/>
    <n v="0"/>
    <n v="13"/>
    <x v="8"/>
    <n v="154.22999999999999"/>
    <n v="198.11"/>
    <x v="1"/>
  </r>
  <r>
    <x v="41"/>
    <s v="P1057"/>
    <x v="36"/>
    <x v="4"/>
    <x v="2"/>
    <n v="15"/>
    <n v="7"/>
    <n v="12"/>
    <n v="10"/>
    <n v="0"/>
    <n v="9"/>
    <x v="8"/>
    <n v="285.55"/>
    <n v="382.01"/>
    <x v="1"/>
  </r>
  <r>
    <x v="41"/>
    <s v="P1059"/>
    <x v="11"/>
    <x v="4"/>
    <x v="3"/>
    <n v="58"/>
    <n v="8"/>
    <n v="20"/>
    <n v="46"/>
    <n v="0"/>
    <n v="11"/>
    <x v="14"/>
    <n v="132.32"/>
    <n v="192.22"/>
    <x v="1"/>
  </r>
  <r>
    <x v="41"/>
    <s v="P1061"/>
    <x v="22"/>
    <x v="4"/>
    <x v="0"/>
    <n v="73"/>
    <n v="12"/>
    <n v="2"/>
    <n v="83"/>
    <n v="0"/>
    <n v="11"/>
    <x v="8"/>
    <n v="108.98"/>
    <n v="161.01"/>
    <x v="1"/>
  </r>
  <r>
    <x v="42"/>
    <s v="P1006"/>
    <x v="19"/>
    <x v="0"/>
    <x v="3"/>
    <n v="75"/>
    <n v="49"/>
    <n v="72"/>
    <n v="52"/>
    <n v="0"/>
    <n v="14"/>
    <x v="0"/>
    <n v="88.73"/>
    <n v="126.43"/>
    <x v="1"/>
  </r>
  <r>
    <x v="42"/>
    <s v="P1058"/>
    <x v="52"/>
    <x v="4"/>
    <x v="2"/>
    <n v="20"/>
    <n v="22"/>
    <n v="13"/>
    <n v="29"/>
    <n v="0"/>
    <n v="8"/>
    <x v="9"/>
    <n v="69.02"/>
    <n v="85.76"/>
    <x v="1"/>
  </r>
  <r>
    <x v="43"/>
    <s v="P1007"/>
    <x v="70"/>
    <x v="0"/>
    <x v="1"/>
    <n v="146"/>
    <n v="64"/>
    <n v="17"/>
    <n v="193"/>
    <n v="0"/>
    <n v="10"/>
    <x v="0"/>
    <n v="201.93"/>
    <n v="291.91000000000003"/>
    <x v="1"/>
  </r>
  <r>
    <x v="43"/>
    <s v="P1017"/>
    <x v="45"/>
    <x v="3"/>
    <x v="0"/>
    <n v="103"/>
    <n v="21"/>
    <n v="85"/>
    <n v="39"/>
    <n v="0"/>
    <n v="10"/>
    <x v="12"/>
    <n v="42.41"/>
    <n v="49.63"/>
    <x v="1"/>
  </r>
  <r>
    <x v="43"/>
    <s v="P1032"/>
    <x v="58"/>
    <x v="3"/>
    <x v="3"/>
    <n v="89"/>
    <n v="71"/>
    <n v="95"/>
    <n v="65"/>
    <n v="0"/>
    <n v="4"/>
    <x v="10"/>
    <n v="56.19"/>
    <n v="71.760000000000005"/>
    <x v="1"/>
  </r>
  <r>
    <x v="43"/>
    <s v="P1048"/>
    <x v="74"/>
    <x v="1"/>
    <x v="3"/>
    <n v="393"/>
    <n v="159"/>
    <n v="186"/>
    <n v="366"/>
    <n v="0"/>
    <n v="5"/>
    <x v="2"/>
    <n v="6.95"/>
    <n v="8.0299999999999994"/>
    <x v="1"/>
  </r>
  <r>
    <x v="43"/>
    <s v="P1059"/>
    <x v="11"/>
    <x v="4"/>
    <x v="0"/>
    <n v="28"/>
    <n v="16"/>
    <n v="20"/>
    <n v="24"/>
    <n v="0"/>
    <n v="9"/>
    <x v="8"/>
    <n v="253.7"/>
    <n v="346.63"/>
    <x v="1"/>
  </r>
  <r>
    <x v="43"/>
    <s v="P1077"/>
    <x v="50"/>
    <x v="2"/>
    <x v="3"/>
    <n v="66"/>
    <n v="56"/>
    <n v="15"/>
    <n v="107"/>
    <n v="0"/>
    <n v="12"/>
    <x v="3"/>
    <n v="7.31"/>
    <n v="8.66"/>
    <x v="1"/>
  </r>
  <r>
    <x v="44"/>
    <s v="P1018"/>
    <x v="46"/>
    <x v="3"/>
    <x v="0"/>
    <n v="104"/>
    <n v="35"/>
    <n v="115"/>
    <n v="24"/>
    <n v="0"/>
    <n v="3"/>
    <x v="7"/>
    <n v="20.93"/>
    <n v="26.18"/>
    <x v="1"/>
  </r>
  <r>
    <x v="44"/>
    <s v="P1045"/>
    <x v="15"/>
    <x v="1"/>
    <x v="2"/>
    <n v="163"/>
    <n v="49"/>
    <n v="48"/>
    <n v="164"/>
    <n v="0"/>
    <n v="2"/>
    <x v="13"/>
    <n v="14.18"/>
    <n v="18.55"/>
    <x v="1"/>
  </r>
  <r>
    <x v="44"/>
    <s v="P1062"/>
    <x v="68"/>
    <x v="4"/>
    <x v="2"/>
    <n v="48"/>
    <n v="10"/>
    <n v="3"/>
    <n v="55"/>
    <n v="0"/>
    <n v="13"/>
    <x v="8"/>
    <n v="241.12"/>
    <n v="302.39"/>
    <x v="1"/>
  </r>
  <r>
    <x v="45"/>
    <s v="P1001"/>
    <x v="34"/>
    <x v="0"/>
    <x v="0"/>
    <n v="59"/>
    <n v="47"/>
    <n v="42"/>
    <n v="64"/>
    <n v="0"/>
    <n v="5"/>
    <x v="1"/>
    <n v="167.01"/>
    <n v="232.11"/>
    <x v="1"/>
  </r>
  <r>
    <x v="45"/>
    <s v="P1032"/>
    <x v="58"/>
    <x v="3"/>
    <x v="2"/>
    <n v="107"/>
    <n v="47"/>
    <n v="27"/>
    <n v="127"/>
    <n v="0"/>
    <n v="11"/>
    <x v="7"/>
    <n v="47.88"/>
    <n v="60.78"/>
    <x v="1"/>
  </r>
  <r>
    <x v="45"/>
    <s v="P1033"/>
    <x v="27"/>
    <x v="1"/>
    <x v="0"/>
    <n v="420"/>
    <n v="231"/>
    <n v="39"/>
    <n v="612"/>
    <n v="0"/>
    <n v="2"/>
    <x v="13"/>
    <n v="15.93"/>
    <n v="22.35"/>
    <x v="1"/>
  </r>
  <r>
    <x v="45"/>
    <s v="P1036"/>
    <x v="75"/>
    <x v="1"/>
    <x v="2"/>
    <n v="141"/>
    <n v="196"/>
    <n v="36"/>
    <n v="301"/>
    <n v="0"/>
    <n v="2"/>
    <x v="13"/>
    <n v="24.33"/>
    <n v="29.08"/>
    <x v="1"/>
  </r>
  <r>
    <x v="45"/>
    <s v="P1053"/>
    <x v="39"/>
    <x v="4"/>
    <x v="3"/>
    <n v="79"/>
    <n v="16"/>
    <n v="19"/>
    <n v="76"/>
    <n v="0"/>
    <n v="6"/>
    <x v="9"/>
    <n v="201.19"/>
    <n v="286.87"/>
    <x v="1"/>
  </r>
  <r>
    <x v="45"/>
    <s v="P1061"/>
    <x v="22"/>
    <x v="4"/>
    <x v="2"/>
    <n v="54"/>
    <n v="13"/>
    <n v="1"/>
    <n v="66"/>
    <n v="0"/>
    <n v="13"/>
    <x v="14"/>
    <n v="152.63"/>
    <n v="210.8"/>
    <x v="1"/>
  </r>
  <r>
    <x v="45"/>
    <s v="P1066"/>
    <x v="69"/>
    <x v="2"/>
    <x v="2"/>
    <n v="377"/>
    <n v="166"/>
    <n v="82"/>
    <n v="461"/>
    <n v="0"/>
    <n v="2"/>
    <x v="5"/>
    <n v="4.2300000000000004"/>
    <n v="5.83"/>
    <x v="1"/>
  </r>
  <r>
    <x v="46"/>
    <s v="P1002"/>
    <x v="18"/>
    <x v="0"/>
    <x v="2"/>
    <n v="72"/>
    <n v="75"/>
    <n v="62"/>
    <n v="85"/>
    <n v="0"/>
    <n v="11"/>
    <x v="1"/>
    <n v="150.38"/>
    <n v="221.61"/>
    <x v="1"/>
  </r>
  <r>
    <x v="46"/>
    <s v="P1005"/>
    <x v="62"/>
    <x v="0"/>
    <x v="0"/>
    <n v="146"/>
    <n v="10"/>
    <n v="8"/>
    <n v="148"/>
    <n v="0"/>
    <n v="5"/>
    <x v="6"/>
    <n v="64.650000000000006"/>
    <n v="76.239999999999995"/>
    <x v="1"/>
  </r>
  <r>
    <x v="46"/>
    <s v="P1023"/>
    <x v="24"/>
    <x v="3"/>
    <x v="3"/>
    <n v="225"/>
    <n v="118"/>
    <n v="113"/>
    <n v="230"/>
    <n v="0"/>
    <n v="9"/>
    <x v="10"/>
    <n v="44.31"/>
    <n v="55.58"/>
    <x v="1"/>
  </r>
  <r>
    <x v="46"/>
    <s v="P1031"/>
    <x v="76"/>
    <x v="3"/>
    <x v="0"/>
    <n v="281"/>
    <n v="73"/>
    <n v="93"/>
    <n v="261"/>
    <n v="0"/>
    <n v="3"/>
    <x v="12"/>
    <n v="80.260000000000005"/>
    <n v="103.54"/>
    <x v="1"/>
  </r>
  <r>
    <x v="46"/>
    <s v="P1035"/>
    <x v="42"/>
    <x v="1"/>
    <x v="3"/>
    <n v="277"/>
    <n v="82"/>
    <n v="101"/>
    <n v="258"/>
    <n v="0"/>
    <n v="4"/>
    <x v="2"/>
    <n v="9.92"/>
    <n v="11.65"/>
    <x v="1"/>
  </r>
  <r>
    <x v="46"/>
    <s v="P1054"/>
    <x v="43"/>
    <x v="4"/>
    <x v="1"/>
    <n v="75"/>
    <n v="7"/>
    <n v="8"/>
    <n v="74"/>
    <n v="0"/>
    <n v="11"/>
    <x v="9"/>
    <n v="111.32"/>
    <n v="162.18"/>
    <x v="1"/>
  </r>
  <r>
    <x v="46"/>
    <s v="P1063"/>
    <x v="12"/>
    <x v="4"/>
    <x v="1"/>
    <n v="68"/>
    <n v="25"/>
    <n v="20"/>
    <n v="73"/>
    <n v="0"/>
    <n v="2"/>
    <x v="14"/>
    <n v="104.5"/>
    <n v="151.36000000000001"/>
    <x v="1"/>
  </r>
  <r>
    <x v="46"/>
    <s v="P1069"/>
    <x v="17"/>
    <x v="2"/>
    <x v="3"/>
    <n v="201"/>
    <n v="207"/>
    <n v="162"/>
    <n v="246"/>
    <n v="0"/>
    <n v="3"/>
    <x v="5"/>
    <n v="23.59"/>
    <n v="32.880000000000003"/>
    <x v="1"/>
  </r>
  <r>
    <x v="47"/>
    <s v="P1001"/>
    <x v="34"/>
    <x v="0"/>
    <x v="1"/>
    <n v="163"/>
    <n v="78"/>
    <n v="65"/>
    <n v="176"/>
    <n v="0"/>
    <n v="11"/>
    <x v="6"/>
    <n v="83.57"/>
    <n v="96.98"/>
    <x v="1"/>
  </r>
  <r>
    <x v="47"/>
    <s v="P1009"/>
    <x v="1"/>
    <x v="0"/>
    <x v="1"/>
    <n v="94"/>
    <n v="50"/>
    <n v="54"/>
    <n v="90"/>
    <n v="0"/>
    <n v="8"/>
    <x v="1"/>
    <n v="185.77"/>
    <n v="247.65"/>
    <x v="1"/>
  </r>
  <r>
    <x v="47"/>
    <s v="P1026"/>
    <x v="14"/>
    <x v="3"/>
    <x v="1"/>
    <n v="293"/>
    <n v="103"/>
    <n v="136"/>
    <n v="260"/>
    <n v="0"/>
    <n v="7"/>
    <x v="7"/>
    <n v="69.64"/>
    <n v="97.45"/>
    <x v="1"/>
  </r>
  <r>
    <x v="48"/>
    <s v="P1001"/>
    <x v="34"/>
    <x v="0"/>
    <x v="1"/>
    <n v="92"/>
    <n v="59"/>
    <n v="16"/>
    <n v="135"/>
    <n v="0"/>
    <n v="8"/>
    <x v="1"/>
    <n v="111.15"/>
    <n v="150.25"/>
    <x v="1"/>
  </r>
  <r>
    <x v="48"/>
    <s v="P1024"/>
    <x v="54"/>
    <x v="3"/>
    <x v="2"/>
    <n v="179"/>
    <n v="116"/>
    <n v="14"/>
    <n v="281"/>
    <n v="0"/>
    <n v="10"/>
    <x v="12"/>
    <n v="79.989999999999995"/>
    <n v="111.36"/>
    <x v="1"/>
  </r>
  <r>
    <x v="48"/>
    <s v="P1033"/>
    <x v="27"/>
    <x v="1"/>
    <x v="1"/>
    <n v="462"/>
    <n v="56"/>
    <n v="94"/>
    <n v="424"/>
    <n v="0"/>
    <n v="6"/>
    <x v="11"/>
    <n v="4.83"/>
    <n v="6.75"/>
    <x v="1"/>
  </r>
  <r>
    <x v="48"/>
    <s v="P1062"/>
    <x v="68"/>
    <x v="4"/>
    <x v="0"/>
    <n v="10"/>
    <n v="13"/>
    <n v="13"/>
    <n v="10"/>
    <n v="0"/>
    <n v="11"/>
    <x v="14"/>
    <n v="61.5"/>
    <n v="70.790000000000006"/>
    <x v="1"/>
  </r>
  <r>
    <x v="49"/>
    <s v="P1004"/>
    <x v="57"/>
    <x v="0"/>
    <x v="0"/>
    <n v="115"/>
    <n v="22"/>
    <n v="35"/>
    <n v="102"/>
    <n v="0"/>
    <n v="5"/>
    <x v="1"/>
    <n v="105.1"/>
    <n v="125.31"/>
    <x v="1"/>
  </r>
  <r>
    <x v="49"/>
    <s v="P1007"/>
    <x v="70"/>
    <x v="0"/>
    <x v="0"/>
    <n v="57"/>
    <n v="89"/>
    <n v="24"/>
    <n v="122"/>
    <n v="0"/>
    <n v="9"/>
    <x v="0"/>
    <n v="136.56"/>
    <n v="198.34"/>
    <x v="1"/>
  </r>
  <r>
    <x v="49"/>
    <s v="P1069"/>
    <x v="17"/>
    <x v="2"/>
    <x v="2"/>
    <n v="335"/>
    <n v="107"/>
    <n v="174"/>
    <n v="268"/>
    <n v="0"/>
    <n v="13"/>
    <x v="3"/>
    <n v="26.76"/>
    <n v="39.92"/>
    <x v="1"/>
  </r>
  <r>
    <x v="50"/>
    <s v="P1022"/>
    <x v="53"/>
    <x v="3"/>
    <x v="2"/>
    <n v="101"/>
    <n v="95"/>
    <n v="22"/>
    <n v="174"/>
    <n v="0"/>
    <n v="12"/>
    <x v="7"/>
    <n v="30.22"/>
    <n v="37.200000000000003"/>
    <x v="1"/>
  </r>
  <r>
    <x v="50"/>
    <s v="P1022"/>
    <x v="53"/>
    <x v="3"/>
    <x v="2"/>
    <n v="148"/>
    <n v="148"/>
    <n v="19"/>
    <n v="277"/>
    <n v="0"/>
    <n v="12"/>
    <x v="7"/>
    <n v="8.75"/>
    <n v="12.33"/>
    <x v="1"/>
  </r>
  <r>
    <x v="50"/>
    <s v="P1047"/>
    <x v="55"/>
    <x v="1"/>
    <x v="0"/>
    <n v="190"/>
    <n v="192"/>
    <n v="142"/>
    <n v="240"/>
    <n v="0"/>
    <n v="5"/>
    <x v="2"/>
    <n v="14.88"/>
    <n v="21.76"/>
    <x v="1"/>
  </r>
  <r>
    <x v="50"/>
    <s v="P1051"/>
    <x v="31"/>
    <x v="4"/>
    <x v="0"/>
    <n v="19"/>
    <n v="10"/>
    <n v="14"/>
    <n v="15"/>
    <n v="0"/>
    <n v="14"/>
    <x v="8"/>
    <n v="218.2"/>
    <n v="294.29000000000002"/>
    <x v="1"/>
  </r>
  <r>
    <x v="50"/>
    <s v="P1052"/>
    <x v="60"/>
    <x v="4"/>
    <x v="0"/>
    <n v="67"/>
    <n v="13"/>
    <n v="2"/>
    <n v="78"/>
    <n v="0"/>
    <n v="12"/>
    <x v="8"/>
    <n v="266.62"/>
    <n v="363.44"/>
    <x v="1"/>
  </r>
  <r>
    <x v="50"/>
    <s v="P1058"/>
    <x v="52"/>
    <x v="4"/>
    <x v="0"/>
    <n v="19"/>
    <n v="6"/>
    <n v="18"/>
    <n v="7"/>
    <n v="0"/>
    <n v="7"/>
    <x v="14"/>
    <n v="114.51"/>
    <n v="176.01"/>
    <x v="1"/>
  </r>
  <r>
    <x v="50"/>
    <s v="P1059"/>
    <x v="11"/>
    <x v="4"/>
    <x v="1"/>
    <n v="59"/>
    <n v="22"/>
    <n v="11"/>
    <n v="70"/>
    <n v="0"/>
    <n v="14"/>
    <x v="8"/>
    <n v="288.87"/>
    <n v="425.56"/>
    <x v="1"/>
  </r>
  <r>
    <x v="50"/>
    <s v="P1068"/>
    <x v="33"/>
    <x v="2"/>
    <x v="2"/>
    <n v="184"/>
    <n v="208"/>
    <n v="53"/>
    <n v="339"/>
    <n v="0"/>
    <n v="5"/>
    <x v="5"/>
    <n v="14.46"/>
    <n v="21.19"/>
    <x v="1"/>
  </r>
  <r>
    <x v="51"/>
    <s v="P1019"/>
    <x v="66"/>
    <x v="3"/>
    <x v="1"/>
    <n v="67"/>
    <n v="130"/>
    <n v="66"/>
    <n v="131"/>
    <n v="0"/>
    <n v="11"/>
    <x v="12"/>
    <n v="74.89"/>
    <n v="100.1"/>
    <x v="1"/>
  </r>
  <r>
    <x v="51"/>
    <s v="P1050"/>
    <x v="72"/>
    <x v="4"/>
    <x v="0"/>
    <n v="59"/>
    <n v="21"/>
    <n v="19"/>
    <n v="61"/>
    <n v="0"/>
    <n v="10"/>
    <x v="9"/>
    <n v="32.07"/>
    <n v="43.56"/>
    <x v="1"/>
  </r>
  <r>
    <x v="51"/>
    <s v="P1057"/>
    <x v="36"/>
    <x v="4"/>
    <x v="0"/>
    <n v="33"/>
    <n v="10"/>
    <n v="4"/>
    <n v="39"/>
    <n v="0"/>
    <n v="6"/>
    <x v="9"/>
    <n v="231.24"/>
    <n v="339.73"/>
    <x v="1"/>
  </r>
  <r>
    <x v="51"/>
    <s v="P1070"/>
    <x v="13"/>
    <x v="2"/>
    <x v="3"/>
    <n v="343"/>
    <n v="50"/>
    <n v="121"/>
    <n v="272"/>
    <n v="0"/>
    <n v="3"/>
    <x v="5"/>
    <n v="12.71"/>
    <n v="15.01"/>
    <x v="1"/>
  </r>
  <r>
    <x v="52"/>
    <s v="P1010"/>
    <x v="47"/>
    <x v="0"/>
    <x v="3"/>
    <n v="131"/>
    <n v="64"/>
    <n v="60"/>
    <n v="135"/>
    <n v="0"/>
    <n v="13"/>
    <x v="6"/>
    <n v="97.47"/>
    <n v="126.7"/>
    <x v="1"/>
  </r>
  <r>
    <x v="52"/>
    <s v="P1014"/>
    <x v="28"/>
    <x v="0"/>
    <x v="2"/>
    <n v="23"/>
    <n v="26"/>
    <n v="8"/>
    <n v="41"/>
    <n v="0"/>
    <n v="12"/>
    <x v="1"/>
    <n v="158.13"/>
    <n v="195.44"/>
    <x v="1"/>
  </r>
  <r>
    <x v="52"/>
    <s v="P1023"/>
    <x v="24"/>
    <x v="3"/>
    <x v="3"/>
    <n v="42"/>
    <n v="104"/>
    <n v="134"/>
    <n v="12"/>
    <n v="0"/>
    <n v="11"/>
    <x v="12"/>
    <n v="40.03"/>
    <n v="47.14"/>
    <x v="1"/>
  </r>
  <r>
    <x v="52"/>
    <s v="P1031"/>
    <x v="76"/>
    <x v="3"/>
    <x v="0"/>
    <n v="106"/>
    <n v="95"/>
    <n v="102"/>
    <n v="99"/>
    <n v="0"/>
    <n v="2"/>
    <x v="7"/>
    <n v="58.86"/>
    <n v="80.52"/>
    <x v="1"/>
  </r>
  <r>
    <x v="52"/>
    <s v="P1040"/>
    <x v="67"/>
    <x v="1"/>
    <x v="0"/>
    <n v="218"/>
    <n v="218"/>
    <n v="36"/>
    <n v="400"/>
    <n v="0"/>
    <n v="3"/>
    <x v="13"/>
    <n v="22.25"/>
    <n v="31.14"/>
    <x v="1"/>
  </r>
  <r>
    <x v="52"/>
    <s v="P1056"/>
    <x v="56"/>
    <x v="4"/>
    <x v="1"/>
    <n v="42"/>
    <n v="22"/>
    <n v="2"/>
    <n v="62"/>
    <n v="0"/>
    <n v="3"/>
    <x v="9"/>
    <n v="57.68"/>
    <n v="75.41"/>
    <x v="1"/>
  </r>
  <r>
    <x v="52"/>
    <s v="P1065"/>
    <x v="25"/>
    <x v="2"/>
    <x v="1"/>
    <n v="108"/>
    <n v="65"/>
    <n v="140"/>
    <n v="33"/>
    <n v="0"/>
    <n v="5"/>
    <x v="5"/>
    <n v="23.46"/>
    <n v="33.020000000000003"/>
    <x v="1"/>
  </r>
  <r>
    <x v="52"/>
    <s v="P1078"/>
    <x v="65"/>
    <x v="2"/>
    <x v="1"/>
    <n v="303"/>
    <n v="41"/>
    <n v="63"/>
    <n v="281"/>
    <n v="0"/>
    <n v="11"/>
    <x v="4"/>
    <n v="16.649999999999999"/>
    <n v="23.33"/>
    <x v="1"/>
  </r>
  <r>
    <x v="53"/>
    <s v="P1014"/>
    <x v="28"/>
    <x v="0"/>
    <x v="3"/>
    <n v="87"/>
    <n v="58"/>
    <n v="56"/>
    <n v="89"/>
    <n v="0"/>
    <n v="3"/>
    <x v="6"/>
    <n v="34.96"/>
    <n v="50.08"/>
    <x v="1"/>
  </r>
  <r>
    <x v="53"/>
    <s v="P1015"/>
    <x v="73"/>
    <x v="0"/>
    <x v="2"/>
    <n v="20"/>
    <n v="48"/>
    <n v="21"/>
    <n v="47"/>
    <n v="0"/>
    <n v="12"/>
    <x v="1"/>
    <n v="26.77"/>
    <n v="37.03"/>
    <x v="1"/>
  </r>
  <r>
    <x v="53"/>
    <s v="P1018"/>
    <x v="46"/>
    <x v="3"/>
    <x v="2"/>
    <n v="217"/>
    <n v="75"/>
    <n v="92"/>
    <n v="200"/>
    <n v="0"/>
    <n v="10"/>
    <x v="10"/>
    <n v="19.66"/>
    <n v="23.56"/>
    <x v="1"/>
  </r>
  <r>
    <x v="53"/>
    <s v="P1027"/>
    <x v="26"/>
    <x v="3"/>
    <x v="2"/>
    <n v="44"/>
    <n v="103"/>
    <n v="61"/>
    <n v="86"/>
    <n v="0"/>
    <n v="10"/>
    <x v="12"/>
    <n v="44.71"/>
    <n v="53.82"/>
    <x v="1"/>
  </r>
  <r>
    <x v="53"/>
    <s v="P1042"/>
    <x v="61"/>
    <x v="1"/>
    <x v="1"/>
    <n v="266"/>
    <n v="124"/>
    <n v="21"/>
    <n v="369"/>
    <n v="0"/>
    <n v="5"/>
    <x v="13"/>
    <n v="22.1"/>
    <n v="31.05"/>
    <x v="1"/>
  </r>
  <r>
    <x v="53"/>
    <s v="P1048"/>
    <x v="74"/>
    <x v="1"/>
    <x v="0"/>
    <n v="266"/>
    <n v="188"/>
    <n v="201"/>
    <n v="253"/>
    <n v="0"/>
    <n v="3"/>
    <x v="11"/>
    <n v="2.3199999999999998"/>
    <n v="2.74"/>
    <x v="1"/>
  </r>
  <r>
    <x v="53"/>
    <s v="P1060"/>
    <x v="16"/>
    <x v="4"/>
    <x v="1"/>
    <n v="48"/>
    <n v="14"/>
    <n v="1"/>
    <n v="61"/>
    <n v="0"/>
    <n v="7"/>
    <x v="9"/>
    <n v="337.57"/>
    <n v="444.35"/>
    <x v="1"/>
  </r>
  <r>
    <x v="53"/>
    <s v="P1067"/>
    <x v="5"/>
    <x v="2"/>
    <x v="3"/>
    <n v="260"/>
    <n v="142"/>
    <n v="43"/>
    <n v="359"/>
    <n v="0"/>
    <n v="14"/>
    <x v="5"/>
    <n v="18.600000000000001"/>
    <n v="22.52"/>
    <x v="1"/>
  </r>
  <r>
    <x v="53"/>
    <s v="P1079"/>
    <x v="8"/>
    <x v="2"/>
    <x v="0"/>
    <n v="88"/>
    <n v="68"/>
    <n v="105"/>
    <n v="51"/>
    <n v="0"/>
    <n v="5"/>
    <x v="5"/>
    <n v="2.19"/>
    <n v="2.98"/>
    <x v="1"/>
  </r>
  <r>
    <x v="54"/>
    <s v="P1015"/>
    <x v="73"/>
    <x v="0"/>
    <x v="1"/>
    <n v="165"/>
    <n v="69"/>
    <n v="64"/>
    <n v="170"/>
    <n v="0"/>
    <n v="11"/>
    <x v="6"/>
    <n v="41.3"/>
    <n v="51.21"/>
    <x v="1"/>
  </r>
  <r>
    <x v="54"/>
    <s v="P1021"/>
    <x v="77"/>
    <x v="3"/>
    <x v="3"/>
    <n v="164"/>
    <n v="43"/>
    <n v="55"/>
    <n v="152"/>
    <n v="0"/>
    <n v="4"/>
    <x v="10"/>
    <n v="57.46"/>
    <n v="73.83"/>
    <x v="1"/>
  </r>
  <r>
    <x v="54"/>
    <s v="P1026"/>
    <x v="14"/>
    <x v="3"/>
    <x v="1"/>
    <n v="205"/>
    <n v="105"/>
    <n v="28"/>
    <n v="282"/>
    <n v="0"/>
    <n v="5"/>
    <x v="12"/>
    <n v="52.47"/>
    <n v="63.45"/>
    <x v="1"/>
  </r>
  <r>
    <x v="54"/>
    <s v="P1057"/>
    <x v="36"/>
    <x v="4"/>
    <x v="1"/>
    <n v="67"/>
    <n v="25"/>
    <n v="13"/>
    <n v="79"/>
    <n v="0"/>
    <n v="12"/>
    <x v="14"/>
    <n v="313.22000000000003"/>
    <n v="407.61"/>
    <x v="1"/>
  </r>
  <r>
    <x v="54"/>
    <s v="P1070"/>
    <x v="13"/>
    <x v="2"/>
    <x v="0"/>
    <n v="206"/>
    <n v="118"/>
    <n v="61"/>
    <n v="263"/>
    <n v="0"/>
    <n v="7"/>
    <x v="3"/>
    <n v="15.51"/>
    <n v="23.05"/>
    <x v="1"/>
  </r>
  <r>
    <x v="54"/>
    <s v="P1072"/>
    <x v="71"/>
    <x v="2"/>
    <x v="0"/>
    <n v="196"/>
    <n v="126"/>
    <n v="176"/>
    <n v="146"/>
    <n v="0"/>
    <n v="14"/>
    <x v="3"/>
    <n v="7.55"/>
    <n v="8.76"/>
    <x v="1"/>
  </r>
  <r>
    <x v="55"/>
    <s v="P1034"/>
    <x v="3"/>
    <x v="1"/>
    <x v="2"/>
    <n v="179"/>
    <n v="185"/>
    <n v="28"/>
    <n v="336"/>
    <n v="0"/>
    <n v="6"/>
    <x v="2"/>
    <n v="22.98"/>
    <n v="32.25"/>
    <x v="1"/>
  </r>
  <r>
    <x v="55"/>
    <s v="P1050"/>
    <x v="72"/>
    <x v="4"/>
    <x v="0"/>
    <n v="16"/>
    <n v="17"/>
    <n v="13"/>
    <n v="20"/>
    <n v="0"/>
    <n v="4"/>
    <x v="8"/>
    <n v="275.29000000000002"/>
    <n v="332.17"/>
    <x v="1"/>
  </r>
  <r>
    <x v="55"/>
    <s v="P1065"/>
    <x v="25"/>
    <x v="2"/>
    <x v="1"/>
    <n v="360"/>
    <n v="183"/>
    <n v="91"/>
    <n v="452"/>
    <n v="0"/>
    <n v="2"/>
    <x v="4"/>
    <n v="1.42"/>
    <n v="2.16"/>
    <x v="1"/>
  </r>
  <r>
    <x v="56"/>
    <s v="P1001"/>
    <x v="34"/>
    <x v="0"/>
    <x v="2"/>
    <n v="175"/>
    <n v="38"/>
    <n v="20"/>
    <n v="193"/>
    <n v="0"/>
    <n v="4"/>
    <x v="1"/>
    <n v="46.05"/>
    <n v="60.93"/>
    <x v="1"/>
  </r>
  <r>
    <x v="56"/>
    <s v="P1031"/>
    <x v="76"/>
    <x v="3"/>
    <x v="0"/>
    <n v="57"/>
    <n v="35"/>
    <n v="21"/>
    <n v="71"/>
    <n v="0"/>
    <n v="5"/>
    <x v="10"/>
    <n v="22.03"/>
    <n v="33.03"/>
    <x v="1"/>
  </r>
  <r>
    <x v="57"/>
    <s v="P1040"/>
    <x v="67"/>
    <x v="1"/>
    <x v="3"/>
    <n v="107"/>
    <n v="144"/>
    <n v="96"/>
    <n v="155"/>
    <n v="0"/>
    <n v="5"/>
    <x v="2"/>
    <n v="2.5299999999999998"/>
    <n v="3.29"/>
    <x v="1"/>
  </r>
  <r>
    <x v="57"/>
    <s v="P1043"/>
    <x v="21"/>
    <x v="1"/>
    <x v="2"/>
    <n v="245"/>
    <n v="166"/>
    <n v="107"/>
    <n v="304"/>
    <n v="0"/>
    <n v="7"/>
    <x v="2"/>
    <n v="8.24"/>
    <n v="9.8000000000000007"/>
    <x v="1"/>
  </r>
  <r>
    <x v="57"/>
    <s v="P1044"/>
    <x v="48"/>
    <x v="1"/>
    <x v="3"/>
    <n v="406"/>
    <n v="87"/>
    <n v="37"/>
    <n v="456"/>
    <n v="0"/>
    <n v="7"/>
    <x v="2"/>
    <n v="18.07"/>
    <n v="23.79"/>
    <x v="1"/>
  </r>
  <r>
    <x v="57"/>
    <s v="P1045"/>
    <x v="15"/>
    <x v="1"/>
    <x v="2"/>
    <n v="391"/>
    <n v="235"/>
    <n v="54"/>
    <n v="572"/>
    <n v="0"/>
    <n v="3"/>
    <x v="2"/>
    <n v="16.68"/>
    <n v="21.23"/>
    <x v="1"/>
  </r>
  <r>
    <x v="57"/>
    <s v="P1053"/>
    <x v="39"/>
    <x v="4"/>
    <x v="2"/>
    <n v="73"/>
    <n v="6"/>
    <n v="19"/>
    <n v="60"/>
    <n v="0"/>
    <n v="7"/>
    <x v="14"/>
    <n v="156.72999999999999"/>
    <n v="197.11"/>
    <x v="1"/>
  </r>
  <r>
    <x v="57"/>
    <s v="P1070"/>
    <x v="13"/>
    <x v="2"/>
    <x v="2"/>
    <n v="289"/>
    <n v="197"/>
    <n v="178"/>
    <n v="308"/>
    <n v="0"/>
    <n v="3"/>
    <x v="5"/>
    <n v="19.829999999999998"/>
    <n v="30.23"/>
    <x v="1"/>
  </r>
  <r>
    <x v="57"/>
    <s v="P1076"/>
    <x v="7"/>
    <x v="2"/>
    <x v="0"/>
    <n v="271"/>
    <n v="59"/>
    <n v="22"/>
    <n v="308"/>
    <n v="0"/>
    <n v="7"/>
    <x v="4"/>
    <n v="27.74"/>
    <n v="33.46"/>
    <x v="1"/>
  </r>
  <r>
    <x v="57"/>
    <s v="P1078"/>
    <x v="65"/>
    <x v="2"/>
    <x v="3"/>
    <n v="399"/>
    <n v="190"/>
    <n v="42"/>
    <n v="547"/>
    <n v="0"/>
    <n v="9"/>
    <x v="5"/>
    <n v="1.9"/>
    <n v="2.38"/>
    <x v="1"/>
  </r>
  <r>
    <x v="58"/>
    <s v="P1003"/>
    <x v="64"/>
    <x v="0"/>
    <x v="1"/>
    <n v="177"/>
    <n v="17"/>
    <n v="25"/>
    <n v="169"/>
    <n v="0"/>
    <n v="7"/>
    <x v="6"/>
    <n v="102.09"/>
    <n v="134.43"/>
    <x v="1"/>
  </r>
  <r>
    <x v="58"/>
    <s v="P1013"/>
    <x v="2"/>
    <x v="0"/>
    <x v="3"/>
    <n v="65"/>
    <n v="43"/>
    <n v="68"/>
    <n v="40"/>
    <n v="0"/>
    <n v="14"/>
    <x v="6"/>
    <n v="202.98"/>
    <n v="290.81"/>
    <x v="1"/>
  </r>
  <r>
    <x v="58"/>
    <s v="P1014"/>
    <x v="28"/>
    <x v="0"/>
    <x v="3"/>
    <n v="106"/>
    <n v="90"/>
    <n v="75"/>
    <n v="121"/>
    <n v="0"/>
    <n v="5"/>
    <x v="6"/>
    <n v="35.44"/>
    <n v="45.91"/>
    <x v="1"/>
  </r>
  <r>
    <x v="58"/>
    <s v="P1017"/>
    <x v="45"/>
    <x v="3"/>
    <x v="3"/>
    <n v="220"/>
    <n v="76"/>
    <n v="129"/>
    <n v="167"/>
    <n v="0"/>
    <n v="5"/>
    <x v="12"/>
    <n v="47.79"/>
    <n v="65.319999999999993"/>
    <x v="1"/>
  </r>
  <r>
    <x v="58"/>
    <s v="P1030"/>
    <x v="9"/>
    <x v="3"/>
    <x v="1"/>
    <n v="282"/>
    <n v="112"/>
    <n v="97"/>
    <n v="297"/>
    <n v="0"/>
    <n v="10"/>
    <x v="10"/>
    <n v="74.510000000000005"/>
    <n v="88.3"/>
    <x v="1"/>
  </r>
  <r>
    <x v="58"/>
    <s v="P1047"/>
    <x v="55"/>
    <x v="1"/>
    <x v="0"/>
    <n v="485"/>
    <n v="157"/>
    <n v="40"/>
    <n v="602"/>
    <n v="0"/>
    <n v="6"/>
    <x v="13"/>
    <n v="15.65"/>
    <n v="22.97"/>
    <x v="1"/>
  </r>
  <r>
    <x v="58"/>
    <s v="P1075"/>
    <x v="44"/>
    <x v="2"/>
    <x v="0"/>
    <n v="335"/>
    <n v="98"/>
    <n v="59"/>
    <n v="374"/>
    <n v="0"/>
    <n v="7"/>
    <x v="4"/>
    <n v="25.13"/>
    <n v="34.65"/>
    <x v="1"/>
  </r>
  <r>
    <x v="59"/>
    <s v="P1010"/>
    <x v="47"/>
    <x v="0"/>
    <x v="0"/>
    <n v="48"/>
    <n v="28"/>
    <n v="47"/>
    <n v="29"/>
    <n v="0"/>
    <n v="3"/>
    <x v="6"/>
    <n v="160.02000000000001"/>
    <n v="208.94"/>
    <x v="2"/>
  </r>
  <r>
    <x v="59"/>
    <s v="P1020"/>
    <x v="23"/>
    <x v="3"/>
    <x v="1"/>
    <n v="141"/>
    <n v="36"/>
    <n v="21"/>
    <n v="156"/>
    <n v="0"/>
    <n v="7"/>
    <x v="12"/>
    <n v="29.87"/>
    <n v="43.01"/>
    <x v="2"/>
  </r>
  <r>
    <x v="59"/>
    <s v="P1037"/>
    <x v="59"/>
    <x v="1"/>
    <x v="3"/>
    <n v="476"/>
    <n v="190"/>
    <n v="76"/>
    <n v="590"/>
    <n v="0"/>
    <n v="6"/>
    <x v="11"/>
    <n v="18.170000000000002"/>
    <n v="22.51"/>
    <x v="2"/>
  </r>
  <r>
    <x v="59"/>
    <s v="P1039"/>
    <x v="30"/>
    <x v="1"/>
    <x v="2"/>
    <n v="440"/>
    <n v="238"/>
    <n v="95"/>
    <n v="583"/>
    <n v="0"/>
    <n v="5"/>
    <x v="13"/>
    <n v="16.89"/>
    <n v="21.73"/>
    <x v="2"/>
  </r>
  <r>
    <x v="59"/>
    <s v="P1059"/>
    <x v="11"/>
    <x v="4"/>
    <x v="2"/>
    <n v="80"/>
    <n v="2"/>
    <n v="7"/>
    <n v="75"/>
    <n v="0"/>
    <n v="11"/>
    <x v="8"/>
    <n v="298.36"/>
    <n v="347.41"/>
    <x v="2"/>
  </r>
  <r>
    <x v="60"/>
    <s v="P1015"/>
    <x v="73"/>
    <x v="0"/>
    <x v="2"/>
    <n v="84"/>
    <n v="63"/>
    <n v="34"/>
    <n v="113"/>
    <n v="0"/>
    <n v="14"/>
    <x v="6"/>
    <n v="103.07"/>
    <n v="141.38"/>
    <x v="2"/>
  </r>
  <r>
    <x v="60"/>
    <s v="P1019"/>
    <x v="66"/>
    <x v="3"/>
    <x v="0"/>
    <n v="179"/>
    <n v="111"/>
    <n v="31"/>
    <n v="259"/>
    <n v="0"/>
    <n v="13"/>
    <x v="7"/>
    <n v="65.650000000000006"/>
    <n v="83.15"/>
    <x v="2"/>
  </r>
  <r>
    <x v="60"/>
    <s v="P1021"/>
    <x v="77"/>
    <x v="3"/>
    <x v="3"/>
    <n v="201"/>
    <n v="38"/>
    <n v="49"/>
    <n v="190"/>
    <n v="0"/>
    <n v="2"/>
    <x v="12"/>
    <n v="86.72"/>
    <n v="128.19"/>
    <x v="2"/>
  </r>
  <r>
    <x v="60"/>
    <s v="P1070"/>
    <x v="13"/>
    <x v="2"/>
    <x v="1"/>
    <n v="187"/>
    <n v="36"/>
    <n v="61"/>
    <n v="162"/>
    <n v="0"/>
    <n v="6"/>
    <x v="5"/>
    <n v="4.87"/>
    <n v="6.35"/>
    <x v="2"/>
  </r>
  <r>
    <x v="60"/>
    <s v="P1075"/>
    <x v="44"/>
    <x v="2"/>
    <x v="2"/>
    <n v="263"/>
    <n v="36"/>
    <n v="63"/>
    <n v="236"/>
    <n v="0"/>
    <n v="11"/>
    <x v="5"/>
    <n v="6.7"/>
    <n v="10.24"/>
    <x v="2"/>
  </r>
  <r>
    <x v="61"/>
    <s v="P1005"/>
    <x v="62"/>
    <x v="0"/>
    <x v="2"/>
    <n v="132"/>
    <n v="79"/>
    <n v="55"/>
    <n v="156"/>
    <n v="0"/>
    <n v="6"/>
    <x v="1"/>
    <n v="26.51"/>
    <n v="39.53"/>
    <x v="2"/>
  </r>
  <r>
    <x v="61"/>
    <s v="P1033"/>
    <x v="27"/>
    <x v="1"/>
    <x v="2"/>
    <n v="462"/>
    <n v="97"/>
    <n v="200"/>
    <n v="359"/>
    <n v="0"/>
    <n v="7"/>
    <x v="13"/>
    <n v="9.32"/>
    <n v="12.54"/>
    <x v="2"/>
  </r>
  <r>
    <x v="61"/>
    <s v="P1037"/>
    <x v="59"/>
    <x v="1"/>
    <x v="2"/>
    <n v="304"/>
    <n v="173"/>
    <n v="170"/>
    <n v="307"/>
    <n v="0"/>
    <n v="3"/>
    <x v="13"/>
    <n v="4.55"/>
    <n v="6.05"/>
    <x v="2"/>
  </r>
  <r>
    <x v="61"/>
    <s v="P1038"/>
    <x v="4"/>
    <x v="1"/>
    <x v="1"/>
    <n v="297"/>
    <n v="182"/>
    <n v="70"/>
    <n v="409"/>
    <n v="0"/>
    <n v="5"/>
    <x v="13"/>
    <n v="2.13"/>
    <n v="2.82"/>
    <x v="2"/>
  </r>
  <r>
    <x v="61"/>
    <s v="P1053"/>
    <x v="39"/>
    <x v="4"/>
    <x v="0"/>
    <n v="29"/>
    <n v="10"/>
    <n v="5"/>
    <n v="34"/>
    <n v="0"/>
    <n v="8"/>
    <x v="8"/>
    <n v="272.22000000000003"/>
    <n v="414.05"/>
    <x v="2"/>
  </r>
  <r>
    <x v="61"/>
    <s v="P1071"/>
    <x v="40"/>
    <x v="2"/>
    <x v="2"/>
    <n v="334"/>
    <n v="126"/>
    <n v="80"/>
    <n v="380"/>
    <n v="0"/>
    <n v="7"/>
    <x v="3"/>
    <n v="3.51"/>
    <n v="4.9800000000000004"/>
    <x v="2"/>
  </r>
  <r>
    <x v="61"/>
    <s v="P1074"/>
    <x v="6"/>
    <x v="2"/>
    <x v="2"/>
    <n v="222"/>
    <n v="145"/>
    <n v="107"/>
    <n v="260"/>
    <n v="0"/>
    <n v="11"/>
    <x v="4"/>
    <n v="8.5"/>
    <n v="10.92"/>
    <x v="2"/>
  </r>
  <r>
    <x v="62"/>
    <s v="P1017"/>
    <x v="45"/>
    <x v="3"/>
    <x v="1"/>
    <n v="250"/>
    <n v="50"/>
    <n v="32"/>
    <n v="268"/>
    <n v="0"/>
    <n v="14"/>
    <x v="7"/>
    <n v="49.75"/>
    <n v="60.15"/>
    <x v="2"/>
  </r>
  <r>
    <x v="62"/>
    <s v="P1024"/>
    <x v="54"/>
    <x v="3"/>
    <x v="2"/>
    <n v="253"/>
    <n v="145"/>
    <n v="98"/>
    <n v="300"/>
    <n v="0"/>
    <n v="13"/>
    <x v="7"/>
    <n v="65.64"/>
    <n v="77.27"/>
    <x v="2"/>
  </r>
  <r>
    <x v="62"/>
    <s v="P1024"/>
    <x v="54"/>
    <x v="3"/>
    <x v="0"/>
    <n v="231"/>
    <n v="99"/>
    <n v="25"/>
    <n v="305"/>
    <n v="0"/>
    <n v="9"/>
    <x v="12"/>
    <n v="46.08"/>
    <n v="57.66"/>
    <x v="2"/>
  </r>
  <r>
    <x v="62"/>
    <s v="P1026"/>
    <x v="14"/>
    <x v="3"/>
    <x v="0"/>
    <n v="41"/>
    <n v="134"/>
    <n v="99"/>
    <n v="76"/>
    <n v="0"/>
    <n v="8"/>
    <x v="12"/>
    <n v="62.08"/>
    <n v="91.16"/>
    <x v="2"/>
  </r>
  <r>
    <x v="62"/>
    <s v="P1042"/>
    <x v="61"/>
    <x v="1"/>
    <x v="2"/>
    <n v="456"/>
    <n v="50"/>
    <n v="185"/>
    <n v="321"/>
    <n v="0"/>
    <n v="2"/>
    <x v="11"/>
    <n v="17.34"/>
    <n v="22.96"/>
    <x v="2"/>
  </r>
  <r>
    <x v="62"/>
    <s v="P1045"/>
    <x v="15"/>
    <x v="1"/>
    <x v="2"/>
    <n v="465"/>
    <n v="187"/>
    <n v="80"/>
    <n v="572"/>
    <n v="0"/>
    <n v="7"/>
    <x v="2"/>
    <n v="9.0299999999999994"/>
    <n v="10.65"/>
    <x v="2"/>
  </r>
  <r>
    <x v="62"/>
    <s v="P1066"/>
    <x v="69"/>
    <x v="2"/>
    <x v="2"/>
    <n v="227"/>
    <n v="87"/>
    <n v="42"/>
    <n v="272"/>
    <n v="0"/>
    <n v="11"/>
    <x v="4"/>
    <n v="17.18"/>
    <n v="23.55"/>
    <x v="2"/>
  </r>
  <r>
    <x v="62"/>
    <s v="P1072"/>
    <x v="71"/>
    <x v="2"/>
    <x v="0"/>
    <n v="293"/>
    <n v="119"/>
    <n v="72"/>
    <n v="340"/>
    <n v="0"/>
    <n v="7"/>
    <x v="5"/>
    <n v="25.15"/>
    <n v="29.03"/>
    <x v="2"/>
  </r>
  <r>
    <x v="62"/>
    <s v="P1073"/>
    <x v="78"/>
    <x v="2"/>
    <x v="3"/>
    <n v="301"/>
    <n v="60"/>
    <n v="47"/>
    <n v="314"/>
    <n v="0"/>
    <n v="12"/>
    <x v="5"/>
    <n v="9.3000000000000007"/>
    <n v="12.27"/>
    <x v="2"/>
  </r>
  <r>
    <x v="63"/>
    <s v="P1013"/>
    <x v="2"/>
    <x v="0"/>
    <x v="1"/>
    <n v="143"/>
    <n v="66"/>
    <n v="10"/>
    <n v="199"/>
    <n v="0"/>
    <n v="2"/>
    <x v="1"/>
    <n v="63.38"/>
    <n v="91.41"/>
    <x v="2"/>
  </r>
  <r>
    <x v="63"/>
    <s v="P1039"/>
    <x v="30"/>
    <x v="1"/>
    <x v="0"/>
    <n v="216"/>
    <n v="67"/>
    <n v="57"/>
    <n v="226"/>
    <n v="0"/>
    <n v="3"/>
    <x v="2"/>
    <n v="24.14"/>
    <n v="31.12"/>
    <x v="2"/>
  </r>
  <r>
    <x v="63"/>
    <s v="P1050"/>
    <x v="72"/>
    <x v="4"/>
    <x v="0"/>
    <n v="46"/>
    <n v="14"/>
    <n v="9"/>
    <n v="51"/>
    <n v="0"/>
    <n v="3"/>
    <x v="14"/>
    <n v="252.18"/>
    <n v="315.52"/>
    <x v="2"/>
  </r>
  <r>
    <x v="64"/>
    <s v="P1019"/>
    <x v="66"/>
    <x v="3"/>
    <x v="1"/>
    <n v="147"/>
    <n v="23"/>
    <n v="65"/>
    <n v="105"/>
    <n v="0"/>
    <n v="5"/>
    <x v="12"/>
    <n v="40.43"/>
    <n v="49.32"/>
    <x v="2"/>
  </r>
  <r>
    <x v="64"/>
    <s v="P1027"/>
    <x v="26"/>
    <x v="3"/>
    <x v="3"/>
    <n v="126"/>
    <n v="98"/>
    <n v="32"/>
    <n v="192"/>
    <n v="0"/>
    <n v="2"/>
    <x v="7"/>
    <n v="76.81"/>
    <n v="105.25"/>
    <x v="2"/>
  </r>
  <r>
    <x v="64"/>
    <s v="P1035"/>
    <x v="42"/>
    <x v="1"/>
    <x v="3"/>
    <n v="337"/>
    <n v="68"/>
    <n v="199"/>
    <n v="206"/>
    <n v="0"/>
    <n v="3"/>
    <x v="13"/>
    <n v="24.2"/>
    <n v="32.56"/>
    <x v="2"/>
  </r>
  <r>
    <x v="64"/>
    <s v="P1076"/>
    <x v="7"/>
    <x v="2"/>
    <x v="1"/>
    <n v="142"/>
    <n v="154"/>
    <n v="83"/>
    <n v="213"/>
    <n v="0"/>
    <n v="5"/>
    <x v="3"/>
    <n v="16.850000000000001"/>
    <n v="22.19"/>
    <x v="2"/>
  </r>
  <r>
    <x v="65"/>
    <s v="P1025"/>
    <x v="20"/>
    <x v="3"/>
    <x v="2"/>
    <n v="81"/>
    <n v="60"/>
    <n v="131"/>
    <n v="10"/>
    <n v="0"/>
    <n v="11"/>
    <x v="10"/>
    <n v="28.89"/>
    <n v="37.29"/>
    <x v="2"/>
  </r>
  <r>
    <x v="65"/>
    <s v="P1027"/>
    <x v="26"/>
    <x v="3"/>
    <x v="0"/>
    <n v="167"/>
    <n v="86"/>
    <n v="13"/>
    <n v="240"/>
    <n v="0"/>
    <n v="11"/>
    <x v="7"/>
    <n v="50.04"/>
    <n v="63.66"/>
    <x v="2"/>
  </r>
  <r>
    <x v="65"/>
    <s v="P1042"/>
    <x v="61"/>
    <x v="1"/>
    <x v="3"/>
    <n v="221"/>
    <n v="54"/>
    <n v="35"/>
    <n v="240"/>
    <n v="0"/>
    <n v="2"/>
    <x v="11"/>
    <n v="15.68"/>
    <n v="20.07"/>
    <x v="2"/>
  </r>
  <r>
    <x v="65"/>
    <s v="P1047"/>
    <x v="55"/>
    <x v="1"/>
    <x v="0"/>
    <n v="479"/>
    <n v="148"/>
    <n v="139"/>
    <n v="488"/>
    <n v="0"/>
    <n v="4"/>
    <x v="11"/>
    <n v="24"/>
    <n v="31.14"/>
    <x v="2"/>
  </r>
  <r>
    <x v="66"/>
    <s v="P1051"/>
    <x v="31"/>
    <x v="4"/>
    <x v="0"/>
    <n v="15"/>
    <n v="20"/>
    <n v="16"/>
    <n v="19"/>
    <n v="0"/>
    <n v="8"/>
    <x v="8"/>
    <n v="177.3"/>
    <n v="245.83"/>
    <x v="2"/>
  </r>
  <r>
    <x v="66"/>
    <s v="P1053"/>
    <x v="39"/>
    <x v="4"/>
    <x v="1"/>
    <n v="11"/>
    <n v="25"/>
    <n v="2"/>
    <n v="34"/>
    <n v="0"/>
    <n v="7"/>
    <x v="14"/>
    <n v="303.89999999999998"/>
    <n v="399.07"/>
    <x v="2"/>
  </r>
  <r>
    <x v="66"/>
    <s v="P1072"/>
    <x v="71"/>
    <x v="2"/>
    <x v="3"/>
    <n v="274"/>
    <n v="147"/>
    <n v="114"/>
    <n v="307"/>
    <n v="0"/>
    <n v="2"/>
    <x v="5"/>
    <n v="10.27"/>
    <n v="14.24"/>
    <x v="2"/>
  </r>
  <r>
    <x v="67"/>
    <s v="P1017"/>
    <x v="45"/>
    <x v="3"/>
    <x v="0"/>
    <n v="50"/>
    <n v="89"/>
    <n v="50"/>
    <n v="89"/>
    <n v="0"/>
    <n v="10"/>
    <x v="12"/>
    <n v="47.03"/>
    <n v="56.39"/>
    <x v="2"/>
  </r>
  <r>
    <x v="67"/>
    <s v="P1046"/>
    <x v="49"/>
    <x v="1"/>
    <x v="0"/>
    <n v="276"/>
    <n v="178"/>
    <n v="75"/>
    <n v="379"/>
    <n v="0"/>
    <n v="3"/>
    <x v="2"/>
    <n v="11.83"/>
    <n v="15.15"/>
    <x v="2"/>
  </r>
  <r>
    <x v="67"/>
    <s v="P1078"/>
    <x v="65"/>
    <x v="2"/>
    <x v="3"/>
    <n v="101"/>
    <n v="72"/>
    <n v="88"/>
    <n v="85"/>
    <n v="0"/>
    <n v="2"/>
    <x v="5"/>
    <n v="29"/>
    <n v="37.31"/>
    <x v="2"/>
  </r>
  <r>
    <x v="68"/>
    <s v="P1018"/>
    <x v="46"/>
    <x v="3"/>
    <x v="2"/>
    <n v="86"/>
    <n v="83"/>
    <n v="73"/>
    <n v="96"/>
    <n v="0"/>
    <n v="8"/>
    <x v="7"/>
    <n v="42.03"/>
    <n v="60.62"/>
    <x v="2"/>
  </r>
  <r>
    <x v="68"/>
    <s v="P1024"/>
    <x v="54"/>
    <x v="3"/>
    <x v="3"/>
    <n v="97"/>
    <n v="51"/>
    <n v="114"/>
    <n v="34"/>
    <n v="0"/>
    <n v="5"/>
    <x v="10"/>
    <n v="59.06"/>
    <n v="91.31"/>
    <x v="2"/>
  </r>
  <r>
    <x v="68"/>
    <s v="P1029"/>
    <x v="63"/>
    <x v="3"/>
    <x v="1"/>
    <n v="105"/>
    <n v="29"/>
    <n v="134"/>
    <n v="0"/>
    <n v="1"/>
    <n v="7"/>
    <x v="7"/>
    <n v="33.06"/>
    <n v="45.86"/>
    <x v="2"/>
  </r>
  <r>
    <x v="68"/>
    <s v="P1035"/>
    <x v="42"/>
    <x v="1"/>
    <x v="3"/>
    <n v="202"/>
    <n v="93"/>
    <n v="191"/>
    <n v="104"/>
    <n v="0"/>
    <n v="2"/>
    <x v="13"/>
    <n v="3.14"/>
    <n v="3.73"/>
    <x v="2"/>
  </r>
  <r>
    <x v="68"/>
    <s v="P1055"/>
    <x v="51"/>
    <x v="4"/>
    <x v="3"/>
    <n v="50"/>
    <n v="20"/>
    <n v="7"/>
    <n v="63"/>
    <n v="0"/>
    <n v="8"/>
    <x v="8"/>
    <n v="27.52"/>
    <n v="37.06"/>
    <x v="2"/>
  </r>
  <r>
    <x v="68"/>
    <s v="P1070"/>
    <x v="13"/>
    <x v="2"/>
    <x v="1"/>
    <n v="227"/>
    <n v="83"/>
    <n v="144"/>
    <n v="166"/>
    <n v="0"/>
    <n v="3"/>
    <x v="4"/>
    <n v="25.03"/>
    <n v="36.68"/>
    <x v="2"/>
  </r>
  <r>
    <x v="68"/>
    <s v="P1075"/>
    <x v="44"/>
    <x v="2"/>
    <x v="0"/>
    <n v="328"/>
    <n v="200"/>
    <n v="108"/>
    <n v="420"/>
    <n v="0"/>
    <n v="6"/>
    <x v="3"/>
    <n v="2.3199999999999998"/>
    <n v="3.27"/>
    <x v="2"/>
  </r>
  <r>
    <x v="69"/>
    <s v="P1005"/>
    <x v="62"/>
    <x v="0"/>
    <x v="0"/>
    <n v="146"/>
    <n v="89"/>
    <n v="11"/>
    <n v="224"/>
    <n v="0"/>
    <n v="4"/>
    <x v="0"/>
    <n v="126.54"/>
    <n v="173.45"/>
    <x v="2"/>
  </r>
  <r>
    <x v="69"/>
    <s v="P1018"/>
    <x v="46"/>
    <x v="3"/>
    <x v="0"/>
    <n v="264"/>
    <n v="38"/>
    <n v="125"/>
    <n v="177"/>
    <n v="0"/>
    <n v="14"/>
    <x v="7"/>
    <n v="18.28"/>
    <n v="22.88"/>
    <x v="2"/>
  </r>
  <r>
    <x v="70"/>
    <s v="P1008"/>
    <x v="0"/>
    <x v="0"/>
    <x v="2"/>
    <n v="167"/>
    <n v="72"/>
    <n v="16"/>
    <n v="223"/>
    <n v="0"/>
    <n v="13"/>
    <x v="0"/>
    <n v="140.37"/>
    <n v="205.17"/>
    <x v="2"/>
  </r>
  <r>
    <x v="70"/>
    <s v="P1021"/>
    <x v="77"/>
    <x v="3"/>
    <x v="0"/>
    <n v="220"/>
    <n v="62"/>
    <n v="135"/>
    <n v="147"/>
    <n v="0"/>
    <n v="3"/>
    <x v="10"/>
    <n v="34.5"/>
    <n v="53.1"/>
    <x v="2"/>
  </r>
  <r>
    <x v="70"/>
    <s v="P1026"/>
    <x v="14"/>
    <x v="3"/>
    <x v="0"/>
    <n v="129"/>
    <n v="120"/>
    <n v="106"/>
    <n v="143"/>
    <n v="0"/>
    <n v="13"/>
    <x v="10"/>
    <n v="49.44"/>
    <n v="64.83"/>
    <x v="2"/>
  </r>
  <r>
    <x v="70"/>
    <s v="P1064"/>
    <x v="32"/>
    <x v="4"/>
    <x v="3"/>
    <n v="18"/>
    <n v="4"/>
    <n v="4"/>
    <n v="18"/>
    <n v="0"/>
    <n v="11"/>
    <x v="8"/>
    <n v="192.94"/>
    <n v="285.10000000000002"/>
    <x v="2"/>
  </r>
  <r>
    <x v="70"/>
    <s v="P1073"/>
    <x v="78"/>
    <x v="2"/>
    <x v="2"/>
    <n v="332"/>
    <n v="78"/>
    <n v="95"/>
    <n v="315"/>
    <n v="0"/>
    <n v="3"/>
    <x v="5"/>
    <n v="29.19"/>
    <n v="40.78"/>
    <x v="2"/>
  </r>
  <r>
    <x v="70"/>
    <s v="P1080"/>
    <x v="79"/>
    <x v="2"/>
    <x v="2"/>
    <n v="359"/>
    <n v="136"/>
    <n v="50"/>
    <n v="445"/>
    <n v="0"/>
    <n v="4"/>
    <x v="4"/>
    <n v="8.73"/>
    <n v="13.42"/>
    <x v="2"/>
  </r>
  <r>
    <x v="71"/>
    <s v="P1023"/>
    <x v="24"/>
    <x v="3"/>
    <x v="0"/>
    <n v="254"/>
    <n v="61"/>
    <n v="51"/>
    <n v="264"/>
    <n v="0"/>
    <n v="5"/>
    <x v="7"/>
    <n v="31.27"/>
    <n v="44.64"/>
    <x v="2"/>
  </r>
  <r>
    <x v="71"/>
    <s v="P1035"/>
    <x v="42"/>
    <x v="1"/>
    <x v="1"/>
    <n v="463"/>
    <n v="89"/>
    <n v="199"/>
    <n v="353"/>
    <n v="0"/>
    <n v="5"/>
    <x v="13"/>
    <n v="17.79"/>
    <n v="23.07"/>
    <x v="2"/>
  </r>
  <r>
    <x v="71"/>
    <s v="P1056"/>
    <x v="56"/>
    <x v="4"/>
    <x v="2"/>
    <n v="21"/>
    <n v="7"/>
    <n v="19"/>
    <n v="9"/>
    <n v="0"/>
    <n v="12"/>
    <x v="14"/>
    <n v="314.95"/>
    <n v="421.46"/>
    <x v="2"/>
  </r>
  <r>
    <x v="71"/>
    <s v="P1065"/>
    <x v="25"/>
    <x v="2"/>
    <x v="3"/>
    <n v="150"/>
    <n v="59"/>
    <n v="52"/>
    <n v="157"/>
    <n v="0"/>
    <n v="6"/>
    <x v="4"/>
    <n v="17.64"/>
    <n v="26.31"/>
    <x v="2"/>
  </r>
  <r>
    <x v="72"/>
    <s v="P1050"/>
    <x v="72"/>
    <x v="4"/>
    <x v="1"/>
    <n v="80"/>
    <n v="16"/>
    <n v="7"/>
    <n v="89"/>
    <n v="0"/>
    <n v="7"/>
    <x v="9"/>
    <n v="292.26"/>
    <n v="441.64"/>
    <x v="2"/>
  </r>
  <r>
    <x v="72"/>
    <s v="P1079"/>
    <x v="8"/>
    <x v="2"/>
    <x v="0"/>
    <n v="119"/>
    <n v="129"/>
    <n v="26"/>
    <n v="222"/>
    <n v="0"/>
    <n v="12"/>
    <x v="3"/>
    <n v="22.7"/>
    <n v="30.37"/>
    <x v="2"/>
  </r>
  <r>
    <x v="73"/>
    <s v="P1004"/>
    <x v="57"/>
    <x v="0"/>
    <x v="0"/>
    <n v="79"/>
    <n v="26"/>
    <n v="20"/>
    <n v="85"/>
    <n v="0"/>
    <n v="8"/>
    <x v="1"/>
    <n v="206.56"/>
    <n v="294.48"/>
    <x v="2"/>
  </r>
  <r>
    <x v="73"/>
    <s v="P1011"/>
    <x v="37"/>
    <x v="0"/>
    <x v="0"/>
    <n v="120"/>
    <n v="70"/>
    <n v="76"/>
    <n v="114"/>
    <n v="0"/>
    <n v="8"/>
    <x v="1"/>
    <n v="180.25"/>
    <n v="232.77"/>
    <x v="2"/>
  </r>
  <r>
    <x v="73"/>
    <s v="P1026"/>
    <x v="14"/>
    <x v="3"/>
    <x v="0"/>
    <n v="82"/>
    <n v="114"/>
    <n v="15"/>
    <n v="181"/>
    <n v="0"/>
    <n v="7"/>
    <x v="12"/>
    <n v="8.82"/>
    <n v="13.26"/>
    <x v="2"/>
  </r>
  <r>
    <x v="73"/>
    <s v="P1028"/>
    <x v="29"/>
    <x v="3"/>
    <x v="3"/>
    <n v="200"/>
    <n v="94"/>
    <n v="86"/>
    <n v="208"/>
    <n v="0"/>
    <n v="3"/>
    <x v="12"/>
    <n v="78.010000000000005"/>
    <n v="97.26"/>
    <x v="2"/>
  </r>
  <r>
    <x v="73"/>
    <s v="P1064"/>
    <x v="32"/>
    <x v="4"/>
    <x v="2"/>
    <n v="42"/>
    <n v="8"/>
    <n v="10"/>
    <n v="40"/>
    <n v="0"/>
    <n v="10"/>
    <x v="14"/>
    <n v="313.47000000000003"/>
    <n v="406.61"/>
    <x v="2"/>
  </r>
  <r>
    <x v="73"/>
    <s v="P1067"/>
    <x v="5"/>
    <x v="2"/>
    <x v="2"/>
    <n v="308"/>
    <n v="140"/>
    <n v="108"/>
    <n v="340"/>
    <n v="0"/>
    <n v="11"/>
    <x v="3"/>
    <n v="16.38"/>
    <n v="21.15"/>
    <x v="2"/>
  </r>
  <r>
    <x v="73"/>
    <s v="P1068"/>
    <x v="33"/>
    <x v="2"/>
    <x v="0"/>
    <n v="187"/>
    <n v="208"/>
    <n v="163"/>
    <n v="232"/>
    <n v="0"/>
    <n v="9"/>
    <x v="5"/>
    <n v="4.6100000000000003"/>
    <n v="7.07"/>
    <x v="2"/>
  </r>
  <r>
    <x v="74"/>
    <s v="P1002"/>
    <x v="18"/>
    <x v="0"/>
    <x v="1"/>
    <n v="53"/>
    <n v="26"/>
    <n v="58"/>
    <n v="21"/>
    <n v="0"/>
    <n v="13"/>
    <x v="0"/>
    <n v="41.01"/>
    <n v="56.88"/>
    <x v="2"/>
  </r>
  <r>
    <x v="74"/>
    <s v="P1033"/>
    <x v="27"/>
    <x v="1"/>
    <x v="1"/>
    <n v="247"/>
    <n v="192"/>
    <n v="44"/>
    <n v="395"/>
    <n v="0"/>
    <n v="3"/>
    <x v="2"/>
    <n v="16.32"/>
    <n v="23.03"/>
    <x v="2"/>
  </r>
  <r>
    <x v="74"/>
    <s v="P1036"/>
    <x v="75"/>
    <x v="1"/>
    <x v="1"/>
    <n v="471"/>
    <n v="111"/>
    <n v="174"/>
    <n v="408"/>
    <n v="0"/>
    <n v="6"/>
    <x v="11"/>
    <n v="18"/>
    <n v="25.1"/>
    <x v="2"/>
  </r>
  <r>
    <x v="74"/>
    <s v="P1047"/>
    <x v="55"/>
    <x v="1"/>
    <x v="2"/>
    <n v="144"/>
    <n v="138"/>
    <n v="91"/>
    <n v="191"/>
    <n v="0"/>
    <n v="3"/>
    <x v="11"/>
    <n v="5.12"/>
    <n v="7.72"/>
    <x v="2"/>
  </r>
  <r>
    <x v="74"/>
    <s v="P1058"/>
    <x v="52"/>
    <x v="4"/>
    <x v="0"/>
    <n v="17"/>
    <n v="9"/>
    <n v="20"/>
    <n v="6"/>
    <n v="0"/>
    <n v="5"/>
    <x v="14"/>
    <n v="27.38"/>
    <n v="31.77"/>
    <x v="2"/>
  </r>
  <r>
    <x v="74"/>
    <s v="P1074"/>
    <x v="6"/>
    <x v="2"/>
    <x v="1"/>
    <n v="366"/>
    <n v="126"/>
    <n v="133"/>
    <n v="359"/>
    <n v="0"/>
    <n v="7"/>
    <x v="5"/>
    <n v="2.5099999999999998"/>
    <n v="3.77"/>
    <x v="2"/>
  </r>
  <r>
    <x v="75"/>
    <s v="P1007"/>
    <x v="70"/>
    <x v="0"/>
    <x v="3"/>
    <n v="43"/>
    <n v="26"/>
    <n v="44"/>
    <n v="25"/>
    <n v="0"/>
    <n v="11"/>
    <x v="1"/>
    <n v="34.159999999999997"/>
    <n v="46.22"/>
    <x v="2"/>
  </r>
  <r>
    <x v="75"/>
    <s v="P1041"/>
    <x v="38"/>
    <x v="1"/>
    <x v="0"/>
    <n v="202"/>
    <n v="212"/>
    <n v="99"/>
    <n v="315"/>
    <n v="0"/>
    <n v="1"/>
    <x v="13"/>
    <n v="17.420000000000002"/>
    <n v="26.93"/>
    <x v="2"/>
  </r>
  <r>
    <x v="76"/>
    <s v="P1001"/>
    <x v="34"/>
    <x v="0"/>
    <x v="2"/>
    <n v="159"/>
    <n v="33"/>
    <n v="38"/>
    <n v="154"/>
    <n v="0"/>
    <n v="6"/>
    <x v="6"/>
    <n v="38.229999999999997"/>
    <n v="46.59"/>
    <x v="2"/>
  </r>
  <r>
    <x v="76"/>
    <s v="P1024"/>
    <x v="54"/>
    <x v="3"/>
    <x v="2"/>
    <n v="259"/>
    <n v="140"/>
    <n v="12"/>
    <n v="387"/>
    <n v="0"/>
    <n v="5"/>
    <x v="10"/>
    <n v="55.76"/>
    <n v="66.95"/>
    <x v="2"/>
  </r>
  <r>
    <x v="76"/>
    <s v="P1040"/>
    <x v="67"/>
    <x v="1"/>
    <x v="1"/>
    <n v="334"/>
    <n v="59"/>
    <n v="77"/>
    <n v="316"/>
    <n v="0"/>
    <n v="1"/>
    <x v="13"/>
    <n v="20.53"/>
    <n v="24.24"/>
    <x v="2"/>
  </r>
  <r>
    <x v="76"/>
    <s v="P1049"/>
    <x v="10"/>
    <x v="4"/>
    <x v="0"/>
    <n v="25"/>
    <n v="25"/>
    <n v="20"/>
    <n v="30"/>
    <n v="0"/>
    <n v="14"/>
    <x v="9"/>
    <n v="145.41"/>
    <n v="200.31"/>
    <x v="2"/>
  </r>
  <r>
    <x v="76"/>
    <s v="P1050"/>
    <x v="72"/>
    <x v="4"/>
    <x v="1"/>
    <n v="45"/>
    <n v="21"/>
    <n v="13"/>
    <n v="53"/>
    <n v="0"/>
    <n v="7"/>
    <x v="9"/>
    <n v="155.37"/>
    <n v="237.58"/>
    <x v="2"/>
  </r>
  <r>
    <x v="76"/>
    <s v="P1074"/>
    <x v="6"/>
    <x v="2"/>
    <x v="3"/>
    <n v="133"/>
    <n v="70"/>
    <n v="91"/>
    <n v="112"/>
    <n v="0"/>
    <n v="4"/>
    <x v="3"/>
    <n v="3.76"/>
    <n v="4.41"/>
    <x v="2"/>
  </r>
  <r>
    <x v="77"/>
    <s v="P1035"/>
    <x v="42"/>
    <x v="1"/>
    <x v="2"/>
    <n v="107"/>
    <n v="103"/>
    <n v="90"/>
    <n v="120"/>
    <n v="0"/>
    <n v="2"/>
    <x v="13"/>
    <n v="7.34"/>
    <n v="10.27"/>
    <x v="2"/>
  </r>
  <r>
    <x v="77"/>
    <s v="P1065"/>
    <x v="25"/>
    <x v="2"/>
    <x v="2"/>
    <n v="343"/>
    <n v="109"/>
    <n v="30"/>
    <n v="422"/>
    <n v="0"/>
    <n v="14"/>
    <x v="3"/>
    <n v="21.82"/>
    <n v="31.03"/>
    <x v="2"/>
  </r>
  <r>
    <x v="78"/>
    <s v="P1010"/>
    <x v="47"/>
    <x v="0"/>
    <x v="2"/>
    <n v="61"/>
    <n v="20"/>
    <n v="20"/>
    <n v="61"/>
    <n v="0"/>
    <n v="14"/>
    <x v="1"/>
    <n v="50.81"/>
    <n v="65.05"/>
    <x v="2"/>
  </r>
  <r>
    <x v="78"/>
    <s v="P1031"/>
    <x v="76"/>
    <x v="3"/>
    <x v="1"/>
    <n v="139"/>
    <n v="57"/>
    <n v="133"/>
    <n v="63"/>
    <n v="0"/>
    <n v="6"/>
    <x v="10"/>
    <n v="37.93"/>
    <n v="57.34"/>
    <x v="2"/>
  </r>
  <r>
    <x v="78"/>
    <s v="P1039"/>
    <x v="30"/>
    <x v="1"/>
    <x v="2"/>
    <n v="433"/>
    <n v="135"/>
    <n v="208"/>
    <n v="360"/>
    <n v="0"/>
    <n v="6"/>
    <x v="11"/>
    <n v="22.96"/>
    <n v="28.44"/>
    <x v="2"/>
  </r>
  <r>
    <x v="78"/>
    <s v="P1053"/>
    <x v="39"/>
    <x v="4"/>
    <x v="2"/>
    <n v="36"/>
    <n v="2"/>
    <n v="20"/>
    <n v="18"/>
    <n v="0"/>
    <n v="3"/>
    <x v="9"/>
    <n v="348.14"/>
    <n v="477.73"/>
    <x v="2"/>
  </r>
  <r>
    <x v="79"/>
    <s v="P1021"/>
    <x v="77"/>
    <x v="3"/>
    <x v="1"/>
    <n v="185"/>
    <n v="131"/>
    <n v="36"/>
    <n v="280"/>
    <n v="0"/>
    <n v="13"/>
    <x v="10"/>
    <n v="78.8"/>
    <n v="95.02"/>
    <x v="2"/>
  </r>
  <r>
    <x v="79"/>
    <s v="P1034"/>
    <x v="3"/>
    <x v="1"/>
    <x v="3"/>
    <n v="302"/>
    <n v="109"/>
    <n v="75"/>
    <n v="336"/>
    <n v="0"/>
    <n v="3"/>
    <x v="13"/>
    <n v="24.92"/>
    <n v="32.33"/>
    <x v="2"/>
  </r>
  <r>
    <x v="79"/>
    <s v="P1049"/>
    <x v="10"/>
    <x v="4"/>
    <x v="2"/>
    <n v="44"/>
    <n v="17"/>
    <n v="15"/>
    <n v="46"/>
    <n v="0"/>
    <n v="12"/>
    <x v="8"/>
    <n v="332.11"/>
    <n v="445.93"/>
    <x v="2"/>
  </r>
  <r>
    <x v="79"/>
    <s v="P1054"/>
    <x v="43"/>
    <x v="4"/>
    <x v="1"/>
    <n v="77"/>
    <n v="16"/>
    <n v="4"/>
    <n v="89"/>
    <n v="0"/>
    <n v="14"/>
    <x v="8"/>
    <n v="203.6"/>
    <n v="312.8"/>
    <x v="2"/>
  </r>
  <r>
    <x v="79"/>
    <s v="P1067"/>
    <x v="5"/>
    <x v="2"/>
    <x v="2"/>
    <n v="83"/>
    <n v="89"/>
    <n v="125"/>
    <n v="47"/>
    <n v="0"/>
    <n v="3"/>
    <x v="5"/>
    <n v="24.36"/>
    <n v="35.72"/>
    <x v="2"/>
  </r>
  <r>
    <x v="79"/>
    <s v="P1078"/>
    <x v="65"/>
    <x v="2"/>
    <x v="0"/>
    <n v="74"/>
    <n v="98"/>
    <n v="90"/>
    <n v="82"/>
    <n v="0"/>
    <n v="8"/>
    <x v="4"/>
    <n v="5.55"/>
    <n v="7.33"/>
    <x v="2"/>
  </r>
  <r>
    <x v="79"/>
    <s v="P1080"/>
    <x v="79"/>
    <x v="2"/>
    <x v="0"/>
    <n v="185"/>
    <n v="168"/>
    <n v="63"/>
    <n v="290"/>
    <n v="0"/>
    <n v="2"/>
    <x v="4"/>
    <n v="20.64"/>
    <n v="28.74"/>
    <x v="2"/>
  </r>
  <r>
    <x v="80"/>
    <s v="P1022"/>
    <x v="53"/>
    <x v="3"/>
    <x v="2"/>
    <n v="265"/>
    <n v="44"/>
    <n v="125"/>
    <n v="184"/>
    <n v="0"/>
    <n v="8"/>
    <x v="12"/>
    <n v="40.369999999999997"/>
    <n v="61.82"/>
    <x v="2"/>
  </r>
  <r>
    <x v="80"/>
    <s v="P1025"/>
    <x v="20"/>
    <x v="3"/>
    <x v="2"/>
    <n v="229"/>
    <n v="103"/>
    <n v="106"/>
    <n v="226"/>
    <n v="0"/>
    <n v="11"/>
    <x v="7"/>
    <n v="69.67"/>
    <n v="82.33"/>
    <x v="2"/>
  </r>
  <r>
    <x v="80"/>
    <s v="P1034"/>
    <x v="3"/>
    <x v="1"/>
    <x v="1"/>
    <n v="251"/>
    <n v="99"/>
    <n v="194"/>
    <n v="156"/>
    <n v="0"/>
    <n v="7"/>
    <x v="13"/>
    <n v="13.25"/>
    <n v="17.05"/>
    <x v="2"/>
  </r>
  <r>
    <x v="80"/>
    <s v="P1061"/>
    <x v="22"/>
    <x v="4"/>
    <x v="1"/>
    <n v="30"/>
    <n v="16"/>
    <n v="19"/>
    <n v="27"/>
    <n v="0"/>
    <n v="10"/>
    <x v="9"/>
    <n v="266.02"/>
    <n v="347.04"/>
    <x v="2"/>
  </r>
  <r>
    <x v="80"/>
    <s v="P1075"/>
    <x v="44"/>
    <x v="2"/>
    <x v="1"/>
    <n v="104"/>
    <n v="111"/>
    <n v="31"/>
    <n v="184"/>
    <n v="0"/>
    <n v="10"/>
    <x v="3"/>
    <n v="26.82"/>
    <n v="32.08"/>
    <x v="2"/>
  </r>
  <r>
    <x v="81"/>
    <s v="P1061"/>
    <x v="22"/>
    <x v="4"/>
    <x v="0"/>
    <n v="61"/>
    <n v="18"/>
    <n v="11"/>
    <n v="68"/>
    <n v="0"/>
    <n v="3"/>
    <x v="14"/>
    <n v="340.27"/>
    <n v="509.05"/>
    <x v="2"/>
  </r>
  <r>
    <x v="81"/>
    <s v="P1064"/>
    <x v="32"/>
    <x v="4"/>
    <x v="2"/>
    <n v="14"/>
    <n v="14"/>
    <n v="19"/>
    <n v="9"/>
    <n v="0"/>
    <n v="13"/>
    <x v="8"/>
    <n v="222.53"/>
    <n v="263.37"/>
    <x v="2"/>
  </r>
  <r>
    <x v="82"/>
    <s v="P1010"/>
    <x v="47"/>
    <x v="0"/>
    <x v="0"/>
    <n v="88"/>
    <n v="84"/>
    <n v="78"/>
    <n v="94"/>
    <n v="0"/>
    <n v="12"/>
    <x v="6"/>
    <n v="185.48"/>
    <n v="282.49"/>
    <x v="2"/>
  </r>
  <r>
    <x v="82"/>
    <s v="P1015"/>
    <x v="73"/>
    <x v="0"/>
    <x v="2"/>
    <n v="100"/>
    <n v="51"/>
    <n v="80"/>
    <n v="71"/>
    <n v="0"/>
    <n v="12"/>
    <x v="0"/>
    <n v="82.55"/>
    <n v="109.48"/>
    <x v="2"/>
  </r>
  <r>
    <x v="82"/>
    <s v="P1020"/>
    <x v="23"/>
    <x v="3"/>
    <x v="1"/>
    <n v="74"/>
    <n v="99"/>
    <n v="89"/>
    <n v="84"/>
    <n v="0"/>
    <n v="6"/>
    <x v="10"/>
    <n v="21.81"/>
    <n v="31.72"/>
    <x v="2"/>
  </r>
  <r>
    <x v="82"/>
    <s v="P1038"/>
    <x v="4"/>
    <x v="1"/>
    <x v="3"/>
    <n v="419"/>
    <n v="109"/>
    <n v="27"/>
    <n v="501"/>
    <n v="0"/>
    <n v="5"/>
    <x v="11"/>
    <n v="17.98"/>
    <n v="23.3"/>
    <x v="2"/>
  </r>
  <r>
    <x v="82"/>
    <s v="P1044"/>
    <x v="48"/>
    <x v="1"/>
    <x v="3"/>
    <n v="163"/>
    <n v="70"/>
    <n v="180"/>
    <n v="53"/>
    <n v="0"/>
    <n v="4"/>
    <x v="13"/>
    <n v="24.79"/>
    <n v="33.19"/>
    <x v="2"/>
  </r>
  <r>
    <x v="82"/>
    <s v="P1064"/>
    <x v="32"/>
    <x v="4"/>
    <x v="3"/>
    <n v="65"/>
    <n v="7"/>
    <n v="14"/>
    <n v="58"/>
    <n v="0"/>
    <n v="11"/>
    <x v="14"/>
    <n v="82.54"/>
    <n v="95.86"/>
    <x v="2"/>
  </r>
  <r>
    <x v="82"/>
    <s v="P1066"/>
    <x v="69"/>
    <x v="2"/>
    <x v="3"/>
    <n v="252"/>
    <n v="106"/>
    <n v="64"/>
    <n v="294"/>
    <n v="0"/>
    <n v="3"/>
    <x v="5"/>
    <n v="13.1"/>
    <n v="20.11"/>
    <x v="2"/>
  </r>
  <r>
    <x v="82"/>
    <s v="P1074"/>
    <x v="6"/>
    <x v="2"/>
    <x v="2"/>
    <n v="266"/>
    <n v="203"/>
    <n v="23"/>
    <n v="446"/>
    <n v="0"/>
    <n v="14"/>
    <x v="4"/>
    <n v="21.83"/>
    <n v="28.53"/>
    <x v="2"/>
  </r>
  <r>
    <x v="83"/>
    <s v="P1033"/>
    <x v="27"/>
    <x v="1"/>
    <x v="0"/>
    <n v="97"/>
    <n v="109"/>
    <n v="101"/>
    <n v="105"/>
    <n v="0"/>
    <n v="4"/>
    <x v="11"/>
    <n v="2.33"/>
    <n v="2.75"/>
    <x v="2"/>
  </r>
  <r>
    <x v="83"/>
    <s v="P1036"/>
    <x v="75"/>
    <x v="1"/>
    <x v="0"/>
    <n v="429"/>
    <n v="58"/>
    <n v="205"/>
    <n v="282"/>
    <n v="0"/>
    <n v="7"/>
    <x v="2"/>
    <n v="8.1"/>
    <n v="9.8699999999999992"/>
    <x v="2"/>
  </r>
  <r>
    <x v="84"/>
    <s v="P1014"/>
    <x v="28"/>
    <x v="0"/>
    <x v="2"/>
    <n v="33"/>
    <n v="75"/>
    <n v="33"/>
    <n v="75"/>
    <n v="0"/>
    <n v="5"/>
    <x v="6"/>
    <n v="181.87"/>
    <n v="265.67"/>
    <x v="2"/>
  </r>
  <r>
    <x v="84"/>
    <s v="P1024"/>
    <x v="54"/>
    <x v="3"/>
    <x v="3"/>
    <n v="231"/>
    <n v="73"/>
    <n v="124"/>
    <n v="180"/>
    <n v="0"/>
    <n v="12"/>
    <x v="7"/>
    <n v="31.99"/>
    <n v="41.04"/>
    <x v="2"/>
  </r>
  <r>
    <x v="84"/>
    <s v="P1028"/>
    <x v="29"/>
    <x v="3"/>
    <x v="3"/>
    <n v="69"/>
    <n v="29"/>
    <n v="81"/>
    <n v="17"/>
    <n v="0"/>
    <n v="13"/>
    <x v="12"/>
    <n v="47.99"/>
    <n v="67.290000000000006"/>
    <x v="2"/>
  </r>
  <r>
    <x v="84"/>
    <s v="P1050"/>
    <x v="72"/>
    <x v="4"/>
    <x v="1"/>
    <n v="48"/>
    <n v="22"/>
    <n v="1"/>
    <n v="69"/>
    <n v="0"/>
    <n v="5"/>
    <x v="8"/>
    <n v="114.18"/>
    <n v="149.58000000000001"/>
    <x v="2"/>
  </r>
  <r>
    <x v="84"/>
    <s v="P1051"/>
    <x v="31"/>
    <x v="4"/>
    <x v="1"/>
    <n v="59"/>
    <n v="14"/>
    <n v="9"/>
    <n v="64"/>
    <n v="0"/>
    <n v="11"/>
    <x v="8"/>
    <n v="277.85000000000002"/>
    <n v="344.03"/>
    <x v="2"/>
  </r>
  <r>
    <x v="84"/>
    <s v="P1070"/>
    <x v="13"/>
    <x v="2"/>
    <x v="2"/>
    <n v="348"/>
    <n v="154"/>
    <n v="30"/>
    <n v="472"/>
    <n v="0"/>
    <n v="3"/>
    <x v="3"/>
    <n v="10.43"/>
    <n v="14.86"/>
    <x v="2"/>
  </r>
  <r>
    <x v="85"/>
    <s v="P1025"/>
    <x v="20"/>
    <x v="3"/>
    <x v="0"/>
    <n v="219"/>
    <n v="71"/>
    <n v="33"/>
    <n v="257"/>
    <n v="0"/>
    <n v="11"/>
    <x v="12"/>
    <n v="67.91"/>
    <n v="100.71"/>
    <x v="2"/>
  </r>
  <r>
    <x v="85"/>
    <s v="P1026"/>
    <x v="14"/>
    <x v="3"/>
    <x v="2"/>
    <n v="70"/>
    <n v="144"/>
    <n v="21"/>
    <n v="193"/>
    <n v="0"/>
    <n v="12"/>
    <x v="12"/>
    <n v="83.43"/>
    <n v="97.79"/>
    <x v="2"/>
  </r>
  <r>
    <x v="85"/>
    <s v="P1042"/>
    <x v="61"/>
    <x v="1"/>
    <x v="3"/>
    <n v="345"/>
    <n v="52"/>
    <n v="66"/>
    <n v="331"/>
    <n v="0"/>
    <n v="7"/>
    <x v="11"/>
    <n v="18.16"/>
    <n v="21.19"/>
    <x v="2"/>
  </r>
  <r>
    <x v="85"/>
    <s v="P1057"/>
    <x v="36"/>
    <x v="4"/>
    <x v="1"/>
    <n v="31"/>
    <n v="14"/>
    <n v="16"/>
    <n v="29"/>
    <n v="0"/>
    <n v="5"/>
    <x v="14"/>
    <n v="215.41"/>
    <n v="331.82"/>
    <x v="2"/>
  </r>
  <r>
    <x v="86"/>
    <s v="P1002"/>
    <x v="18"/>
    <x v="0"/>
    <x v="1"/>
    <n v="72"/>
    <n v="57"/>
    <n v="73"/>
    <n v="56"/>
    <n v="0"/>
    <n v="10"/>
    <x v="6"/>
    <n v="36.85"/>
    <n v="52.07"/>
    <x v="2"/>
  </r>
  <r>
    <x v="86"/>
    <s v="P1031"/>
    <x v="76"/>
    <x v="3"/>
    <x v="0"/>
    <n v="170"/>
    <n v="86"/>
    <n v="24"/>
    <n v="232"/>
    <n v="0"/>
    <n v="9"/>
    <x v="12"/>
    <n v="68.650000000000006"/>
    <n v="92.66"/>
    <x v="2"/>
  </r>
  <r>
    <x v="86"/>
    <s v="P1046"/>
    <x v="49"/>
    <x v="1"/>
    <x v="0"/>
    <n v="177"/>
    <n v="55"/>
    <n v="107"/>
    <n v="125"/>
    <n v="0"/>
    <n v="6"/>
    <x v="11"/>
    <n v="23.33"/>
    <n v="31.69"/>
    <x v="2"/>
  </r>
  <r>
    <x v="87"/>
    <s v="P1013"/>
    <x v="2"/>
    <x v="0"/>
    <x v="3"/>
    <n v="71"/>
    <n v="24"/>
    <n v="50"/>
    <n v="45"/>
    <n v="0"/>
    <n v="8"/>
    <x v="1"/>
    <n v="94.56"/>
    <n v="112.36"/>
    <x v="2"/>
  </r>
  <r>
    <x v="87"/>
    <s v="P1020"/>
    <x v="23"/>
    <x v="3"/>
    <x v="3"/>
    <n v="191"/>
    <n v="86"/>
    <n v="124"/>
    <n v="153"/>
    <n v="0"/>
    <n v="2"/>
    <x v="7"/>
    <n v="69.42"/>
    <n v="87.39"/>
    <x v="2"/>
  </r>
  <r>
    <x v="87"/>
    <s v="P1049"/>
    <x v="10"/>
    <x v="4"/>
    <x v="3"/>
    <n v="52"/>
    <n v="24"/>
    <n v="13"/>
    <n v="63"/>
    <n v="0"/>
    <n v="6"/>
    <x v="8"/>
    <n v="36.81"/>
    <n v="43.83"/>
    <x v="2"/>
  </r>
  <r>
    <x v="87"/>
    <s v="P1051"/>
    <x v="31"/>
    <x v="4"/>
    <x v="3"/>
    <n v="79"/>
    <n v="9"/>
    <n v="13"/>
    <n v="75"/>
    <n v="0"/>
    <n v="13"/>
    <x v="14"/>
    <n v="55.23"/>
    <n v="76.53"/>
    <x v="2"/>
  </r>
  <r>
    <x v="87"/>
    <s v="P1060"/>
    <x v="16"/>
    <x v="4"/>
    <x v="1"/>
    <n v="14"/>
    <n v="21"/>
    <n v="8"/>
    <n v="27"/>
    <n v="0"/>
    <n v="9"/>
    <x v="9"/>
    <n v="200.49"/>
    <n v="298.08999999999997"/>
    <x v="2"/>
  </r>
  <r>
    <x v="87"/>
    <s v="P1074"/>
    <x v="6"/>
    <x v="2"/>
    <x v="1"/>
    <n v="173"/>
    <n v="206"/>
    <n v="34"/>
    <n v="345"/>
    <n v="0"/>
    <n v="5"/>
    <x v="3"/>
    <n v="22.76"/>
    <n v="27.56"/>
    <x v="2"/>
  </r>
  <r>
    <x v="88"/>
    <s v="P1005"/>
    <x v="62"/>
    <x v="0"/>
    <x v="1"/>
    <n v="167"/>
    <n v="34"/>
    <n v="74"/>
    <n v="127"/>
    <n v="0"/>
    <n v="5"/>
    <x v="1"/>
    <n v="98.58"/>
    <n v="118.32"/>
    <x v="2"/>
  </r>
  <r>
    <x v="88"/>
    <s v="P1015"/>
    <x v="73"/>
    <x v="0"/>
    <x v="1"/>
    <n v="151"/>
    <n v="65"/>
    <n v="63"/>
    <n v="153"/>
    <n v="0"/>
    <n v="10"/>
    <x v="6"/>
    <n v="111.78"/>
    <n v="145.66999999999999"/>
    <x v="2"/>
  </r>
  <r>
    <x v="88"/>
    <s v="P1038"/>
    <x v="4"/>
    <x v="1"/>
    <x v="1"/>
    <n v="408"/>
    <n v="186"/>
    <n v="57"/>
    <n v="537"/>
    <n v="0"/>
    <n v="6"/>
    <x v="13"/>
    <n v="22.13"/>
    <n v="32.450000000000003"/>
    <x v="2"/>
  </r>
  <r>
    <x v="88"/>
    <s v="P1038"/>
    <x v="4"/>
    <x v="1"/>
    <x v="3"/>
    <n v="157"/>
    <n v="55"/>
    <n v="90"/>
    <n v="122"/>
    <n v="0"/>
    <n v="3"/>
    <x v="13"/>
    <n v="18.12"/>
    <n v="22.25"/>
    <x v="2"/>
  </r>
  <r>
    <x v="88"/>
    <s v="P1046"/>
    <x v="49"/>
    <x v="1"/>
    <x v="3"/>
    <n v="152"/>
    <n v="43"/>
    <n v="132"/>
    <n v="63"/>
    <n v="0"/>
    <n v="6"/>
    <x v="13"/>
    <n v="9.89"/>
    <n v="13.6"/>
    <x v="2"/>
  </r>
  <r>
    <x v="88"/>
    <s v="P1051"/>
    <x v="31"/>
    <x v="4"/>
    <x v="1"/>
    <n v="44"/>
    <n v="18"/>
    <n v="14"/>
    <n v="48"/>
    <n v="0"/>
    <n v="7"/>
    <x v="8"/>
    <n v="208.82"/>
    <n v="282.23"/>
    <x v="2"/>
  </r>
  <r>
    <x v="88"/>
    <s v="P1068"/>
    <x v="33"/>
    <x v="2"/>
    <x v="1"/>
    <n v="234"/>
    <n v="75"/>
    <n v="97"/>
    <n v="212"/>
    <n v="0"/>
    <n v="4"/>
    <x v="5"/>
    <n v="14.39"/>
    <n v="21.79"/>
    <x v="2"/>
  </r>
  <r>
    <x v="89"/>
    <s v="P1027"/>
    <x v="26"/>
    <x v="3"/>
    <x v="3"/>
    <n v="54"/>
    <n v="23"/>
    <n v="18"/>
    <n v="59"/>
    <n v="0"/>
    <n v="14"/>
    <x v="7"/>
    <n v="73.489999999999995"/>
    <n v="111.93"/>
    <x v="3"/>
  </r>
  <r>
    <x v="90"/>
    <s v="P1001"/>
    <x v="34"/>
    <x v="0"/>
    <x v="2"/>
    <n v="81"/>
    <n v="13"/>
    <n v="64"/>
    <n v="30"/>
    <n v="0"/>
    <n v="5"/>
    <x v="6"/>
    <n v="24.29"/>
    <n v="31.33"/>
    <x v="3"/>
  </r>
  <r>
    <x v="90"/>
    <s v="P1004"/>
    <x v="57"/>
    <x v="0"/>
    <x v="1"/>
    <n v="107"/>
    <n v="20"/>
    <n v="63"/>
    <n v="64"/>
    <n v="0"/>
    <n v="7"/>
    <x v="6"/>
    <n v="78.52"/>
    <n v="92.99"/>
    <x v="3"/>
  </r>
  <r>
    <x v="90"/>
    <s v="P1012"/>
    <x v="41"/>
    <x v="0"/>
    <x v="1"/>
    <n v="101"/>
    <n v="74"/>
    <n v="67"/>
    <n v="108"/>
    <n v="0"/>
    <n v="4"/>
    <x v="1"/>
    <n v="125.53"/>
    <n v="157.16999999999999"/>
    <x v="3"/>
  </r>
  <r>
    <x v="90"/>
    <s v="P1018"/>
    <x v="46"/>
    <x v="3"/>
    <x v="1"/>
    <n v="293"/>
    <n v="26"/>
    <n v="78"/>
    <n v="241"/>
    <n v="0"/>
    <n v="6"/>
    <x v="10"/>
    <n v="49.03"/>
    <n v="63.4"/>
    <x v="3"/>
  </r>
  <r>
    <x v="90"/>
    <s v="P1041"/>
    <x v="38"/>
    <x v="1"/>
    <x v="2"/>
    <n v="287"/>
    <n v="172"/>
    <n v="26"/>
    <n v="433"/>
    <n v="0"/>
    <n v="3"/>
    <x v="11"/>
    <n v="3.79"/>
    <n v="4.92"/>
    <x v="3"/>
  </r>
  <r>
    <x v="90"/>
    <s v="P1043"/>
    <x v="21"/>
    <x v="1"/>
    <x v="0"/>
    <n v="392"/>
    <n v="228"/>
    <n v="123"/>
    <n v="497"/>
    <n v="0"/>
    <n v="7"/>
    <x v="13"/>
    <n v="10.59"/>
    <n v="13.59"/>
    <x v="3"/>
  </r>
  <r>
    <x v="90"/>
    <s v="P1050"/>
    <x v="72"/>
    <x v="4"/>
    <x v="1"/>
    <n v="24"/>
    <n v="22"/>
    <n v="3"/>
    <n v="43"/>
    <n v="0"/>
    <n v="3"/>
    <x v="9"/>
    <n v="74.98"/>
    <n v="92.93"/>
    <x v="3"/>
  </r>
  <r>
    <x v="90"/>
    <s v="P1051"/>
    <x v="31"/>
    <x v="4"/>
    <x v="0"/>
    <n v="22"/>
    <n v="5"/>
    <n v="5"/>
    <n v="22"/>
    <n v="0"/>
    <n v="11"/>
    <x v="8"/>
    <n v="287.93"/>
    <n v="348.04"/>
    <x v="3"/>
  </r>
  <r>
    <x v="90"/>
    <s v="P1053"/>
    <x v="39"/>
    <x v="4"/>
    <x v="3"/>
    <n v="26"/>
    <n v="4"/>
    <n v="10"/>
    <n v="20"/>
    <n v="0"/>
    <n v="7"/>
    <x v="9"/>
    <n v="305.18"/>
    <n v="460.02"/>
    <x v="3"/>
  </r>
  <r>
    <x v="91"/>
    <s v="P1026"/>
    <x v="14"/>
    <x v="3"/>
    <x v="3"/>
    <n v="186"/>
    <n v="106"/>
    <n v="24"/>
    <n v="268"/>
    <n v="0"/>
    <n v="12"/>
    <x v="12"/>
    <n v="59.25"/>
    <n v="74.12"/>
    <x v="3"/>
  </r>
  <r>
    <x v="91"/>
    <s v="P1037"/>
    <x v="59"/>
    <x v="1"/>
    <x v="3"/>
    <n v="397"/>
    <n v="157"/>
    <n v="119"/>
    <n v="435"/>
    <n v="0"/>
    <n v="6"/>
    <x v="13"/>
    <n v="9.76"/>
    <n v="12.44"/>
    <x v="3"/>
  </r>
  <r>
    <x v="91"/>
    <s v="P1044"/>
    <x v="48"/>
    <x v="1"/>
    <x v="0"/>
    <n v="429"/>
    <n v="180"/>
    <n v="188"/>
    <n v="421"/>
    <n v="0"/>
    <n v="3"/>
    <x v="13"/>
    <n v="22.95"/>
    <n v="30.39"/>
    <x v="3"/>
  </r>
  <r>
    <x v="91"/>
    <s v="P1052"/>
    <x v="60"/>
    <x v="4"/>
    <x v="0"/>
    <n v="40"/>
    <n v="13"/>
    <n v="19"/>
    <n v="34"/>
    <n v="0"/>
    <n v="13"/>
    <x v="9"/>
    <n v="122.81"/>
    <n v="167.73"/>
    <x v="3"/>
  </r>
  <r>
    <x v="91"/>
    <s v="P1073"/>
    <x v="78"/>
    <x v="2"/>
    <x v="0"/>
    <n v="305"/>
    <n v="119"/>
    <n v="22"/>
    <n v="402"/>
    <n v="0"/>
    <n v="9"/>
    <x v="3"/>
    <n v="29.72"/>
    <n v="35.26"/>
    <x v="3"/>
  </r>
  <r>
    <x v="92"/>
    <s v="P1011"/>
    <x v="37"/>
    <x v="0"/>
    <x v="2"/>
    <n v="175"/>
    <n v="80"/>
    <n v="27"/>
    <n v="228"/>
    <n v="0"/>
    <n v="6"/>
    <x v="0"/>
    <n v="203.61"/>
    <n v="287.11"/>
    <x v="3"/>
  </r>
  <r>
    <x v="92"/>
    <s v="P1057"/>
    <x v="36"/>
    <x v="4"/>
    <x v="0"/>
    <n v="79"/>
    <n v="21"/>
    <n v="5"/>
    <n v="95"/>
    <n v="0"/>
    <n v="8"/>
    <x v="9"/>
    <n v="62.29"/>
    <n v="74.78"/>
    <x v="3"/>
  </r>
  <r>
    <x v="92"/>
    <s v="P1062"/>
    <x v="68"/>
    <x v="4"/>
    <x v="0"/>
    <n v="57"/>
    <n v="9"/>
    <n v="1"/>
    <n v="65"/>
    <n v="0"/>
    <n v="13"/>
    <x v="14"/>
    <n v="85.36"/>
    <n v="110.88"/>
    <x v="3"/>
  </r>
  <r>
    <x v="93"/>
    <s v="P1002"/>
    <x v="18"/>
    <x v="0"/>
    <x v="2"/>
    <n v="87"/>
    <n v="89"/>
    <n v="35"/>
    <n v="141"/>
    <n v="0"/>
    <n v="6"/>
    <x v="6"/>
    <n v="80.17"/>
    <n v="92.48"/>
    <x v="3"/>
  </r>
  <r>
    <x v="93"/>
    <s v="P1013"/>
    <x v="2"/>
    <x v="0"/>
    <x v="3"/>
    <n v="95"/>
    <n v="69"/>
    <n v="8"/>
    <n v="156"/>
    <n v="0"/>
    <n v="8"/>
    <x v="0"/>
    <n v="16.28"/>
    <n v="19.12"/>
    <x v="3"/>
  </r>
  <r>
    <x v="93"/>
    <s v="P1026"/>
    <x v="14"/>
    <x v="3"/>
    <x v="2"/>
    <n v="85"/>
    <n v="41"/>
    <n v="17"/>
    <n v="109"/>
    <n v="0"/>
    <n v="12"/>
    <x v="7"/>
    <n v="61.86"/>
    <n v="76.040000000000006"/>
    <x v="3"/>
  </r>
  <r>
    <x v="93"/>
    <s v="P1056"/>
    <x v="56"/>
    <x v="4"/>
    <x v="0"/>
    <n v="67"/>
    <n v="17"/>
    <n v="13"/>
    <n v="71"/>
    <n v="0"/>
    <n v="7"/>
    <x v="8"/>
    <n v="263.8"/>
    <n v="337.3"/>
    <x v="3"/>
  </r>
  <r>
    <x v="93"/>
    <s v="P1062"/>
    <x v="68"/>
    <x v="4"/>
    <x v="2"/>
    <n v="80"/>
    <n v="22"/>
    <n v="10"/>
    <n v="92"/>
    <n v="0"/>
    <n v="11"/>
    <x v="9"/>
    <n v="257.2"/>
    <n v="341.52"/>
    <x v="3"/>
  </r>
  <r>
    <x v="93"/>
    <s v="P1065"/>
    <x v="25"/>
    <x v="2"/>
    <x v="1"/>
    <n v="327"/>
    <n v="82"/>
    <n v="113"/>
    <n v="296"/>
    <n v="0"/>
    <n v="8"/>
    <x v="3"/>
    <n v="26.35"/>
    <n v="34.090000000000003"/>
    <x v="3"/>
  </r>
  <r>
    <x v="93"/>
    <s v="P1066"/>
    <x v="69"/>
    <x v="2"/>
    <x v="1"/>
    <n v="307"/>
    <n v="51"/>
    <n v="114"/>
    <n v="244"/>
    <n v="0"/>
    <n v="3"/>
    <x v="4"/>
    <n v="11.83"/>
    <n v="13.84"/>
    <x v="3"/>
  </r>
  <r>
    <x v="93"/>
    <s v="P1074"/>
    <x v="6"/>
    <x v="2"/>
    <x v="1"/>
    <n v="340"/>
    <n v="220"/>
    <n v="33"/>
    <n v="527"/>
    <n v="0"/>
    <n v="9"/>
    <x v="5"/>
    <n v="2.1"/>
    <n v="2.96"/>
    <x v="3"/>
  </r>
  <r>
    <x v="94"/>
    <s v="P1002"/>
    <x v="18"/>
    <x v="0"/>
    <x v="2"/>
    <n v="169"/>
    <n v="47"/>
    <n v="76"/>
    <n v="140"/>
    <n v="0"/>
    <n v="8"/>
    <x v="0"/>
    <n v="132.11000000000001"/>
    <n v="159.47999999999999"/>
    <x v="3"/>
  </r>
  <r>
    <x v="94"/>
    <s v="P1006"/>
    <x v="19"/>
    <x v="0"/>
    <x v="0"/>
    <n v="66"/>
    <n v="24"/>
    <n v="52"/>
    <n v="38"/>
    <n v="0"/>
    <n v="9"/>
    <x v="6"/>
    <n v="121.64"/>
    <n v="161.66"/>
    <x v="3"/>
  </r>
  <r>
    <x v="94"/>
    <s v="P1014"/>
    <x v="28"/>
    <x v="0"/>
    <x v="1"/>
    <n v="173"/>
    <n v="19"/>
    <n v="35"/>
    <n v="157"/>
    <n v="0"/>
    <n v="2"/>
    <x v="1"/>
    <n v="212.76"/>
    <n v="250.93"/>
    <x v="3"/>
  </r>
  <r>
    <x v="94"/>
    <s v="P1016"/>
    <x v="35"/>
    <x v="0"/>
    <x v="2"/>
    <n v="68"/>
    <n v="32"/>
    <n v="38"/>
    <n v="62"/>
    <n v="0"/>
    <n v="11"/>
    <x v="0"/>
    <n v="207.11"/>
    <n v="264.01"/>
    <x v="3"/>
  </r>
  <r>
    <x v="94"/>
    <s v="P1039"/>
    <x v="30"/>
    <x v="1"/>
    <x v="3"/>
    <n v="237"/>
    <n v="137"/>
    <n v="177"/>
    <n v="197"/>
    <n v="0"/>
    <n v="3"/>
    <x v="13"/>
    <n v="10.3"/>
    <n v="14.37"/>
    <x v="3"/>
  </r>
  <r>
    <x v="94"/>
    <s v="P1056"/>
    <x v="56"/>
    <x v="4"/>
    <x v="3"/>
    <n v="72"/>
    <n v="10"/>
    <n v="10"/>
    <n v="72"/>
    <n v="0"/>
    <n v="3"/>
    <x v="14"/>
    <n v="313.61"/>
    <n v="435.75"/>
    <x v="3"/>
  </r>
  <r>
    <x v="94"/>
    <s v="P1067"/>
    <x v="5"/>
    <x v="2"/>
    <x v="2"/>
    <n v="183"/>
    <n v="193"/>
    <n v="166"/>
    <n v="210"/>
    <n v="0"/>
    <n v="7"/>
    <x v="4"/>
    <n v="9.58"/>
    <n v="13.56"/>
    <x v="3"/>
  </r>
  <r>
    <x v="94"/>
    <s v="P1075"/>
    <x v="44"/>
    <x v="2"/>
    <x v="2"/>
    <n v="348"/>
    <n v="62"/>
    <n v="58"/>
    <n v="352"/>
    <n v="0"/>
    <n v="5"/>
    <x v="4"/>
    <n v="18"/>
    <n v="23.27"/>
    <x v="3"/>
  </r>
  <r>
    <x v="95"/>
    <s v="P1009"/>
    <x v="1"/>
    <x v="0"/>
    <x v="0"/>
    <n v="135"/>
    <n v="44"/>
    <n v="62"/>
    <n v="117"/>
    <n v="0"/>
    <n v="2"/>
    <x v="6"/>
    <n v="213.9"/>
    <n v="283.43"/>
    <x v="3"/>
  </r>
  <r>
    <x v="95"/>
    <s v="P1032"/>
    <x v="58"/>
    <x v="3"/>
    <x v="1"/>
    <n v="114"/>
    <n v="118"/>
    <n v="81"/>
    <n v="151"/>
    <n v="0"/>
    <n v="4"/>
    <x v="7"/>
    <n v="59.83"/>
    <n v="82.61"/>
    <x v="3"/>
  </r>
  <r>
    <x v="95"/>
    <s v="P1039"/>
    <x v="30"/>
    <x v="1"/>
    <x v="0"/>
    <n v="347"/>
    <n v="43"/>
    <n v="136"/>
    <n v="254"/>
    <n v="0"/>
    <n v="5"/>
    <x v="2"/>
    <n v="18.59"/>
    <n v="22.54"/>
    <x v="3"/>
  </r>
  <r>
    <x v="95"/>
    <s v="P1074"/>
    <x v="6"/>
    <x v="2"/>
    <x v="3"/>
    <n v="228"/>
    <n v="91"/>
    <n v="107"/>
    <n v="212"/>
    <n v="0"/>
    <n v="11"/>
    <x v="4"/>
    <n v="29.28"/>
    <n v="36.39"/>
    <x v="3"/>
  </r>
  <r>
    <x v="96"/>
    <s v="P1005"/>
    <x v="62"/>
    <x v="0"/>
    <x v="3"/>
    <n v="30"/>
    <n v="72"/>
    <n v="61"/>
    <n v="41"/>
    <n v="0"/>
    <n v="13"/>
    <x v="1"/>
    <n v="115.41"/>
    <n v="157.13"/>
    <x v="3"/>
  </r>
  <r>
    <x v="96"/>
    <s v="P1020"/>
    <x v="23"/>
    <x v="3"/>
    <x v="1"/>
    <n v="292"/>
    <n v="28"/>
    <n v="102"/>
    <n v="218"/>
    <n v="0"/>
    <n v="7"/>
    <x v="7"/>
    <n v="41.14"/>
    <n v="61.72"/>
    <x v="3"/>
  </r>
  <r>
    <x v="96"/>
    <s v="P1038"/>
    <x v="4"/>
    <x v="1"/>
    <x v="0"/>
    <n v="408"/>
    <n v="139"/>
    <n v="195"/>
    <n v="352"/>
    <n v="0"/>
    <n v="2"/>
    <x v="11"/>
    <n v="13.72"/>
    <n v="18.100000000000001"/>
    <x v="3"/>
  </r>
  <r>
    <x v="96"/>
    <s v="P1042"/>
    <x v="61"/>
    <x v="1"/>
    <x v="3"/>
    <n v="172"/>
    <n v="58"/>
    <n v="147"/>
    <n v="83"/>
    <n v="0"/>
    <n v="1"/>
    <x v="13"/>
    <n v="24.97"/>
    <n v="29.26"/>
    <x v="3"/>
  </r>
  <r>
    <x v="96"/>
    <s v="P1046"/>
    <x v="49"/>
    <x v="1"/>
    <x v="0"/>
    <n v="459"/>
    <n v="194"/>
    <n v="40"/>
    <n v="613"/>
    <n v="0"/>
    <n v="4"/>
    <x v="13"/>
    <n v="9.6999999999999993"/>
    <n v="13.85"/>
    <x v="3"/>
  </r>
  <r>
    <x v="96"/>
    <s v="P1048"/>
    <x v="74"/>
    <x v="1"/>
    <x v="0"/>
    <n v="192"/>
    <n v="110"/>
    <n v="49"/>
    <n v="253"/>
    <n v="0"/>
    <n v="7"/>
    <x v="11"/>
    <n v="3.02"/>
    <n v="3.89"/>
    <x v="3"/>
  </r>
  <r>
    <x v="96"/>
    <s v="P1056"/>
    <x v="56"/>
    <x v="4"/>
    <x v="1"/>
    <n v="22"/>
    <n v="5"/>
    <n v="3"/>
    <n v="24"/>
    <n v="0"/>
    <n v="13"/>
    <x v="14"/>
    <n v="245.05"/>
    <n v="357.5"/>
    <x v="3"/>
  </r>
  <r>
    <x v="96"/>
    <s v="P1076"/>
    <x v="7"/>
    <x v="2"/>
    <x v="3"/>
    <n v="273"/>
    <n v="137"/>
    <n v="179"/>
    <n v="231"/>
    <n v="0"/>
    <n v="14"/>
    <x v="4"/>
    <n v="22.58"/>
    <n v="30.51"/>
    <x v="3"/>
  </r>
  <r>
    <x v="97"/>
    <s v="P1009"/>
    <x v="1"/>
    <x v="0"/>
    <x v="1"/>
    <n v="58"/>
    <n v="44"/>
    <n v="5"/>
    <n v="97"/>
    <n v="0"/>
    <n v="9"/>
    <x v="1"/>
    <n v="164.55"/>
    <n v="239.62"/>
    <x v="3"/>
  </r>
  <r>
    <x v="97"/>
    <s v="P1019"/>
    <x v="66"/>
    <x v="3"/>
    <x v="0"/>
    <n v="128"/>
    <n v="85"/>
    <n v="21"/>
    <n v="192"/>
    <n v="0"/>
    <n v="9"/>
    <x v="7"/>
    <n v="18.36"/>
    <n v="21.32"/>
    <x v="3"/>
  </r>
  <r>
    <x v="97"/>
    <s v="P1020"/>
    <x v="23"/>
    <x v="3"/>
    <x v="0"/>
    <n v="258"/>
    <n v="90"/>
    <n v="140"/>
    <n v="208"/>
    <n v="0"/>
    <n v="11"/>
    <x v="10"/>
    <n v="50.38"/>
    <n v="72.849999999999994"/>
    <x v="3"/>
  </r>
  <r>
    <x v="97"/>
    <s v="P1022"/>
    <x v="53"/>
    <x v="3"/>
    <x v="1"/>
    <n v="129"/>
    <n v="123"/>
    <n v="128"/>
    <n v="124"/>
    <n v="0"/>
    <n v="6"/>
    <x v="12"/>
    <n v="51.52"/>
    <n v="72.66"/>
    <x v="3"/>
  </r>
  <r>
    <x v="97"/>
    <s v="P1023"/>
    <x v="24"/>
    <x v="3"/>
    <x v="0"/>
    <n v="152"/>
    <n v="116"/>
    <n v="100"/>
    <n v="168"/>
    <n v="0"/>
    <n v="4"/>
    <x v="12"/>
    <n v="55.47"/>
    <n v="78.150000000000006"/>
    <x v="3"/>
  </r>
  <r>
    <x v="97"/>
    <s v="P1032"/>
    <x v="58"/>
    <x v="3"/>
    <x v="3"/>
    <n v="107"/>
    <n v="26"/>
    <n v="58"/>
    <n v="75"/>
    <n v="0"/>
    <n v="10"/>
    <x v="10"/>
    <n v="44.92"/>
    <n v="68.86"/>
    <x v="3"/>
  </r>
  <r>
    <x v="97"/>
    <s v="P1033"/>
    <x v="27"/>
    <x v="1"/>
    <x v="1"/>
    <n v="179"/>
    <n v="148"/>
    <n v="106"/>
    <n v="221"/>
    <n v="0"/>
    <n v="5"/>
    <x v="2"/>
    <n v="2.83"/>
    <n v="3.7"/>
    <x v="3"/>
  </r>
  <r>
    <x v="97"/>
    <s v="P1035"/>
    <x v="42"/>
    <x v="1"/>
    <x v="0"/>
    <n v="321"/>
    <n v="125"/>
    <n v="112"/>
    <n v="334"/>
    <n v="0"/>
    <n v="6"/>
    <x v="2"/>
    <n v="15.87"/>
    <n v="23.55"/>
    <x v="3"/>
  </r>
  <r>
    <x v="97"/>
    <s v="P1046"/>
    <x v="49"/>
    <x v="1"/>
    <x v="2"/>
    <n v="441"/>
    <n v="243"/>
    <n v="33"/>
    <n v="651"/>
    <n v="0"/>
    <n v="6"/>
    <x v="13"/>
    <n v="19.25"/>
    <n v="28.34"/>
    <x v="3"/>
  </r>
  <r>
    <x v="97"/>
    <s v="P1047"/>
    <x v="55"/>
    <x v="1"/>
    <x v="2"/>
    <n v="416"/>
    <n v="249"/>
    <n v="188"/>
    <n v="477"/>
    <n v="0"/>
    <n v="2"/>
    <x v="11"/>
    <n v="12.98"/>
    <n v="18.05"/>
    <x v="3"/>
  </r>
  <r>
    <x v="97"/>
    <s v="P1064"/>
    <x v="32"/>
    <x v="4"/>
    <x v="2"/>
    <n v="71"/>
    <n v="10"/>
    <n v="5"/>
    <n v="76"/>
    <n v="0"/>
    <n v="14"/>
    <x v="9"/>
    <n v="296.08999999999997"/>
    <n v="433.42"/>
    <x v="3"/>
  </r>
  <r>
    <x v="98"/>
    <s v="P1015"/>
    <x v="73"/>
    <x v="0"/>
    <x v="2"/>
    <n v="165"/>
    <n v="34"/>
    <n v="24"/>
    <n v="175"/>
    <n v="0"/>
    <n v="11"/>
    <x v="1"/>
    <n v="153.53"/>
    <n v="235.53"/>
    <x v="3"/>
  </r>
  <r>
    <x v="98"/>
    <s v="P1030"/>
    <x v="9"/>
    <x v="3"/>
    <x v="2"/>
    <n v="231"/>
    <n v="82"/>
    <n v="82"/>
    <n v="231"/>
    <n v="0"/>
    <n v="2"/>
    <x v="10"/>
    <n v="41.37"/>
    <n v="61.98"/>
    <x v="3"/>
  </r>
  <r>
    <x v="98"/>
    <s v="P1030"/>
    <x v="9"/>
    <x v="3"/>
    <x v="2"/>
    <n v="222"/>
    <n v="131"/>
    <n v="138"/>
    <n v="215"/>
    <n v="0"/>
    <n v="7"/>
    <x v="10"/>
    <n v="23.63"/>
    <n v="28.92"/>
    <x v="3"/>
  </r>
  <r>
    <x v="98"/>
    <s v="P1045"/>
    <x v="15"/>
    <x v="1"/>
    <x v="2"/>
    <n v="346"/>
    <n v="193"/>
    <n v="61"/>
    <n v="478"/>
    <n v="0"/>
    <n v="3"/>
    <x v="13"/>
    <n v="23.45"/>
    <n v="31.88"/>
    <x v="3"/>
  </r>
  <r>
    <x v="98"/>
    <s v="P1076"/>
    <x v="7"/>
    <x v="2"/>
    <x v="2"/>
    <n v="337"/>
    <n v="69"/>
    <n v="115"/>
    <n v="291"/>
    <n v="0"/>
    <n v="2"/>
    <x v="4"/>
    <n v="8.33"/>
    <n v="11.5"/>
    <x v="3"/>
  </r>
  <r>
    <x v="99"/>
    <s v="P1029"/>
    <x v="63"/>
    <x v="3"/>
    <x v="2"/>
    <n v="214"/>
    <n v="150"/>
    <n v="133"/>
    <n v="231"/>
    <n v="0"/>
    <n v="6"/>
    <x v="10"/>
    <n v="84.62"/>
    <n v="104.3"/>
    <x v="3"/>
  </r>
  <r>
    <x v="99"/>
    <s v="P1035"/>
    <x v="42"/>
    <x v="1"/>
    <x v="1"/>
    <n v="293"/>
    <n v="237"/>
    <n v="54"/>
    <n v="476"/>
    <n v="0"/>
    <n v="6"/>
    <x v="11"/>
    <n v="5.05"/>
    <n v="6.58"/>
    <x v="3"/>
  </r>
  <r>
    <x v="99"/>
    <s v="P1038"/>
    <x v="4"/>
    <x v="1"/>
    <x v="0"/>
    <n v="321"/>
    <n v="129"/>
    <n v="91"/>
    <n v="359"/>
    <n v="0"/>
    <n v="6"/>
    <x v="2"/>
    <n v="14.12"/>
    <n v="20.55"/>
    <x v="3"/>
  </r>
  <r>
    <x v="99"/>
    <s v="P1039"/>
    <x v="30"/>
    <x v="1"/>
    <x v="3"/>
    <n v="370"/>
    <n v="125"/>
    <n v="185"/>
    <n v="310"/>
    <n v="0"/>
    <n v="7"/>
    <x v="13"/>
    <n v="19.579999999999998"/>
    <n v="27.4"/>
    <x v="3"/>
  </r>
  <r>
    <x v="99"/>
    <s v="P1059"/>
    <x v="11"/>
    <x v="4"/>
    <x v="3"/>
    <n v="65"/>
    <n v="6"/>
    <n v="7"/>
    <n v="64"/>
    <n v="0"/>
    <n v="5"/>
    <x v="14"/>
    <n v="39.549999999999997"/>
    <n v="57.54"/>
    <x v="3"/>
  </r>
  <r>
    <x v="99"/>
    <s v="P1060"/>
    <x v="16"/>
    <x v="4"/>
    <x v="3"/>
    <n v="57"/>
    <n v="15"/>
    <n v="1"/>
    <n v="71"/>
    <n v="0"/>
    <n v="3"/>
    <x v="8"/>
    <n v="243.89"/>
    <n v="291.69"/>
    <x v="3"/>
  </r>
  <r>
    <x v="99"/>
    <s v="P1063"/>
    <x v="12"/>
    <x v="4"/>
    <x v="0"/>
    <n v="30"/>
    <n v="5"/>
    <n v="18"/>
    <n v="17"/>
    <n v="0"/>
    <n v="2"/>
    <x v="9"/>
    <n v="275.85000000000002"/>
    <n v="326.76"/>
    <x v="3"/>
  </r>
  <r>
    <x v="99"/>
    <s v="P1073"/>
    <x v="78"/>
    <x v="2"/>
    <x v="2"/>
    <n v="149"/>
    <n v="188"/>
    <n v="58"/>
    <n v="279"/>
    <n v="0"/>
    <n v="13"/>
    <x v="3"/>
    <n v="25.84"/>
    <n v="33.81"/>
    <x v="3"/>
  </r>
  <r>
    <x v="100"/>
    <s v="P1008"/>
    <x v="0"/>
    <x v="0"/>
    <x v="2"/>
    <n v="179"/>
    <n v="88"/>
    <n v="25"/>
    <n v="242"/>
    <n v="0"/>
    <n v="3"/>
    <x v="0"/>
    <n v="160.97"/>
    <n v="222.46"/>
    <x v="3"/>
  </r>
  <r>
    <x v="100"/>
    <s v="P1042"/>
    <x v="61"/>
    <x v="1"/>
    <x v="3"/>
    <n v="334"/>
    <n v="221"/>
    <n v="30"/>
    <n v="525"/>
    <n v="0"/>
    <n v="5"/>
    <x v="2"/>
    <n v="3.47"/>
    <n v="5.19"/>
    <x v="3"/>
  </r>
  <r>
    <x v="101"/>
    <s v="P1010"/>
    <x v="47"/>
    <x v="0"/>
    <x v="1"/>
    <n v="97"/>
    <n v="39"/>
    <n v="53"/>
    <n v="83"/>
    <n v="0"/>
    <n v="10"/>
    <x v="1"/>
    <n v="24.65"/>
    <n v="28.54"/>
    <x v="3"/>
  </r>
  <r>
    <x v="101"/>
    <s v="P1010"/>
    <x v="47"/>
    <x v="0"/>
    <x v="2"/>
    <n v="29"/>
    <n v="76"/>
    <n v="42"/>
    <n v="63"/>
    <n v="0"/>
    <n v="14"/>
    <x v="6"/>
    <n v="51.38"/>
    <n v="64.27"/>
    <x v="3"/>
  </r>
  <r>
    <x v="101"/>
    <s v="P1024"/>
    <x v="54"/>
    <x v="3"/>
    <x v="3"/>
    <n v="168"/>
    <n v="27"/>
    <n v="105"/>
    <n v="90"/>
    <n v="0"/>
    <n v="7"/>
    <x v="12"/>
    <n v="79.19"/>
    <n v="96.68"/>
    <x v="3"/>
  </r>
  <r>
    <x v="101"/>
    <s v="P1052"/>
    <x v="60"/>
    <x v="4"/>
    <x v="0"/>
    <n v="37"/>
    <n v="16"/>
    <n v="15"/>
    <n v="38"/>
    <n v="0"/>
    <n v="7"/>
    <x v="8"/>
    <n v="91.9"/>
    <n v="109.8"/>
    <x v="3"/>
  </r>
  <r>
    <x v="101"/>
    <s v="P1052"/>
    <x v="60"/>
    <x v="4"/>
    <x v="1"/>
    <n v="59"/>
    <n v="5"/>
    <n v="17"/>
    <n v="47"/>
    <n v="0"/>
    <n v="11"/>
    <x v="8"/>
    <n v="257.41000000000003"/>
    <n v="357.1"/>
    <x v="3"/>
  </r>
  <r>
    <x v="101"/>
    <s v="P1073"/>
    <x v="78"/>
    <x v="2"/>
    <x v="1"/>
    <n v="179"/>
    <n v="203"/>
    <n v="39"/>
    <n v="343"/>
    <n v="0"/>
    <n v="7"/>
    <x v="5"/>
    <n v="22.14"/>
    <n v="33.9"/>
    <x v="3"/>
  </r>
  <r>
    <x v="102"/>
    <s v="P1001"/>
    <x v="34"/>
    <x v="0"/>
    <x v="0"/>
    <n v="61"/>
    <n v="41"/>
    <n v="36"/>
    <n v="66"/>
    <n v="0"/>
    <n v="11"/>
    <x v="0"/>
    <n v="166.88"/>
    <n v="236.09"/>
    <x v="3"/>
  </r>
  <r>
    <x v="102"/>
    <s v="P1040"/>
    <x v="67"/>
    <x v="1"/>
    <x v="1"/>
    <n v="392"/>
    <n v="166"/>
    <n v="220"/>
    <n v="338"/>
    <n v="0"/>
    <n v="5"/>
    <x v="13"/>
    <n v="12.56"/>
    <n v="16.510000000000002"/>
    <x v="3"/>
  </r>
  <r>
    <x v="102"/>
    <s v="P1051"/>
    <x v="31"/>
    <x v="4"/>
    <x v="1"/>
    <n v="48"/>
    <n v="8"/>
    <n v="11"/>
    <n v="45"/>
    <n v="0"/>
    <n v="5"/>
    <x v="8"/>
    <n v="69.98"/>
    <n v="99.11"/>
    <x v="3"/>
  </r>
  <r>
    <x v="102"/>
    <s v="P1053"/>
    <x v="39"/>
    <x v="4"/>
    <x v="1"/>
    <n v="25"/>
    <n v="10"/>
    <n v="13"/>
    <n v="22"/>
    <n v="0"/>
    <n v="13"/>
    <x v="14"/>
    <n v="48.82"/>
    <n v="73.599999999999994"/>
    <x v="3"/>
  </r>
  <r>
    <x v="102"/>
    <s v="P1069"/>
    <x v="17"/>
    <x v="2"/>
    <x v="3"/>
    <n v="379"/>
    <n v="216"/>
    <n v="104"/>
    <n v="491"/>
    <n v="0"/>
    <n v="10"/>
    <x v="4"/>
    <n v="7.35"/>
    <n v="9.8000000000000007"/>
    <x v="3"/>
  </r>
  <r>
    <x v="102"/>
    <s v="P1074"/>
    <x v="6"/>
    <x v="2"/>
    <x v="1"/>
    <n v="211"/>
    <n v="193"/>
    <n v="142"/>
    <n v="262"/>
    <n v="0"/>
    <n v="10"/>
    <x v="4"/>
    <n v="9.24"/>
    <n v="12.79"/>
    <x v="3"/>
  </r>
  <r>
    <x v="102"/>
    <s v="P1078"/>
    <x v="65"/>
    <x v="2"/>
    <x v="1"/>
    <n v="115"/>
    <n v="151"/>
    <n v="120"/>
    <n v="146"/>
    <n v="0"/>
    <n v="3"/>
    <x v="4"/>
    <n v="9.83"/>
    <n v="11.4"/>
    <x v="3"/>
  </r>
  <r>
    <x v="102"/>
    <s v="P1080"/>
    <x v="79"/>
    <x v="2"/>
    <x v="0"/>
    <n v="238"/>
    <n v="164"/>
    <n v="123"/>
    <n v="279"/>
    <n v="0"/>
    <n v="7"/>
    <x v="3"/>
    <n v="29.12"/>
    <n v="42.18"/>
    <x v="3"/>
  </r>
  <r>
    <x v="103"/>
    <s v="P1012"/>
    <x v="41"/>
    <x v="0"/>
    <x v="0"/>
    <n v="158"/>
    <n v="62"/>
    <n v="14"/>
    <n v="206"/>
    <n v="0"/>
    <n v="6"/>
    <x v="6"/>
    <n v="180.06"/>
    <n v="220.45"/>
    <x v="3"/>
  </r>
  <r>
    <x v="103"/>
    <s v="P1013"/>
    <x v="2"/>
    <x v="0"/>
    <x v="3"/>
    <n v="52"/>
    <n v="83"/>
    <n v="23"/>
    <n v="112"/>
    <n v="0"/>
    <n v="8"/>
    <x v="1"/>
    <n v="79.040000000000006"/>
    <n v="107.16"/>
    <x v="3"/>
  </r>
  <r>
    <x v="103"/>
    <s v="P1065"/>
    <x v="25"/>
    <x v="2"/>
    <x v="3"/>
    <n v="185"/>
    <n v="104"/>
    <n v="179"/>
    <n v="110"/>
    <n v="0"/>
    <n v="7"/>
    <x v="3"/>
    <n v="20.47"/>
    <n v="25.76"/>
    <x v="3"/>
  </r>
  <r>
    <x v="103"/>
    <s v="P1079"/>
    <x v="8"/>
    <x v="2"/>
    <x v="2"/>
    <n v="291"/>
    <n v="89"/>
    <n v="138"/>
    <n v="242"/>
    <n v="0"/>
    <n v="8"/>
    <x v="4"/>
    <n v="8.2100000000000009"/>
    <n v="10.44"/>
    <x v="3"/>
  </r>
  <r>
    <x v="104"/>
    <s v="P1013"/>
    <x v="2"/>
    <x v="0"/>
    <x v="2"/>
    <n v="132"/>
    <n v="25"/>
    <n v="7"/>
    <n v="150"/>
    <n v="0"/>
    <n v="12"/>
    <x v="6"/>
    <n v="49.14"/>
    <n v="66.900000000000006"/>
    <x v="3"/>
  </r>
  <r>
    <x v="104"/>
    <s v="P1022"/>
    <x v="53"/>
    <x v="3"/>
    <x v="1"/>
    <n v="254"/>
    <n v="135"/>
    <n v="22"/>
    <n v="367"/>
    <n v="0"/>
    <n v="13"/>
    <x v="12"/>
    <n v="32.409999999999997"/>
    <n v="37.700000000000003"/>
    <x v="3"/>
  </r>
  <r>
    <x v="104"/>
    <s v="P1024"/>
    <x v="54"/>
    <x v="3"/>
    <x v="2"/>
    <n v="278"/>
    <n v="138"/>
    <n v="66"/>
    <n v="350"/>
    <n v="0"/>
    <n v="9"/>
    <x v="12"/>
    <n v="85.14"/>
    <n v="124.34"/>
    <x v="3"/>
  </r>
  <r>
    <x v="104"/>
    <s v="P1044"/>
    <x v="48"/>
    <x v="1"/>
    <x v="0"/>
    <n v="269"/>
    <n v="154"/>
    <n v="26"/>
    <n v="397"/>
    <n v="0"/>
    <n v="4"/>
    <x v="11"/>
    <n v="16.22"/>
    <n v="22.76"/>
    <x v="3"/>
  </r>
  <r>
    <x v="104"/>
    <s v="P1053"/>
    <x v="39"/>
    <x v="4"/>
    <x v="3"/>
    <n v="69"/>
    <n v="4"/>
    <n v="19"/>
    <n v="54"/>
    <n v="0"/>
    <n v="14"/>
    <x v="14"/>
    <n v="288.24"/>
    <n v="358.95"/>
    <x v="3"/>
  </r>
  <r>
    <x v="105"/>
    <s v="P1024"/>
    <x v="54"/>
    <x v="3"/>
    <x v="1"/>
    <n v="288"/>
    <n v="88"/>
    <n v="39"/>
    <n v="337"/>
    <n v="0"/>
    <n v="4"/>
    <x v="7"/>
    <n v="75.33"/>
    <n v="103.08"/>
    <x v="3"/>
  </r>
  <r>
    <x v="105"/>
    <s v="P1046"/>
    <x v="49"/>
    <x v="1"/>
    <x v="3"/>
    <n v="449"/>
    <n v="232"/>
    <n v="66"/>
    <n v="615"/>
    <n v="0"/>
    <n v="2"/>
    <x v="13"/>
    <n v="18.87"/>
    <n v="26.42"/>
    <x v="3"/>
  </r>
  <r>
    <x v="105"/>
    <s v="P1061"/>
    <x v="22"/>
    <x v="4"/>
    <x v="0"/>
    <n v="78"/>
    <n v="2"/>
    <n v="17"/>
    <n v="63"/>
    <n v="0"/>
    <n v="4"/>
    <x v="9"/>
    <n v="38.51"/>
    <n v="46.57"/>
    <x v="3"/>
  </r>
  <r>
    <x v="105"/>
    <s v="P1073"/>
    <x v="78"/>
    <x v="2"/>
    <x v="3"/>
    <n v="266"/>
    <n v="173"/>
    <n v="29"/>
    <n v="410"/>
    <n v="0"/>
    <n v="10"/>
    <x v="4"/>
    <n v="11.17"/>
    <n v="16.57"/>
    <x v="3"/>
  </r>
  <r>
    <x v="106"/>
    <s v="P1045"/>
    <x v="15"/>
    <x v="1"/>
    <x v="3"/>
    <n v="331"/>
    <n v="135"/>
    <n v="45"/>
    <n v="421"/>
    <n v="0"/>
    <n v="7"/>
    <x v="11"/>
    <n v="11.64"/>
    <n v="17.03"/>
    <x v="3"/>
  </r>
  <r>
    <x v="106"/>
    <s v="P1058"/>
    <x v="52"/>
    <x v="4"/>
    <x v="2"/>
    <n v="46"/>
    <n v="14"/>
    <n v="14"/>
    <n v="46"/>
    <n v="0"/>
    <n v="10"/>
    <x v="8"/>
    <n v="80.3"/>
    <n v="100.53"/>
    <x v="3"/>
  </r>
  <r>
    <x v="106"/>
    <s v="P1064"/>
    <x v="32"/>
    <x v="4"/>
    <x v="2"/>
    <n v="48"/>
    <n v="3"/>
    <n v="1"/>
    <n v="50"/>
    <n v="0"/>
    <n v="13"/>
    <x v="14"/>
    <n v="32.96"/>
    <n v="48.33"/>
    <x v="3"/>
  </r>
  <r>
    <x v="106"/>
    <s v="P1069"/>
    <x v="17"/>
    <x v="2"/>
    <x v="0"/>
    <n v="335"/>
    <n v="77"/>
    <n v="101"/>
    <n v="311"/>
    <n v="0"/>
    <n v="9"/>
    <x v="5"/>
    <n v="11.99"/>
    <n v="15.57"/>
    <x v="3"/>
  </r>
  <r>
    <x v="106"/>
    <s v="P1079"/>
    <x v="8"/>
    <x v="2"/>
    <x v="2"/>
    <n v="343"/>
    <n v="202"/>
    <n v="85"/>
    <n v="460"/>
    <n v="0"/>
    <n v="10"/>
    <x v="4"/>
    <n v="9.84"/>
    <n v="14.58"/>
    <x v="3"/>
  </r>
  <r>
    <x v="107"/>
    <s v="P1003"/>
    <x v="64"/>
    <x v="0"/>
    <x v="0"/>
    <n v="58"/>
    <n v="13"/>
    <n v="34"/>
    <n v="37"/>
    <n v="0"/>
    <n v="7"/>
    <x v="1"/>
    <n v="112.75"/>
    <n v="158.08000000000001"/>
    <x v="3"/>
  </r>
  <r>
    <x v="107"/>
    <s v="P1039"/>
    <x v="30"/>
    <x v="1"/>
    <x v="2"/>
    <n v="425"/>
    <n v="185"/>
    <n v="156"/>
    <n v="454"/>
    <n v="0"/>
    <n v="6"/>
    <x v="2"/>
    <n v="19.7"/>
    <n v="29.05"/>
    <x v="3"/>
  </r>
  <r>
    <x v="107"/>
    <s v="P1039"/>
    <x v="30"/>
    <x v="1"/>
    <x v="1"/>
    <n v="81"/>
    <n v="127"/>
    <n v="50"/>
    <n v="158"/>
    <n v="0"/>
    <n v="3"/>
    <x v="13"/>
    <n v="3.3"/>
    <n v="4.68"/>
    <x v="3"/>
  </r>
  <r>
    <x v="108"/>
    <s v="P1017"/>
    <x v="45"/>
    <x v="3"/>
    <x v="1"/>
    <n v="225"/>
    <n v="150"/>
    <n v="44"/>
    <n v="331"/>
    <n v="0"/>
    <n v="2"/>
    <x v="12"/>
    <n v="46.68"/>
    <n v="64.36"/>
    <x v="3"/>
  </r>
  <r>
    <x v="109"/>
    <s v="P1005"/>
    <x v="62"/>
    <x v="0"/>
    <x v="3"/>
    <n v="38"/>
    <n v="15"/>
    <n v="15"/>
    <n v="38"/>
    <n v="0"/>
    <n v="14"/>
    <x v="6"/>
    <n v="105.46"/>
    <n v="122.04"/>
    <x v="3"/>
  </r>
  <r>
    <x v="109"/>
    <s v="P1008"/>
    <x v="0"/>
    <x v="0"/>
    <x v="3"/>
    <n v="96"/>
    <n v="86"/>
    <n v="22"/>
    <n v="160"/>
    <n v="0"/>
    <n v="14"/>
    <x v="6"/>
    <n v="63.82"/>
    <n v="97.35"/>
    <x v="3"/>
  </r>
  <r>
    <x v="109"/>
    <s v="P1019"/>
    <x v="66"/>
    <x v="3"/>
    <x v="3"/>
    <n v="192"/>
    <n v="72"/>
    <n v="111"/>
    <n v="153"/>
    <n v="0"/>
    <n v="3"/>
    <x v="7"/>
    <n v="51.65"/>
    <n v="64.930000000000007"/>
    <x v="3"/>
  </r>
  <r>
    <x v="109"/>
    <s v="P1024"/>
    <x v="54"/>
    <x v="3"/>
    <x v="0"/>
    <n v="180"/>
    <n v="74"/>
    <n v="118"/>
    <n v="136"/>
    <n v="0"/>
    <n v="12"/>
    <x v="12"/>
    <n v="68.08"/>
    <n v="95.09"/>
    <x v="3"/>
  </r>
  <r>
    <x v="109"/>
    <s v="P1030"/>
    <x v="9"/>
    <x v="3"/>
    <x v="1"/>
    <n v="92"/>
    <n v="62"/>
    <n v="58"/>
    <n v="96"/>
    <n v="0"/>
    <n v="11"/>
    <x v="12"/>
    <n v="74.72"/>
    <n v="107.3"/>
    <x v="3"/>
  </r>
  <r>
    <x v="109"/>
    <s v="P1051"/>
    <x v="31"/>
    <x v="4"/>
    <x v="3"/>
    <n v="30"/>
    <n v="6"/>
    <n v="20"/>
    <n v="16"/>
    <n v="0"/>
    <n v="14"/>
    <x v="14"/>
    <n v="318.54000000000002"/>
    <n v="457.26"/>
    <x v="3"/>
  </r>
  <r>
    <x v="109"/>
    <s v="P1067"/>
    <x v="5"/>
    <x v="2"/>
    <x v="0"/>
    <n v="275"/>
    <n v="188"/>
    <n v="175"/>
    <n v="288"/>
    <n v="0"/>
    <n v="8"/>
    <x v="5"/>
    <n v="19.71"/>
    <n v="22.8"/>
    <x v="3"/>
  </r>
  <r>
    <x v="109"/>
    <s v="P1070"/>
    <x v="13"/>
    <x v="2"/>
    <x v="2"/>
    <n v="76"/>
    <n v="156"/>
    <n v="137"/>
    <n v="95"/>
    <n v="0"/>
    <n v="9"/>
    <x v="5"/>
    <n v="10.9"/>
    <n v="13.48"/>
    <x v="3"/>
  </r>
  <r>
    <x v="109"/>
    <s v="P1072"/>
    <x v="71"/>
    <x v="2"/>
    <x v="0"/>
    <n v="97"/>
    <n v="128"/>
    <n v="138"/>
    <n v="87"/>
    <n v="0"/>
    <n v="8"/>
    <x v="5"/>
    <n v="14.97"/>
    <n v="20.59"/>
    <x v="3"/>
  </r>
  <r>
    <x v="109"/>
    <s v="P1075"/>
    <x v="44"/>
    <x v="2"/>
    <x v="1"/>
    <n v="125"/>
    <n v="81"/>
    <n v="106"/>
    <n v="100"/>
    <n v="0"/>
    <n v="12"/>
    <x v="5"/>
    <n v="26.12"/>
    <n v="34.68"/>
    <x v="3"/>
  </r>
  <r>
    <x v="110"/>
    <s v="P1004"/>
    <x v="57"/>
    <x v="0"/>
    <x v="1"/>
    <n v="113"/>
    <n v="74"/>
    <n v="47"/>
    <n v="140"/>
    <n v="0"/>
    <n v="8"/>
    <x v="1"/>
    <n v="175.18"/>
    <n v="268.74"/>
    <x v="3"/>
  </r>
  <r>
    <x v="110"/>
    <s v="P1042"/>
    <x v="61"/>
    <x v="1"/>
    <x v="1"/>
    <n v="367"/>
    <n v="189"/>
    <n v="74"/>
    <n v="482"/>
    <n v="0"/>
    <n v="3"/>
    <x v="2"/>
    <n v="4.37"/>
    <n v="6.28"/>
    <x v="3"/>
  </r>
  <r>
    <x v="110"/>
    <s v="P1048"/>
    <x v="74"/>
    <x v="1"/>
    <x v="0"/>
    <n v="416"/>
    <n v="139"/>
    <n v="161"/>
    <n v="394"/>
    <n v="0"/>
    <n v="2"/>
    <x v="11"/>
    <n v="2.72"/>
    <n v="3.93"/>
    <x v="3"/>
  </r>
  <r>
    <x v="110"/>
    <s v="P1057"/>
    <x v="36"/>
    <x v="4"/>
    <x v="0"/>
    <n v="24"/>
    <n v="5"/>
    <n v="16"/>
    <n v="13"/>
    <n v="0"/>
    <n v="13"/>
    <x v="14"/>
    <n v="179.53"/>
    <n v="260.82"/>
    <x v="3"/>
  </r>
  <r>
    <x v="110"/>
    <s v="P1074"/>
    <x v="6"/>
    <x v="2"/>
    <x v="2"/>
    <n v="71"/>
    <n v="64"/>
    <n v="35"/>
    <n v="100"/>
    <n v="0"/>
    <n v="3"/>
    <x v="5"/>
    <n v="10.53"/>
    <n v="13.28"/>
    <x v="3"/>
  </r>
  <r>
    <x v="111"/>
    <s v="P1020"/>
    <x v="23"/>
    <x v="3"/>
    <x v="3"/>
    <n v="106"/>
    <n v="94"/>
    <n v="54"/>
    <n v="146"/>
    <n v="0"/>
    <n v="5"/>
    <x v="7"/>
    <n v="16.14"/>
    <n v="19.91"/>
    <x v="3"/>
  </r>
  <r>
    <x v="111"/>
    <s v="P1020"/>
    <x v="23"/>
    <x v="3"/>
    <x v="1"/>
    <n v="214"/>
    <n v="127"/>
    <n v="36"/>
    <n v="305"/>
    <n v="0"/>
    <n v="8"/>
    <x v="7"/>
    <n v="47.07"/>
    <n v="60.26"/>
    <x v="3"/>
  </r>
  <r>
    <x v="111"/>
    <s v="P1024"/>
    <x v="54"/>
    <x v="3"/>
    <x v="1"/>
    <n v="297"/>
    <n v="100"/>
    <n v="21"/>
    <n v="376"/>
    <n v="0"/>
    <n v="4"/>
    <x v="7"/>
    <n v="44.81"/>
    <n v="53.04"/>
    <x v="3"/>
  </r>
  <r>
    <x v="111"/>
    <s v="P1037"/>
    <x v="59"/>
    <x v="1"/>
    <x v="1"/>
    <n v="234"/>
    <n v="40"/>
    <n v="52"/>
    <n v="222"/>
    <n v="0"/>
    <n v="6"/>
    <x v="2"/>
    <n v="15.08"/>
    <n v="22.58"/>
    <x v="3"/>
  </r>
  <r>
    <x v="111"/>
    <s v="P1040"/>
    <x v="67"/>
    <x v="1"/>
    <x v="3"/>
    <n v="476"/>
    <n v="101"/>
    <n v="73"/>
    <n v="504"/>
    <n v="0"/>
    <n v="7"/>
    <x v="11"/>
    <n v="17.399999999999999"/>
    <n v="21.51"/>
    <x v="3"/>
  </r>
  <r>
    <x v="111"/>
    <s v="P1047"/>
    <x v="55"/>
    <x v="1"/>
    <x v="2"/>
    <n v="268"/>
    <n v="190"/>
    <n v="49"/>
    <n v="409"/>
    <n v="0"/>
    <n v="4"/>
    <x v="2"/>
    <n v="21.81"/>
    <n v="25.76"/>
    <x v="3"/>
  </r>
  <r>
    <x v="111"/>
    <s v="P1064"/>
    <x v="32"/>
    <x v="4"/>
    <x v="1"/>
    <n v="79"/>
    <n v="10"/>
    <n v="16"/>
    <n v="73"/>
    <n v="0"/>
    <n v="5"/>
    <x v="9"/>
    <n v="334.21"/>
    <n v="517.33000000000004"/>
    <x v="3"/>
  </r>
  <r>
    <x v="111"/>
    <s v="P1069"/>
    <x v="17"/>
    <x v="2"/>
    <x v="0"/>
    <n v="228"/>
    <n v="175"/>
    <n v="36"/>
    <n v="367"/>
    <n v="0"/>
    <n v="3"/>
    <x v="3"/>
    <n v="20.64"/>
    <n v="29.37"/>
    <x v="3"/>
  </r>
  <r>
    <x v="111"/>
    <s v="P1070"/>
    <x v="13"/>
    <x v="2"/>
    <x v="3"/>
    <n v="106"/>
    <n v="177"/>
    <n v="33"/>
    <n v="250"/>
    <n v="0"/>
    <n v="14"/>
    <x v="3"/>
    <n v="16"/>
    <n v="20.83"/>
    <x v="3"/>
  </r>
  <r>
    <x v="111"/>
    <s v="P1073"/>
    <x v="78"/>
    <x v="2"/>
    <x v="2"/>
    <n v="372"/>
    <n v="147"/>
    <n v="114"/>
    <n v="405"/>
    <n v="0"/>
    <n v="13"/>
    <x v="4"/>
    <n v="20.96"/>
    <n v="27.24"/>
    <x v="3"/>
  </r>
  <r>
    <x v="112"/>
    <s v="P1006"/>
    <x v="19"/>
    <x v="0"/>
    <x v="2"/>
    <n v="115"/>
    <n v="57"/>
    <n v="43"/>
    <n v="129"/>
    <n v="0"/>
    <n v="9"/>
    <x v="0"/>
    <n v="191.89"/>
    <n v="226.8"/>
    <x v="3"/>
  </r>
  <r>
    <x v="112"/>
    <s v="P1012"/>
    <x v="41"/>
    <x v="0"/>
    <x v="2"/>
    <n v="26"/>
    <n v="78"/>
    <n v="76"/>
    <n v="28"/>
    <n v="0"/>
    <n v="5"/>
    <x v="0"/>
    <n v="118.8"/>
    <n v="182.79"/>
    <x v="3"/>
  </r>
  <r>
    <x v="112"/>
    <s v="P1045"/>
    <x v="15"/>
    <x v="1"/>
    <x v="2"/>
    <n v="174"/>
    <n v="220"/>
    <n v="51"/>
    <n v="343"/>
    <n v="0"/>
    <n v="2"/>
    <x v="2"/>
    <n v="11.99"/>
    <n v="15.93"/>
    <x v="3"/>
  </r>
  <r>
    <x v="112"/>
    <s v="P1053"/>
    <x v="39"/>
    <x v="4"/>
    <x v="3"/>
    <n v="80"/>
    <n v="4"/>
    <n v="13"/>
    <n v="71"/>
    <n v="0"/>
    <n v="5"/>
    <x v="9"/>
    <n v="170.02"/>
    <n v="250.33"/>
    <x v="3"/>
  </r>
  <r>
    <x v="113"/>
    <s v="P1007"/>
    <x v="70"/>
    <x v="0"/>
    <x v="2"/>
    <n v="105"/>
    <n v="90"/>
    <n v="21"/>
    <n v="174"/>
    <n v="0"/>
    <n v="4"/>
    <x v="0"/>
    <n v="92.32"/>
    <n v="139.53"/>
    <x v="3"/>
  </r>
  <r>
    <x v="113"/>
    <s v="P1008"/>
    <x v="0"/>
    <x v="0"/>
    <x v="3"/>
    <n v="167"/>
    <n v="18"/>
    <n v="36"/>
    <n v="149"/>
    <n v="0"/>
    <n v="5"/>
    <x v="1"/>
    <n v="36.65"/>
    <n v="42.81"/>
    <x v="3"/>
  </r>
  <r>
    <x v="113"/>
    <s v="P1025"/>
    <x v="20"/>
    <x v="3"/>
    <x v="1"/>
    <n v="181"/>
    <n v="119"/>
    <n v="118"/>
    <n v="182"/>
    <n v="0"/>
    <n v="13"/>
    <x v="10"/>
    <n v="35.65"/>
    <n v="44.74"/>
    <x v="3"/>
  </r>
  <r>
    <x v="113"/>
    <s v="P1076"/>
    <x v="7"/>
    <x v="2"/>
    <x v="3"/>
    <n v="235"/>
    <n v="199"/>
    <n v="17"/>
    <n v="417"/>
    <n v="0"/>
    <n v="12"/>
    <x v="4"/>
    <n v="25.4"/>
    <n v="29.32"/>
    <x v="3"/>
  </r>
  <r>
    <x v="114"/>
    <s v="P1030"/>
    <x v="9"/>
    <x v="3"/>
    <x v="0"/>
    <n v="42"/>
    <n v="25"/>
    <n v="67"/>
    <n v="0"/>
    <n v="1"/>
    <n v="9"/>
    <x v="10"/>
    <n v="25.15"/>
    <n v="29.43"/>
    <x v="3"/>
  </r>
  <r>
    <x v="114"/>
    <s v="P1048"/>
    <x v="74"/>
    <x v="1"/>
    <x v="3"/>
    <n v="293"/>
    <n v="181"/>
    <n v="139"/>
    <n v="335"/>
    <n v="0"/>
    <n v="3"/>
    <x v="13"/>
    <n v="13.52"/>
    <n v="18.010000000000002"/>
    <x v="3"/>
  </r>
  <r>
    <x v="114"/>
    <s v="P1051"/>
    <x v="31"/>
    <x v="4"/>
    <x v="2"/>
    <n v="47"/>
    <n v="18"/>
    <n v="10"/>
    <n v="55"/>
    <n v="0"/>
    <n v="3"/>
    <x v="8"/>
    <n v="266.42"/>
    <n v="341.24"/>
    <x v="3"/>
  </r>
  <r>
    <x v="114"/>
    <s v="P1059"/>
    <x v="11"/>
    <x v="4"/>
    <x v="0"/>
    <n v="75"/>
    <n v="25"/>
    <n v="2"/>
    <n v="98"/>
    <n v="0"/>
    <n v="12"/>
    <x v="14"/>
    <n v="266.67"/>
    <n v="360.67"/>
    <x v="3"/>
  </r>
  <r>
    <x v="115"/>
    <s v="P1001"/>
    <x v="34"/>
    <x v="0"/>
    <x v="0"/>
    <n v="122"/>
    <n v="68"/>
    <n v="76"/>
    <n v="114"/>
    <n v="0"/>
    <n v="4"/>
    <x v="1"/>
    <n v="208.88"/>
    <n v="266.36"/>
    <x v="3"/>
  </r>
  <r>
    <x v="115"/>
    <s v="P1022"/>
    <x v="53"/>
    <x v="3"/>
    <x v="3"/>
    <n v="99"/>
    <n v="126"/>
    <n v="12"/>
    <n v="213"/>
    <n v="0"/>
    <n v="4"/>
    <x v="7"/>
    <n v="60.19"/>
    <n v="89.3"/>
    <x v="3"/>
  </r>
  <r>
    <x v="115"/>
    <s v="P1041"/>
    <x v="38"/>
    <x v="1"/>
    <x v="1"/>
    <n v="410"/>
    <n v="127"/>
    <n v="22"/>
    <n v="515"/>
    <n v="0"/>
    <n v="4"/>
    <x v="2"/>
    <n v="11.41"/>
    <n v="16.54"/>
    <x v="3"/>
  </r>
  <r>
    <x v="115"/>
    <s v="P1045"/>
    <x v="15"/>
    <x v="1"/>
    <x v="3"/>
    <n v="362"/>
    <n v="214"/>
    <n v="142"/>
    <n v="434"/>
    <n v="0"/>
    <n v="3"/>
    <x v="2"/>
    <n v="20.39"/>
    <n v="28.18"/>
    <x v="3"/>
  </r>
  <r>
    <x v="115"/>
    <s v="P1065"/>
    <x v="25"/>
    <x v="2"/>
    <x v="0"/>
    <n v="204"/>
    <n v="94"/>
    <n v="71"/>
    <n v="227"/>
    <n v="0"/>
    <n v="8"/>
    <x v="5"/>
    <n v="2.65"/>
    <n v="3.49"/>
    <x v="3"/>
  </r>
  <r>
    <x v="115"/>
    <s v="P1071"/>
    <x v="40"/>
    <x v="2"/>
    <x v="3"/>
    <n v="255"/>
    <n v="70"/>
    <n v="179"/>
    <n v="146"/>
    <n v="0"/>
    <n v="4"/>
    <x v="4"/>
    <n v="14.5"/>
    <n v="18.21"/>
    <x v="3"/>
  </r>
  <r>
    <x v="115"/>
    <s v="P1071"/>
    <x v="40"/>
    <x v="2"/>
    <x v="0"/>
    <n v="167"/>
    <n v="116"/>
    <n v="118"/>
    <n v="165"/>
    <n v="0"/>
    <n v="6"/>
    <x v="4"/>
    <n v="25.42"/>
    <n v="31.57"/>
    <x v="3"/>
  </r>
  <r>
    <x v="116"/>
    <s v="P1003"/>
    <x v="64"/>
    <x v="0"/>
    <x v="2"/>
    <n v="29"/>
    <n v="21"/>
    <n v="8"/>
    <n v="42"/>
    <n v="0"/>
    <n v="3"/>
    <x v="0"/>
    <n v="24.63"/>
    <n v="31.66"/>
    <x v="3"/>
  </r>
  <r>
    <x v="116"/>
    <s v="P1008"/>
    <x v="0"/>
    <x v="0"/>
    <x v="2"/>
    <n v="78"/>
    <n v="40"/>
    <n v="73"/>
    <n v="45"/>
    <n v="0"/>
    <n v="5"/>
    <x v="6"/>
    <n v="152.91999999999999"/>
    <n v="189.35"/>
    <x v="3"/>
  </r>
  <r>
    <x v="116"/>
    <s v="P1020"/>
    <x v="23"/>
    <x v="3"/>
    <x v="0"/>
    <n v="242"/>
    <n v="43"/>
    <n v="74"/>
    <n v="211"/>
    <n v="0"/>
    <n v="3"/>
    <x v="10"/>
    <n v="77.06"/>
    <n v="95.07"/>
    <x v="3"/>
  </r>
  <r>
    <x v="116"/>
    <s v="P1032"/>
    <x v="58"/>
    <x v="3"/>
    <x v="0"/>
    <n v="141"/>
    <n v="105"/>
    <n v="90"/>
    <n v="156"/>
    <n v="0"/>
    <n v="6"/>
    <x v="10"/>
    <n v="13.32"/>
    <n v="18.649999999999999"/>
    <x v="3"/>
  </r>
  <r>
    <x v="116"/>
    <s v="P1062"/>
    <x v="68"/>
    <x v="4"/>
    <x v="2"/>
    <n v="34"/>
    <n v="21"/>
    <n v="14"/>
    <n v="41"/>
    <n v="0"/>
    <n v="13"/>
    <x v="14"/>
    <n v="205.97"/>
    <n v="310.35000000000002"/>
    <x v="3"/>
  </r>
  <r>
    <x v="116"/>
    <s v="P1066"/>
    <x v="69"/>
    <x v="2"/>
    <x v="1"/>
    <n v="372"/>
    <n v="110"/>
    <n v="172"/>
    <n v="310"/>
    <n v="0"/>
    <n v="5"/>
    <x v="3"/>
    <n v="8.2799999999999994"/>
    <n v="11.79"/>
    <x v="3"/>
  </r>
  <r>
    <x v="116"/>
    <s v="P1072"/>
    <x v="71"/>
    <x v="2"/>
    <x v="3"/>
    <n v="191"/>
    <n v="129"/>
    <n v="68"/>
    <n v="252"/>
    <n v="0"/>
    <n v="11"/>
    <x v="5"/>
    <n v="25.93"/>
    <n v="37.18"/>
    <x v="3"/>
  </r>
  <r>
    <x v="117"/>
    <s v="P1018"/>
    <x v="46"/>
    <x v="3"/>
    <x v="3"/>
    <n v="200"/>
    <n v="126"/>
    <n v="32"/>
    <n v="294"/>
    <n v="0"/>
    <n v="2"/>
    <x v="12"/>
    <n v="48.01"/>
    <n v="59.13"/>
    <x v="3"/>
  </r>
  <r>
    <x v="117"/>
    <s v="P1043"/>
    <x v="21"/>
    <x v="1"/>
    <x v="2"/>
    <n v="257"/>
    <n v="128"/>
    <n v="173"/>
    <n v="212"/>
    <n v="0"/>
    <n v="6"/>
    <x v="13"/>
    <n v="10.119999999999999"/>
    <n v="15.48"/>
    <x v="3"/>
  </r>
  <r>
    <x v="117"/>
    <s v="P1046"/>
    <x v="49"/>
    <x v="1"/>
    <x v="2"/>
    <n v="186"/>
    <n v="230"/>
    <n v="37"/>
    <n v="379"/>
    <n v="0"/>
    <n v="1"/>
    <x v="13"/>
    <n v="14.44"/>
    <n v="20.74"/>
    <x v="3"/>
  </r>
  <r>
    <x v="117"/>
    <s v="P1067"/>
    <x v="5"/>
    <x v="2"/>
    <x v="0"/>
    <n v="103"/>
    <n v="190"/>
    <n v="27"/>
    <n v="266"/>
    <n v="0"/>
    <n v="9"/>
    <x v="3"/>
    <n v="20.74"/>
    <n v="29.38"/>
    <x v="3"/>
  </r>
  <r>
    <x v="118"/>
    <s v="P1002"/>
    <x v="18"/>
    <x v="0"/>
    <x v="0"/>
    <n v="172"/>
    <n v="76"/>
    <n v="8"/>
    <n v="240"/>
    <n v="0"/>
    <n v="11"/>
    <x v="1"/>
    <n v="87.37"/>
    <n v="122.72"/>
    <x v="3"/>
  </r>
  <r>
    <x v="118"/>
    <s v="P1011"/>
    <x v="37"/>
    <x v="0"/>
    <x v="1"/>
    <n v="180"/>
    <n v="22"/>
    <n v="55"/>
    <n v="147"/>
    <n v="0"/>
    <n v="12"/>
    <x v="1"/>
    <n v="82.53"/>
    <n v="112.63"/>
    <x v="3"/>
  </r>
  <r>
    <x v="118"/>
    <s v="P1014"/>
    <x v="28"/>
    <x v="0"/>
    <x v="2"/>
    <n v="116"/>
    <n v="60"/>
    <n v="59"/>
    <n v="117"/>
    <n v="0"/>
    <n v="8"/>
    <x v="6"/>
    <n v="179.64"/>
    <n v="209.76"/>
    <x v="3"/>
  </r>
  <r>
    <x v="118"/>
    <s v="P1027"/>
    <x v="26"/>
    <x v="3"/>
    <x v="2"/>
    <n v="265"/>
    <n v="34"/>
    <n v="70"/>
    <n v="229"/>
    <n v="0"/>
    <n v="11"/>
    <x v="12"/>
    <n v="63.73"/>
    <n v="75.23"/>
    <x v="3"/>
  </r>
  <r>
    <x v="118"/>
    <s v="P1033"/>
    <x v="27"/>
    <x v="1"/>
    <x v="1"/>
    <n v="131"/>
    <n v="54"/>
    <n v="103"/>
    <n v="82"/>
    <n v="0"/>
    <n v="3"/>
    <x v="11"/>
    <n v="24.66"/>
    <n v="30"/>
    <x v="3"/>
  </r>
  <r>
    <x v="118"/>
    <s v="P1042"/>
    <x v="61"/>
    <x v="1"/>
    <x v="2"/>
    <n v="373"/>
    <n v="228"/>
    <n v="123"/>
    <n v="478"/>
    <n v="0"/>
    <n v="2"/>
    <x v="13"/>
    <n v="3.23"/>
    <n v="4.51"/>
    <x v="3"/>
  </r>
  <r>
    <x v="118"/>
    <s v="P1045"/>
    <x v="15"/>
    <x v="1"/>
    <x v="1"/>
    <n v="170"/>
    <n v="126"/>
    <n v="33"/>
    <n v="263"/>
    <n v="0"/>
    <n v="4"/>
    <x v="13"/>
    <n v="20.3"/>
    <n v="26.11"/>
    <x v="3"/>
  </r>
  <r>
    <x v="119"/>
    <s v="P1013"/>
    <x v="2"/>
    <x v="0"/>
    <x v="0"/>
    <n v="169"/>
    <n v="46"/>
    <n v="24"/>
    <n v="191"/>
    <n v="0"/>
    <n v="8"/>
    <x v="6"/>
    <n v="209.81"/>
    <n v="266.45"/>
    <x v="4"/>
  </r>
  <r>
    <x v="119"/>
    <s v="P1056"/>
    <x v="56"/>
    <x v="4"/>
    <x v="1"/>
    <n v="64"/>
    <n v="8"/>
    <n v="4"/>
    <n v="68"/>
    <n v="0"/>
    <n v="7"/>
    <x v="8"/>
    <n v="280.69"/>
    <n v="431.79"/>
    <x v="4"/>
  </r>
  <r>
    <x v="119"/>
    <s v="P1075"/>
    <x v="44"/>
    <x v="2"/>
    <x v="1"/>
    <n v="268"/>
    <n v="68"/>
    <n v="85"/>
    <n v="251"/>
    <n v="0"/>
    <n v="6"/>
    <x v="4"/>
    <n v="1.72"/>
    <n v="2.2400000000000002"/>
    <x v="4"/>
  </r>
  <r>
    <x v="120"/>
    <s v="P1003"/>
    <x v="64"/>
    <x v="0"/>
    <x v="0"/>
    <n v="53"/>
    <n v="74"/>
    <n v="59"/>
    <n v="68"/>
    <n v="0"/>
    <n v="8"/>
    <x v="6"/>
    <n v="208.65"/>
    <n v="296.97000000000003"/>
    <x v="4"/>
  </r>
  <r>
    <x v="120"/>
    <s v="P1003"/>
    <x v="64"/>
    <x v="0"/>
    <x v="1"/>
    <n v="122"/>
    <n v="63"/>
    <n v="59"/>
    <n v="126"/>
    <n v="0"/>
    <n v="4"/>
    <x v="6"/>
    <n v="37.17"/>
    <n v="57.42"/>
    <x v="4"/>
  </r>
  <r>
    <x v="120"/>
    <s v="P1019"/>
    <x v="66"/>
    <x v="3"/>
    <x v="2"/>
    <n v="46"/>
    <n v="88"/>
    <n v="103"/>
    <n v="31"/>
    <n v="0"/>
    <n v="2"/>
    <x v="7"/>
    <n v="77.599999999999994"/>
    <n v="89.55"/>
    <x v="4"/>
  </r>
  <r>
    <x v="120"/>
    <s v="P1026"/>
    <x v="14"/>
    <x v="3"/>
    <x v="2"/>
    <n v="265"/>
    <n v="72"/>
    <n v="57"/>
    <n v="280"/>
    <n v="0"/>
    <n v="4"/>
    <x v="12"/>
    <n v="68.349999999999994"/>
    <n v="86.12"/>
    <x v="4"/>
  </r>
  <r>
    <x v="120"/>
    <s v="P1029"/>
    <x v="63"/>
    <x v="3"/>
    <x v="1"/>
    <n v="263"/>
    <n v="81"/>
    <n v="118"/>
    <n v="226"/>
    <n v="0"/>
    <n v="2"/>
    <x v="10"/>
    <n v="75.06"/>
    <n v="101.64"/>
    <x v="4"/>
  </r>
  <r>
    <x v="120"/>
    <s v="P1051"/>
    <x v="31"/>
    <x v="4"/>
    <x v="2"/>
    <n v="70"/>
    <n v="23"/>
    <n v="8"/>
    <n v="85"/>
    <n v="0"/>
    <n v="11"/>
    <x v="9"/>
    <n v="191.33"/>
    <n v="278.92"/>
    <x v="4"/>
  </r>
  <r>
    <x v="120"/>
    <s v="P1074"/>
    <x v="6"/>
    <x v="2"/>
    <x v="0"/>
    <n v="88"/>
    <n v="190"/>
    <n v="131"/>
    <n v="147"/>
    <n v="0"/>
    <n v="3"/>
    <x v="5"/>
    <n v="19.670000000000002"/>
    <n v="25.62"/>
    <x v="4"/>
  </r>
  <r>
    <x v="120"/>
    <s v="P1077"/>
    <x v="50"/>
    <x v="2"/>
    <x v="0"/>
    <n v="378"/>
    <n v="105"/>
    <n v="128"/>
    <n v="355"/>
    <n v="0"/>
    <n v="10"/>
    <x v="4"/>
    <n v="19.78"/>
    <n v="29.42"/>
    <x v="4"/>
  </r>
  <r>
    <x v="120"/>
    <s v="P1079"/>
    <x v="8"/>
    <x v="2"/>
    <x v="3"/>
    <n v="355"/>
    <n v="164"/>
    <n v="39"/>
    <n v="480"/>
    <n v="0"/>
    <n v="10"/>
    <x v="5"/>
    <n v="28.68"/>
    <n v="35.82"/>
    <x v="4"/>
  </r>
  <r>
    <x v="121"/>
    <s v="P1007"/>
    <x v="70"/>
    <x v="0"/>
    <x v="1"/>
    <n v="135"/>
    <n v="54"/>
    <n v="76"/>
    <n v="113"/>
    <n v="0"/>
    <n v="4"/>
    <x v="1"/>
    <n v="78.94"/>
    <n v="98.87"/>
    <x v="4"/>
  </r>
  <r>
    <x v="121"/>
    <s v="P1054"/>
    <x v="43"/>
    <x v="4"/>
    <x v="1"/>
    <n v="24"/>
    <n v="4"/>
    <n v="10"/>
    <n v="18"/>
    <n v="0"/>
    <n v="9"/>
    <x v="14"/>
    <n v="288.48"/>
    <n v="336.92"/>
    <x v="4"/>
  </r>
  <r>
    <x v="121"/>
    <s v="P1054"/>
    <x v="43"/>
    <x v="4"/>
    <x v="0"/>
    <n v="48"/>
    <n v="2"/>
    <n v="1"/>
    <n v="49"/>
    <n v="0"/>
    <n v="6"/>
    <x v="9"/>
    <n v="226.59"/>
    <n v="309.89999999999998"/>
    <x v="4"/>
  </r>
  <r>
    <x v="121"/>
    <s v="P1057"/>
    <x v="36"/>
    <x v="4"/>
    <x v="3"/>
    <n v="23"/>
    <n v="12"/>
    <n v="10"/>
    <n v="25"/>
    <n v="0"/>
    <n v="4"/>
    <x v="14"/>
    <n v="199.01"/>
    <n v="291.62"/>
    <x v="4"/>
  </r>
  <r>
    <x v="122"/>
    <s v="P1019"/>
    <x v="66"/>
    <x v="3"/>
    <x v="3"/>
    <n v="184"/>
    <n v="138"/>
    <n v="133"/>
    <n v="189"/>
    <n v="0"/>
    <n v="7"/>
    <x v="10"/>
    <n v="12.12"/>
    <n v="14.29"/>
    <x v="4"/>
  </r>
  <r>
    <x v="122"/>
    <s v="P1026"/>
    <x v="14"/>
    <x v="3"/>
    <x v="0"/>
    <n v="47"/>
    <n v="46"/>
    <n v="61"/>
    <n v="32"/>
    <n v="0"/>
    <n v="3"/>
    <x v="10"/>
    <n v="58.53"/>
    <n v="78.989999999999995"/>
    <x v="4"/>
  </r>
  <r>
    <x v="122"/>
    <s v="P1032"/>
    <x v="58"/>
    <x v="3"/>
    <x v="0"/>
    <n v="278"/>
    <n v="107"/>
    <n v="82"/>
    <n v="303"/>
    <n v="0"/>
    <n v="4"/>
    <x v="12"/>
    <n v="24.45"/>
    <n v="30.23"/>
    <x v="4"/>
  </r>
  <r>
    <x v="123"/>
    <s v="P1030"/>
    <x v="9"/>
    <x v="3"/>
    <x v="2"/>
    <n v="96"/>
    <n v="69"/>
    <n v="80"/>
    <n v="85"/>
    <n v="0"/>
    <n v="3"/>
    <x v="10"/>
    <n v="43.92"/>
    <n v="57.69"/>
    <x v="4"/>
  </r>
  <r>
    <x v="123"/>
    <s v="P1051"/>
    <x v="31"/>
    <x v="4"/>
    <x v="0"/>
    <n v="70"/>
    <n v="2"/>
    <n v="13"/>
    <n v="59"/>
    <n v="0"/>
    <n v="13"/>
    <x v="9"/>
    <n v="175.51"/>
    <n v="221.39"/>
    <x v="4"/>
  </r>
  <r>
    <x v="123"/>
    <s v="P1054"/>
    <x v="43"/>
    <x v="4"/>
    <x v="3"/>
    <n v="34"/>
    <n v="12"/>
    <n v="19"/>
    <n v="27"/>
    <n v="0"/>
    <n v="13"/>
    <x v="14"/>
    <n v="325.87"/>
    <n v="395.95"/>
    <x v="4"/>
  </r>
  <r>
    <x v="124"/>
    <s v="P1003"/>
    <x v="64"/>
    <x v="0"/>
    <x v="3"/>
    <n v="89"/>
    <n v="76"/>
    <n v="62"/>
    <n v="103"/>
    <n v="0"/>
    <n v="4"/>
    <x v="6"/>
    <n v="102.63"/>
    <n v="144.51"/>
    <x v="4"/>
  </r>
  <r>
    <x v="124"/>
    <s v="P1021"/>
    <x v="77"/>
    <x v="3"/>
    <x v="1"/>
    <n v="203"/>
    <n v="139"/>
    <n v="21"/>
    <n v="321"/>
    <n v="0"/>
    <n v="6"/>
    <x v="7"/>
    <n v="27.6"/>
    <n v="40.11"/>
    <x v="4"/>
  </r>
  <r>
    <x v="124"/>
    <s v="P1035"/>
    <x v="42"/>
    <x v="1"/>
    <x v="0"/>
    <n v="285"/>
    <n v="71"/>
    <n v="118"/>
    <n v="238"/>
    <n v="0"/>
    <n v="2"/>
    <x v="11"/>
    <n v="10.45"/>
    <n v="12.38"/>
    <x v="4"/>
  </r>
  <r>
    <x v="124"/>
    <s v="P1036"/>
    <x v="75"/>
    <x v="1"/>
    <x v="0"/>
    <n v="472"/>
    <n v="244"/>
    <n v="40"/>
    <n v="676"/>
    <n v="0"/>
    <n v="6"/>
    <x v="2"/>
    <n v="24.46"/>
    <n v="37.47"/>
    <x v="4"/>
  </r>
  <r>
    <x v="124"/>
    <s v="P1038"/>
    <x v="4"/>
    <x v="1"/>
    <x v="2"/>
    <n v="158"/>
    <n v="91"/>
    <n v="149"/>
    <n v="100"/>
    <n v="0"/>
    <n v="1"/>
    <x v="2"/>
    <n v="23.31"/>
    <n v="33.43"/>
    <x v="4"/>
  </r>
  <r>
    <x v="124"/>
    <s v="P1052"/>
    <x v="60"/>
    <x v="4"/>
    <x v="1"/>
    <n v="55"/>
    <n v="13"/>
    <n v="12"/>
    <n v="56"/>
    <n v="0"/>
    <n v="12"/>
    <x v="8"/>
    <n v="206.26"/>
    <n v="265.85000000000002"/>
    <x v="4"/>
  </r>
  <r>
    <x v="125"/>
    <s v="P1006"/>
    <x v="19"/>
    <x v="0"/>
    <x v="1"/>
    <n v="125"/>
    <n v="67"/>
    <n v="43"/>
    <n v="149"/>
    <n v="0"/>
    <n v="2"/>
    <x v="1"/>
    <n v="80.31"/>
    <n v="121.38"/>
    <x v="4"/>
  </r>
  <r>
    <x v="125"/>
    <s v="P1009"/>
    <x v="1"/>
    <x v="0"/>
    <x v="1"/>
    <n v="93"/>
    <n v="52"/>
    <n v="73"/>
    <n v="72"/>
    <n v="0"/>
    <n v="14"/>
    <x v="0"/>
    <n v="64.06"/>
    <n v="89.66"/>
    <x v="4"/>
  </r>
  <r>
    <x v="125"/>
    <s v="P1072"/>
    <x v="71"/>
    <x v="2"/>
    <x v="2"/>
    <n v="332"/>
    <n v="115"/>
    <n v="132"/>
    <n v="315"/>
    <n v="0"/>
    <n v="13"/>
    <x v="4"/>
    <n v="16.22"/>
    <n v="22.25"/>
    <x v="4"/>
  </r>
  <r>
    <x v="125"/>
    <s v="P1073"/>
    <x v="78"/>
    <x v="2"/>
    <x v="1"/>
    <n v="152"/>
    <n v="94"/>
    <n v="82"/>
    <n v="164"/>
    <n v="0"/>
    <n v="2"/>
    <x v="4"/>
    <n v="17.14"/>
    <n v="24.77"/>
    <x v="4"/>
  </r>
  <r>
    <x v="125"/>
    <s v="P1074"/>
    <x v="6"/>
    <x v="2"/>
    <x v="1"/>
    <n v="72"/>
    <n v="110"/>
    <n v="46"/>
    <n v="136"/>
    <n v="0"/>
    <n v="10"/>
    <x v="5"/>
    <n v="28.27"/>
    <n v="32.69"/>
    <x v="4"/>
  </r>
  <r>
    <x v="126"/>
    <s v="P1018"/>
    <x v="46"/>
    <x v="3"/>
    <x v="2"/>
    <n v="40"/>
    <n v="68"/>
    <n v="105"/>
    <n v="3"/>
    <n v="0"/>
    <n v="10"/>
    <x v="10"/>
    <n v="63.81"/>
    <n v="76.48"/>
    <x v="4"/>
  </r>
  <r>
    <x v="126"/>
    <s v="P1025"/>
    <x v="20"/>
    <x v="3"/>
    <x v="0"/>
    <n v="201"/>
    <n v="119"/>
    <n v="91"/>
    <n v="229"/>
    <n v="0"/>
    <n v="4"/>
    <x v="10"/>
    <n v="43.57"/>
    <n v="65.959999999999994"/>
    <x v="4"/>
  </r>
  <r>
    <x v="126"/>
    <s v="P1025"/>
    <x v="20"/>
    <x v="3"/>
    <x v="1"/>
    <n v="153"/>
    <n v="45"/>
    <n v="24"/>
    <n v="174"/>
    <n v="0"/>
    <n v="4"/>
    <x v="7"/>
    <n v="44.98"/>
    <n v="53.54"/>
    <x v="4"/>
  </r>
  <r>
    <x v="126"/>
    <s v="P1053"/>
    <x v="39"/>
    <x v="4"/>
    <x v="3"/>
    <n v="45"/>
    <n v="25"/>
    <n v="15"/>
    <n v="55"/>
    <n v="0"/>
    <n v="11"/>
    <x v="9"/>
    <n v="259.12"/>
    <n v="344.06"/>
    <x v="4"/>
  </r>
  <r>
    <x v="126"/>
    <s v="P1058"/>
    <x v="52"/>
    <x v="4"/>
    <x v="0"/>
    <n v="64"/>
    <n v="17"/>
    <n v="17"/>
    <n v="64"/>
    <n v="0"/>
    <n v="13"/>
    <x v="9"/>
    <n v="214.41"/>
    <n v="331.94"/>
    <x v="4"/>
  </r>
  <r>
    <x v="126"/>
    <s v="P1058"/>
    <x v="52"/>
    <x v="4"/>
    <x v="3"/>
    <n v="57"/>
    <n v="24"/>
    <n v="10"/>
    <n v="71"/>
    <n v="0"/>
    <n v="3"/>
    <x v="14"/>
    <n v="286.64999999999998"/>
    <n v="424.01"/>
    <x v="4"/>
  </r>
  <r>
    <x v="126"/>
    <s v="P1067"/>
    <x v="5"/>
    <x v="2"/>
    <x v="0"/>
    <n v="240"/>
    <n v="145"/>
    <n v="37"/>
    <n v="348"/>
    <n v="0"/>
    <n v="14"/>
    <x v="3"/>
    <n v="2.09"/>
    <n v="2.5099999999999998"/>
    <x v="4"/>
  </r>
  <r>
    <x v="127"/>
    <s v="P1007"/>
    <x v="70"/>
    <x v="0"/>
    <x v="0"/>
    <n v="123"/>
    <n v="73"/>
    <n v="14"/>
    <n v="182"/>
    <n v="0"/>
    <n v="6"/>
    <x v="6"/>
    <n v="165.28"/>
    <n v="230.8"/>
    <x v="4"/>
  </r>
  <r>
    <x v="127"/>
    <s v="P1033"/>
    <x v="27"/>
    <x v="1"/>
    <x v="1"/>
    <n v="286"/>
    <n v="249"/>
    <n v="118"/>
    <n v="417"/>
    <n v="0"/>
    <n v="2"/>
    <x v="13"/>
    <n v="10.93"/>
    <n v="13.32"/>
    <x v="4"/>
  </r>
  <r>
    <x v="127"/>
    <s v="P1035"/>
    <x v="42"/>
    <x v="1"/>
    <x v="3"/>
    <n v="290"/>
    <n v="179"/>
    <n v="56"/>
    <n v="413"/>
    <n v="0"/>
    <n v="2"/>
    <x v="13"/>
    <n v="4.41"/>
    <n v="5.95"/>
    <x v="4"/>
  </r>
  <r>
    <x v="127"/>
    <s v="P1043"/>
    <x v="21"/>
    <x v="1"/>
    <x v="1"/>
    <n v="161"/>
    <n v="116"/>
    <n v="220"/>
    <n v="57"/>
    <n v="0"/>
    <n v="7"/>
    <x v="11"/>
    <n v="14.87"/>
    <n v="21.19"/>
    <x v="4"/>
  </r>
  <r>
    <x v="128"/>
    <s v="P1007"/>
    <x v="70"/>
    <x v="0"/>
    <x v="3"/>
    <n v="73"/>
    <n v="40"/>
    <n v="62"/>
    <n v="51"/>
    <n v="0"/>
    <n v="9"/>
    <x v="0"/>
    <n v="15.75"/>
    <n v="20.13"/>
    <x v="4"/>
  </r>
  <r>
    <x v="128"/>
    <s v="P1018"/>
    <x v="46"/>
    <x v="3"/>
    <x v="3"/>
    <n v="298"/>
    <n v="38"/>
    <n v="32"/>
    <n v="304"/>
    <n v="0"/>
    <n v="9"/>
    <x v="12"/>
    <n v="64.47"/>
    <n v="93.27"/>
    <x v="4"/>
  </r>
  <r>
    <x v="128"/>
    <s v="P1033"/>
    <x v="27"/>
    <x v="1"/>
    <x v="2"/>
    <n v="171"/>
    <n v="230"/>
    <n v="43"/>
    <n v="358"/>
    <n v="0"/>
    <n v="5"/>
    <x v="11"/>
    <n v="12.21"/>
    <n v="17.100000000000001"/>
    <x v="4"/>
  </r>
  <r>
    <x v="128"/>
    <s v="P1036"/>
    <x v="75"/>
    <x v="1"/>
    <x v="2"/>
    <n v="324"/>
    <n v="69"/>
    <n v="189"/>
    <n v="204"/>
    <n v="0"/>
    <n v="5"/>
    <x v="2"/>
    <n v="21.22"/>
    <n v="27.55"/>
    <x v="4"/>
  </r>
  <r>
    <x v="128"/>
    <s v="P1040"/>
    <x v="67"/>
    <x v="1"/>
    <x v="2"/>
    <n v="165"/>
    <n v="165"/>
    <n v="155"/>
    <n v="175"/>
    <n v="0"/>
    <n v="1"/>
    <x v="11"/>
    <n v="18.73"/>
    <n v="26.29"/>
    <x v="4"/>
  </r>
  <r>
    <x v="128"/>
    <s v="P1073"/>
    <x v="78"/>
    <x v="2"/>
    <x v="3"/>
    <n v="400"/>
    <n v="54"/>
    <n v="97"/>
    <n v="357"/>
    <n v="0"/>
    <n v="14"/>
    <x v="4"/>
    <n v="29.88"/>
    <n v="37.81"/>
    <x v="4"/>
  </r>
  <r>
    <x v="128"/>
    <s v="P1080"/>
    <x v="79"/>
    <x v="2"/>
    <x v="2"/>
    <n v="270"/>
    <n v="111"/>
    <n v="169"/>
    <n v="212"/>
    <n v="0"/>
    <n v="7"/>
    <x v="3"/>
    <n v="25.87"/>
    <n v="29.75"/>
    <x v="4"/>
  </r>
  <r>
    <x v="129"/>
    <s v="P1018"/>
    <x v="46"/>
    <x v="3"/>
    <x v="3"/>
    <n v="235"/>
    <n v="32"/>
    <n v="58"/>
    <n v="209"/>
    <n v="0"/>
    <n v="13"/>
    <x v="10"/>
    <n v="13.54"/>
    <n v="19.91"/>
    <x v="4"/>
  </r>
  <r>
    <x v="129"/>
    <s v="P1019"/>
    <x v="66"/>
    <x v="3"/>
    <x v="2"/>
    <n v="213"/>
    <n v="92"/>
    <n v="93"/>
    <n v="212"/>
    <n v="0"/>
    <n v="12"/>
    <x v="12"/>
    <n v="66.72"/>
    <n v="85.92"/>
    <x v="4"/>
  </r>
  <r>
    <x v="129"/>
    <s v="P1025"/>
    <x v="20"/>
    <x v="3"/>
    <x v="3"/>
    <n v="297"/>
    <n v="38"/>
    <n v="29"/>
    <n v="306"/>
    <n v="0"/>
    <n v="11"/>
    <x v="10"/>
    <n v="69.37"/>
    <n v="106.45"/>
    <x v="4"/>
  </r>
  <r>
    <x v="129"/>
    <s v="P1036"/>
    <x v="75"/>
    <x v="1"/>
    <x v="0"/>
    <n v="301"/>
    <n v="146"/>
    <n v="187"/>
    <n v="260"/>
    <n v="0"/>
    <n v="5"/>
    <x v="2"/>
    <n v="20.54"/>
    <n v="26"/>
    <x v="4"/>
  </r>
  <r>
    <x v="129"/>
    <s v="P1041"/>
    <x v="38"/>
    <x v="1"/>
    <x v="3"/>
    <n v="294"/>
    <n v="99"/>
    <n v="109"/>
    <n v="284"/>
    <n v="0"/>
    <n v="4"/>
    <x v="11"/>
    <n v="22.42"/>
    <n v="28.64"/>
    <x v="4"/>
  </r>
  <r>
    <x v="129"/>
    <s v="P1044"/>
    <x v="48"/>
    <x v="1"/>
    <x v="1"/>
    <n v="206"/>
    <n v="114"/>
    <n v="81"/>
    <n v="239"/>
    <n v="0"/>
    <n v="6"/>
    <x v="11"/>
    <n v="5.82"/>
    <n v="7.04"/>
    <x v="4"/>
  </r>
  <r>
    <x v="129"/>
    <s v="P1052"/>
    <x v="60"/>
    <x v="4"/>
    <x v="3"/>
    <n v="24"/>
    <n v="19"/>
    <n v="11"/>
    <n v="32"/>
    <n v="0"/>
    <n v="5"/>
    <x v="9"/>
    <n v="66.599999999999994"/>
    <n v="100.09"/>
    <x v="4"/>
  </r>
  <r>
    <x v="129"/>
    <s v="P1054"/>
    <x v="43"/>
    <x v="4"/>
    <x v="3"/>
    <n v="74"/>
    <n v="18"/>
    <n v="15"/>
    <n v="77"/>
    <n v="0"/>
    <n v="5"/>
    <x v="8"/>
    <n v="134.63999999999999"/>
    <n v="193.88"/>
    <x v="4"/>
  </r>
  <r>
    <x v="129"/>
    <s v="P1064"/>
    <x v="32"/>
    <x v="4"/>
    <x v="2"/>
    <n v="32"/>
    <n v="20"/>
    <n v="13"/>
    <n v="39"/>
    <n v="0"/>
    <n v="12"/>
    <x v="14"/>
    <n v="147.09"/>
    <n v="186.62"/>
    <x v="4"/>
  </r>
  <r>
    <x v="130"/>
    <s v="P1021"/>
    <x v="77"/>
    <x v="3"/>
    <x v="3"/>
    <n v="170"/>
    <n v="134"/>
    <n v="115"/>
    <n v="189"/>
    <n v="0"/>
    <n v="4"/>
    <x v="7"/>
    <n v="86.65"/>
    <n v="131.91999999999999"/>
    <x v="4"/>
  </r>
  <r>
    <x v="130"/>
    <s v="P1033"/>
    <x v="27"/>
    <x v="1"/>
    <x v="2"/>
    <n v="376"/>
    <n v="173"/>
    <n v="94"/>
    <n v="455"/>
    <n v="0"/>
    <n v="1"/>
    <x v="11"/>
    <n v="7.58"/>
    <n v="8.99"/>
    <x v="4"/>
  </r>
  <r>
    <x v="130"/>
    <s v="P1049"/>
    <x v="10"/>
    <x v="4"/>
    <x v="3"/>
    <n v="55"/>
    <n v="18"/>
    <n v="13"/>
    <n v="60"/>
    <n v="0"/>
    <n v="2"/>
    <x v="14"/>
    <n v="118.27"/>
    <n v="147.83000000000001"/>
    <x v="4"/>
  </r>
  <r>
    <x v="131"/>
    <s v="P1012"/>
    <x v="41"/>
    <x v="0"/>
    <x v="3"/>
    <n v="86"/>
    <n v="16"/>
    <n v="27"/>
    <n v="75"/>
    <n v="0"/>
    <n v="14"/>
    <x v="0"/>
    <n v="59.18"/>
    <n v="73.290000000000006"/>
    <x v="4"/>
  </r>
  <r>
    <x v="131"/>
    <s v="P1016"/>
    <x v="35"/>
    <x v="0"/>
    <x v="1"/>
    <n v="37"/>
    <n v="12"/>
    <n v="11"/>
    <n v="38"/>
    <n v="0"/>
    <n v="12"/>
    <x v="0"/>
    <n v="109.16"/>
    <n v="158.37"/>
    <x v="4"/>
  </r>
  <r>
    <x v="131"/>
    <s v="P1027"/>
    <x v="26"/>
    <x v="3"/>
    <x v="1"/>
    <n v="78"/>
    <n v="52"/>
    <n v="27"/>
    <n v="103"/>
    <n v="0"/>
    <n v="9"/>
    <x v="7"/>
    <n v="69.510000000000005"/>
    <n v="92.64"/>
    <x v="4"/>
  </r>
  <r>
    <x v="131"/>
    <s v="P1037"/>
    <x v="59"/>
    <x v="1"/>
    <x v="2"/>
    <n v="336"/>
    <n v="183"/>
    <n v="184"/>
    <n v="335"/>
    <n v="0"/>
    <n v="3"/>
    <x v="13"/>
    <n v="22"/>
    <n v="33.14"/>
    <x v="4"/>
  </r>
  <r>
    <x v="131"/>
    <s v="P1040"/>
    <x v="67"/>
    <x v="1"/>
    <x v="2"/>
    <n v="465"/>
    <n v="53"/>
    <n v="20"/>
    <n v="498"/>
    <n v="0"/>
    <n v="2"/>
    <x v="13"/>
    <n v="22.95"/>
    <n v="35.049999999999997"/>
    <x v="4"/>
  </r>
  <r>
    <x v="131"/>
    <s v="P1044"/>
    <x v="48"/>
    <x v="1"/>
    <x v="2"/>
    <n v="228"/>
    <n v="133"/>
    <n v="209"/>
    <n v="152"/>
    <n v="0"/>
    <n v="3"/>
    <x v="13"/>
    <n v="9.83"/>
    <n v="13.75"/>
    <x v="4"/>
  </r>
  <r>
    <x v="131"/>
    <s v="P1064"/>
    <x v="32"/>
    <x v="4"/>
    <x v="1"/>
    <n v="43"/>
    <n v="24"/>
    <n v="13"/>
    <n v="54"/>
    <n v="0"/>
    <n v="12"/>
    <x v="9"/>
    <n v="43.49"/>
    <n v="50.93"/>
    <x v="4"/>
  </r>
  <r>
    <x v="131"/>
    <s v="P1070"/>
    <x v="13"/>
    <x v="2"/>
    <x v="3"/>
    <n v="141"/>
    <n v="201"/>
    <n v="86"/>
    <n v="256"/>
    <n v="0"/>
    <n v="7"/>
    <x v="5"/>
    <n v="27.85"/>
    <n v="39.380000000000003"/>
    <x v="4"/>
  </r>
  <r>
    <x v="132"/>
    <s v="P1005"/>
    <x v="62"/>
    <x v="0"/>
    <x v="3"/>
    <n v="82"/>
    <n v="57"/>
    <n v="52"/>
    <n v="87"/>
    <n v="0"/>
    <n v="14"/>
    <x v="6"/>
    <n v="56.07"/>
    <n v="86.7"/>
    <x v="4"/>
  </r>
  <r>
    <x v="132"/>
    <s v="P1011"/>
    <x v="37"/>
    <x v="0"/>
    <x v="2"/>
    <n v="94"/>
    <n v="38"/>
    <n v="66"/>
    <n v="66"/>
    <n v="0"/>
    <n v="10"/>
    <x v="0"/>
    <n v="87.48"/>
    <n v="105.24"/>
    <x v="4"/>
  </r>
  <r>
    <x v="132"/>
    <s v="P1038"/>
    <x v="4"/>
    <x v="1"/>
    <x v="2"/>
    <n v="472"/>
    <n v="144"/>
    <n v="169"/>
    <n v="447"/>
    <n v="0"/>
    <n v="2"/>
    <x v="13"/>
    <n v="20.95"/>
    <n v="31.27"/>
    <x v="4"/>
  </r>
  <r>
    <x v="132"/>
    <s v="P1047"/>
    <x v="55"/>
    <x v="1"/>
    <x v="2"/>
    <n v="184"/>
    <n v="107"/>
    <n v="44"/>
    <n v="247"/>
    <n v="0"/>
    <n v="7"/>
    <x v="13"/>
    <n v="2.0099999999999998"/>
    <n v="2.41"/>
    <x v="4"/>
  </r>
  <r>
    <x v="132"/>
    <s v="P1051"/>
    <x v="31"/>
    <x v="4"/>
    <x v="3"/>
    <n v="47"/>
    <n v="15"/>
    <n v="4"/>
    <n v="58"/>
    <n v="0"/>
    <n v="6"/>
    <x v="9"/>
    <n v="202.66"/>
    <n v="263.89999999999998"/>
    <x v="4"/>
  </r>
  <r>
    <x v="132"/>
    <s v="P1051"/>
    <x v="31"/>
    <x v="4"/>
    <x v="1"/>
    <n v="68"/>
    <n v="8"/>
    <n v="9"/>
    <n v="67"/>
    <n v="0"/>
    <n v="14"/>
    <x v="14"/>
    <n v="254.14"/>
    <n v="367.69"/>
    <x v="4"/>
  </r>
  <r>
    <x v="132"/>
    <s v="P1069"/>
    <x v="17"/>
    <x v="2"/>
    <x v="1"/>
    <n v="288"/>
    <n v="149"/>
    <n v="38"/>
    <n v="399"/>
    <n v="0"/>
    <n v="7"/>
    <x v="4"/>
    <n v="23.7"/>
    <n v="36.14"/>
    <x v="4"/>
  </r>
  <r>
    <x v="133"/>
    <s v="P1032"/>
    <x v="58"/>
    <x v="3"/>
    <x v="3"/>
    <n v="234"/>
    <n v="130"/>
    <n v="33"/>
    <n v="331"/>
    <n v="0"/>
    <n v="12"/>
    <x v="7"/>
    <n v="76.540000000000006"/>
    <n v="98.19"/>
    <x v="4"/>
  </r>
  <r>
    <x v="133"/>
    <s v="P1035"/>
    <x v="42"/>
    <x v="1"/>
    <x v="1"/>
    <n v="188"/>
    <n v="115"/>
    <n v="49"/>
    <n v="254"/>
    <n v="0"/>
    <n v="2"/>
    <x v="11"/>
    <n v="18.28"/>
    <n v="26.79"/>
    <x v="4"/>
  </r>
  <r>
    <x v="133"/>
    <s v="P1060"/>
    <x v="16"/>
    <x v="4"/>
    <x v="3"/>
    <n v="53"/>
    <n v="4"/>
    <n v="6"/>
    <n v="51"/>
    <n v="0"/>
    <n v="3"/>
    <x v="9"/>
    <n v="348.1"/>
    <n v="492.47"/>
    <x v="4"/>
  </r>
  <r>
    <x v="134"/>
    <s v="P1016"/>
    <x v="35"/>
    <x v="0"/>
    <x v="1"/>
    <n v="38"/>
    <n v="40"/>
    <n v="30"/>
    <n v="48"/>
    <n v="0"/>
    <n v="11"/>
    <x v="6"/>
    <n v="124.13"/>
    <n v="157.81"/>
    <x v="4"/>
  </r>
  <r>
    <x v="134"/>
    <s v="P1069"/>
    <x v="17"/>
    <x v="2"/>
    <x v="2"/>
    <n v="232"/>
    <n v="75"/>
    <n v="86"/>
    <n v="221"/>
    <n v="0"/>
    <n v="13"/>
    <x v="5"/>
    <n v="22.18"/>
    <n v="30.58"/>
    <x v="4"/>
  </r>
  <r>
    <x v="134"/>
    <s v="P1073"/>
    <x v="78"/>
    <x v="2"/>
    <x v="0"/>
    <n v="125"/>
    <n v="198"/>
    <n v="126"/>
    <n v="197"/>
    <n v="0"/>
    <n v="14"/>
    <x v="4"/>
    <n v="16.62"/>
    <n v="22.6"/>
    <x v="4"/>
  </r>
  <r>
    <x v="134"/>
    <s v="P1079"/>
    <x v="8"/>
    <x v="2"/>
    <x v="0"/>
    <n v="140"/>
    <n v="169"/>
    <n v="84"/>
    <n v="225"/>
    <n v="0"/>
    <n v="7"/>
    <x v="5"/>
    <n v="22.44"/>
    <n v="31.6"/>
    <x v="4"/>
  </r>
  <r>
    <x v="135"/>
    <s v="P1008"/>
    <x v="0"/>
    <x v="0"/>
    <x v="2"/>
    <n v="30"/>
    <n v="40"/>
    <n v="53"/>
    <n v="17"/>
    <n v="0"/>
    <n v="8"/>
    <x v="6"/>
    <n v="119.49"/>
    <n v="151.76"/>
    <x v="4"/>
  </r>
  <r>
    <x v="135"/>
    <s v="P1019"/>
    <x v="66"/>
    <x v="3"/>
    <x v="1"/>
    <n v="229"/>
    <n v="62"/>
    <n v="133"/>
    <n v="158"/>
    <n v="0"/>
    <n v="2"/>
    <x v="12"/>
    <n v="35.79"/>
    <n v="52.65"/>
    <x v="4"/>
  </r>
  <r>
    <x v="135"/>
    <s v="P1020"/>
    <x v="23"/>
    <x v="3"/>
    <x v="1"/>
    <n v="150"/>
    <n v="41"/>
    <n v="137"/>
    <n v="54"/>
    <n v="0"/>
    <n v="14"/>
    <x v="10"/>
    <n v="31.71"/>
    <n v="46.73"/>
    <x v="4"/>
  </r>
  <r>
    <x v="135"/>
    <s v="P1033"/>
    <x v="27"/>
    <x v="1"/>
    <x v="0"/>
    <n v="148"/>
    <n v="174"/>
    <n v="146"/>
    <n v="176"/>
    <n v="0"/>
    <n v="7"/>
    <x v="2"/>
    <n v="3.76"/>
    <n v="5.54"/>
    <x v="4"/>
  </r>
  <r>
    <x v="135"/>
    <s v="P1038"/>
    <x v="4"/>
    <x v="1"/>
    <x v="2"/>
    <n v="256"/>
    <n v="230"/>
    <n v="179"/>
    <n v="307"/>
    <n v="0"/>
    <n v="2"/>
    <x v="13"/>
    <n v="12.33"/>
    <n v="18.11"/>
    <x v="4"/>
  </r>
  <r>
    <x v="135"/>
    <s v="P1040"/>
    <x v="67"/>
    <x v="1"/>
    <x v="2"/>
    <n v="428"/>
    <n v="235"/>
    <n v="93"/>
    <n v="570"/>
    <n v="0"/>
    <n v="1"/>
    <x v="11"/>
    <n v="23.21"/>
    <n v="32.19"/>
    <x v="4"/>
  </r>
  <r>
    <x v="136"/>
    <s v="P1001"/>
    <x v="34"/>
    <x v="0"/>
    <x v="1"/>
    <n v="159"/>
    <n v="82"/>
    <n v="27"/>
    <n v="214"/>
    <n v="0"/>
    <n v="9"/>
    <x v="1"/>
    <n v="139.31"/>
    <n v="197.96"/>
    <x v="4"/>
  </r>
  <r>
    <x v="136"/>
    <s v="P1004"/>
    <x v="57"/>
    <x v="0"/>
    <x v="2"/>
    <n v="54"/>
    <n v="14"/>
    <n v="18"/>
    <n v="50"/>
    <n v="0"/>
    <n v="13"/>
    <x v="6"/>
    <n v="156.47999999999999"/>
    <n v="232.37"/>
    <x v="4"/>
  </r>
  <r>
    <x v="137"/>
    <s v="P1011"/>
    <x v="37"/>
    <x v="0"/>
    <x v="2"/>
    <n v="29"/>
    <n v="82"/>
    <n v="71"/>
    <n v="40"/>
    <n v="0"/>
    <n v="12"/>
    <x v="0"/>
    <n v="110.67"/>
    <n v="129.6"/>
    <x v="4"/>
  </r>
  <r>
    <x v="137"/>
    <s v="P1012"/>
    <x v="41"/>
    <x v="0"/>
    <x v="2"/>
    <n v="140"/>
    <n v="43"/>
    <n v="57"/>
    <n v="126"/>
    <n v="0"/>
    <n v="10"/>
    <x v="6"/>
    <n v="154.07"/>
    <n v="223.79"/>
    <x v="4"/>
  </r>
  <r>
    <x v="138"/>
    <s v="P1017"/>
    <x v="45"/>
    <x v="3"/>
    <x v="1"/>
    <n v="192"/>
    <n v="52"/>
    <n v="64"/>
    <n v="180"/>
    <n v="0"/>
    <n v="11"/>
    <x v="12"/>
    <n v="26.31"/>
    <n v="37.01"/>
    <x v="4"/>
  </r>
  <r>
    <x v="138"/>
    <s v="P1024"/>
    <x v="54"/>
    <x v="3"/>
    <x v="3"/>
    <n v="205"/>
    <n v="56"/>
    <n v="77"/>
    <n v="184"/>
    <n v="0"/>
    <n v="3"/>
    <x v="10"/>
    <n v="60.88"/>
    <n v="90.75"/>
    <x v="4"/>
  </r>
  <r>
    <x v="138"/>
    <s v="P1072"/>
    <x v="71"/>
    <x v="2"/>
    <x v="3"/>
    <n v="323"/>
    <n v="86"/>
    <n v="56"/>
    <n v="353"/>
    <n v="0"/>
    <n v="3"/>
    <x v="5"/>
    <n v="9.7899999999999991"/>
    <n v="14.17"/>
    <x v="4"/>
  </r>
  <r>
    <x v="139"/>
    <s v="P1006"/>
    <x v="19"/>
    <x v="0"/>
    <x v="1"/>
    <n v="59"/>
    <n v="73"/>
    <n v="27"/>
    <n v="105"/>
    <n v="0"/>
    <n v="14"/>
    <x v="0"/>
    <n v="77.19"/>
    <n v="112.91"/>
    <x v="4"/>
  </r>
  <r>
    <x v="139"/>
    <s v="P1009"/>
    <x v="1"/>
    <x v="0"/>
    <x v="2"/>
    <n v="150"/>
    <n v="82"/>
    <n v="45"/>
    <n v="187"/>
    <n v="0"/>
    <n v="8"/>
    <x v="0"/>
    <n v="139.37"/>
    <n v="199.81"/>
    <x v="4"/>
  </r>
  <r>
    <x v="139"/>
    <s v="P1025"/>
    <x v="20"/>
    <x v="3"/>
    <x v="0"/>
    <n v="199"/>
    <n v="29"/>
    <n v="73"/>
    <n v="155"/>
    <n v="0"/>
    <n v="9"/>
    <x v="7"/>
    <n v="44.4"/>
    <n v="54.4"/>
    <x v="4"/>
  </r>
  <r>
    <x v="139"/>
    <s v="P1029"/>
    <x v="63"/>
    <x v="3"/>
    <x v="3"/>
    <n v="127"/>
    <n v="39"/>
    <n v="23"/>
    <n v="143"/>
    <n v="0"/>
    <n v="6"/>
    <x v="10"/>
    <n v="50.8"/>
    <n v="61.58"/>
    <x v="4"/>
  </r>
  <r>
    <x v="139"/>
    <s v="P1063"/>
    <x v="12"/>
    <x v="4"/>
    <x v="1"/>
    <n v="66"/>
    <n v="20"/>
    <n v="15"/>
    <n v="71"/>
    <n v="0"/>
    <n v="10"/>
    <x v="9"/>
    <n v="160.02000000000001"/>
    <n v="185.56"/>
    <x v="4"/>
  </r>
  <r>
    <x v="140"/>
    <s v="P1003"/>
    <x v="64"/>
    <x v="0"/>
    <x v="2"/>
    <n v="160"/>
    <n v="13"/>
    <n v="54"/>
    <n v="119"/>
    <n v="0"/>
    <n v="4"/>
    <x v="0"/>
    <n v="123.95"/>
    <n v="185.77"/>
    <x v="4"/>
  </r>
  <r>
    <x v="140"/>
    <s v="P1029"/>
    <x v="63"/>
    <x v="3"/>
    <x v="3"/>
    <n v="73"/>
    <n v="115"/>
    <n v="88"/>
    <n v="100"/>
    <n v="0"/>
    <n v="13"/>
    <x v="12"/>
    <n v="77.59"/>
    <n v="116.81"/>
    <x v="4"/>
  </r>
  <r>
    <x v="140"/>
    <s v="P1034"/>
    <x v="3"/>
    <x v="1"/>
    <x v="3"/>
    <n v="414"/>
    <n v="59"/>
    <n v="211"/>
    <n v="262"/>
    <n v="0"/>
    <n v="5"/>
    <x v="11"/>
    <n v="14.86"/>
    <n v="19"/>
    <x v="4"/>
  </r>
  <r>
    <x v="141"/>
    <s v="P1023"/>
    <x v="24"/>
    <x v="3"/>
    <x v="0"/>
    <n v="118"/>
    <n v="49"/>
    <n v="107"/>
    <n v="60"/>
    <n v="0"/>
    <n v="11"/>
    <x v="7"/>
    <n v="11.09"/>
    <n v="16.34"/>
    <x v="4"/>
  </r>
  <r>
    <x v="141"/>
    <s v="P1027"/>
    <x v="26"/>
    <x v="3"/>
    <x v="2"/>
    <n v="54"/>
    <n v="82"/>
    <n v="36"/>
    <n v="100"/>
    <n v="0"/>
    <n v="8"/>
    <x v="12"/>
    <n v="75.91"/>
    <n v="92.47"/>
    <x v="4"/>
  </r>
  <r>
    <x v="141"/>
    <s v="P1030"/>
    <x v="9"/>
    <x v="3"/>
    <x v="3"/>
    <n v="55"/>
    <n v="148"/>
    <n v="72"/>
    <n v="131"/>
    <n v="0"/>
    <n v="14"/>
    <x v="10"/>
    <n v="88.7"/>
    <n v="125.7"/>
    <x v="4"/>
  </r>
  <r>
    <x v="141"/>
    <s v="P1030"/>
    <x v="9"/>
    <x v="3"/>
    <x v="2"/>
    <n v="121"/>
    <n v="148"/>
    <n v="39"/>
    <n v="230"/>
    <n v="0"/>
    <n v="2"/>
    <x v="12"/>
    <n v="61"/>
    <n v="91.46"/>
    <x v="4"/>
  </r>
  <r>
    <x v="141"/>
    <s v="P1048"/>
    <x v="74"/>
    <x v="1"/>
    <x v="0"/>
    <n v="418"/>
    <n v="42"/>
    <n v="201"/>
    <n v="259"/>
    <n v="0"/>
    <n v="6"/>
    <x v="2"/>
    <n v="10.57"/>
    <n v="12.45"/>
    <x v="4"/>
  </r>
  <r>
    <x v="141"/>
    <s v="P1070"/>
    <x v="13"/>
    <x v="2"/>
    <x v="1"/>
    <n v="229"/>
    <n v="71"/>
    <n v="27"/>
    <n v="273"/>
    <n v="0"/>
    <n v="11"/>
    <x v="5"/>
    <n v="5.09"/>
    <n v="5.91"/>
    <x v="4"/>
  </r>
  <r>
    <x v="142"/>
    <s v="P1014"/>
    <x v="28"/>
    <x v="0"/>
    <x v="1"/>
    <n v="32"/>
    <n v="66"/>
    <n v="53"/>
    <n v="45"/>
    <n v="0"/>
    <n v="7"/>
    <x v="0"/>
    <n v="175.31"/>
    <n v="239.74"/>
    <x v="4"/>
  </r>
  <r>
    <x v="142"/>
    <s v="P1031"/>
    <x v="76"/>
    <x v="3"/>
    <x v="0"/>
    <n v="283"/>
    <n v="142"/>
    <n v="52"/>
    <n v="373"/>
    <n v="0"/>
    <n v="12"/>
    <x v="7"/>
    <n v="56.61"/>
    <n v="68.459999999999994"/>
    <x v="4"/>
  </r>
  <r>
    <x v="142"/>
    <s v="P1037"/>
    <x v="59"/>
    <x v="1"/>
    <x v="1"/>
    <n v="183"/>
    <n v="62"/>
    <n v="28"/>
    <n v="217"/>
    <n v="0"/>
    <n v="2"/>
    <x v="11"/>
    <n v="3.79"/>
    <n v="4.9800000000000004"/>
    <x v="4"/>
  </r>
  <r>
    <x v="142"/>
    <s v="P1057"/>
    <x v="36"/>
    <x v="4"/>
    <x v="0"/>
    <n v="39"/>
    <n v="21"/>
    <n v="13"/>
    <n v="47"/>
    <n v="0"/>
    <n v="9"/>
    <x v="8"/>
    <n v="345.39"/>
    <n v="397.22"/>
    <x v="4"/>
  </r>
  <r>
    <x v="142"/>
    <s v="P1059"/>
    <x v="11"/>
    <x v="4"/>
    <x v="3"/>
    <n v="55"/>
    <n v="18"/>
    <n v="14"/>
    <n v="59"/>
    <n v="0"/>
    <n v="2"/>
    <x v="9"/>
    <n v="321.99"/>
    <n v="417.72"/>
    <x v="4"/>
  </r>
  <r>
    <x v="142"/>
    <s v="P1073"/>
    <x v="78"/>
    <x v="2"/>
    <x v="3"/>
    <n v="280"/>
    <n v="114"/>
    <n v="165"/>
    <n v="229"/>
    <n v="0"/>
    <n v="9"/>
    <x v="5"/>
    <n v="12.23"/>
    <n v="14.39"/>
    <x v="4"/>
  </r>
  <r>
    <x v="142"/>
    <s v="P1075"/>
    <x v="44"/>
    <x v="2"/>
    <x v="2"/>
    <n v="187"/>
    <n v="49"/>
    <n v="169"/>
    <n v="67"/>
    <n v="0"/>
    <n v="7"/>
    <x v="3"/>
    <n v="29.76"/>
    <n v="45.55"/>
    <x v="4"/>
  </r>
  <r>
    <x v="142"/>
    <s v="P1080"/>
    <x v="79"/>
    <x v="2"/>
    <x v="3"/>
    <n v="358"/>
    <n v="179"/>
    <n v="162"/>
    <n v="375"/>
    <n v="0"/>
    <n v="9"/>
    <x v="4"/>
    <n v="2.93"/>
    <n v="3.64"/>
    <x v="4"/>
  </r>
  <r>
    <x v="143"/>
    <s v="P1010"/>
    <x v="47"/>
    <x v="0"/>
    <x v="0"/>
    <n v="107"/>
    <n v="56"/>
    <n v="44"/>
    <n v="119"/>
    <n v="0"/>
    <n v="4"/>
    <x v="6"/>
    <n v="87.74"/>
    <n v="128.28"/>
    <x v="4"/>
  </r>
  <r>
    <x v="143"/>
    <s v="P1015"/>
    <x v="73"/>
    <x v="0"/>
    <x v="2"/>
    <n v="152"/>
    <n v="76"/>
    <n v="15"/>
    <n v="213"/>
    <n v="0"/>
    <n v="10"/>
    <x v="1"/>
    <n v="162.1"/>
    <n v="236.78"/>
    <x v="4"/>
  </r>
  <r>
    <x v="143"/>
    <s v="P1017"/>
    <x v="45"/>
    <x v="3"/>
    <x v="2"/>
    <n v="243"/>
    <n v="75"/>
    <n v="50"/>
    <n v="268"/>
    <n v="0"/>
    <n v="12"/>
    <x v="10"/>
    <n v="66.44"/>
    <n v="81.540000000000006"/>
    <x v="4"/>
  </r>
  <r>
    <x v="143"/>
    <s v="P1020"/>
    <x v="23"/>
    <x v="3"/>
    <x v="0"/>
    <n v="62"/>
    <n v="124"/>
    <n v="76"/>
    <n v="110"/>
    <n v="0"/>
    <n v="3"/>
    <x v="7"/>
    <n v="21.74"/>
    <n v="27.29"/>
    <x v="4"/>
  </r>
  <r>
    <x v="143"/>
    <s v="P1026"/>
    <x v="14"/>
    <x v="3"/>
    <x v="1"/>
    <n v="52"/>
    <n v="59"/>
    <n v="98"/>
    <n v="13"/>
    <n v="0"/>
    <n v="5"/>
    <x v="7"/>
    <n v="77.55"/>
    <n v="110.44"/>
    <x v="4"/>
  </r>
  <r>
    <x v="143"/>
    <s v="P1032"/>
    <x v="58"/>
    <x v="3"/>
    <x v="0"/>
    <n v="157"/>
    <n v="53"/>
    <n v="71"/>
    <n v="139"/>
    <n v="0"/>
    <n v="9"/>
    <x v="7"/>
    <n v="67.73"/>
    <n v="77.89"/>
    <x v="4"/>
  </r>
  <r>
    <x v="143"/>
    <s v="P1035"/>
    <x v="42"/>
    <x v="1"/>
    <x v="2"/>
    <n v="137"/>
    <n v="73"/>
    <n v="39"/>
    <n v="171"/>
    <n v="0"/>
    <n v="2"/>
    <x v="2"/>
    <n v="8.18"/>
    <n v="9.74"/>
    <x v="4"/>
  </r>
  <r>
    <x v="143"/>
    <s v="P1040"/>
    <x v="67"/>
    <x v="1"/>
    <x v="1"/>
    <n v="105"/>
    <n v="233"/>
    <n v="99"/>
    <n v="239"/>
    <n v="0"/>
    <n v="6"/>
    <x v="11"/>
    <n v="17.079999999999998"/>
    <n v="21.24"/>
    <x v="4"/>
  </r>
  <r>
    <x v="143"/>
    <s v="P1074"/>
    <x v="6"/>
    <x v="2"/>
    <x v="2"/>
    <n v="65"/>
    <n v="148"/>
    <n v="71"/>
    <n v="142"/>
    <n v="0"/>
    <n v="7"/>
    <x v="4"/>
    <n v="10.24"/>
    <n v="13.45"/>
    <x v="4"/>
  </r>
  <r>
    <x v="144"/>
    <s v="P1032"/>
    <x v="58"/>
    <x v="3"/>
    <x v="1"/>
    <n v="123"/>
    <n v="39"/>
    <n v="55"/>
    <n v="107"/>
    <n v="0"/>
    <n v="4"/>
    <x v="10"/>
    <n v="48.37"/>
    <n v="69.19"/>
    <x v="4"/>
  </r>
  <r>
    <x v="144"/>
    <s v="P1036"/>
    <x v="75"/>
    <x v="1"/>
    <x v="0"/>
    <n v="492"/>
    <n v="162"/>
    <n v="130"/>
    <n v="524"/>
    <n v="0"/>
    <n v="3"/>
    <x v="2"/>
    <n v="6.24"/>
    <n v="7.68"/>
    <x v="4"/>
  </r>
  <r>
    <x v="144"/>
    <s v="P1038"/>
    <x v="4"/>
    <x v="1"/>
    <x v="0"/>
    <n v="174"/>
    <n v="120"/>
    <n v="80"/>
    <n v="214"/>
    <n v="0"/>
    <n v="4"/>
    <x v="2"/>
    <n v="12.21"/>
    <n v="16.829999999999998"/>
    <x v="4"/>
  </r>
  <r>
    <x v="144"/>
    <s v="P1051"/>
    <x v="31"/>
    <x v="4"/>
    <x v="1"/>
    <n v="30"/>
    <n v="11"/>
    <n v="6"/>
    <n v="35"/>
    <n v="0"/>
    <n v="8"/>
    <x v="8"/>
    <n v="275.85000000000002"/>
    <n v="370.62"/>
    <x v="4"/>
  </r>
  <r>
    <x v="144"/>
    <s v="P1077"/>
    <x v="50"/>
    <x v="2"/>
    <x v="0"/>
    <n v="69"/>
    <n v="184"/>
    <n v="26"/>
    <n v="227"/>
    <n v="0"/>
    <n v="8"/>
    <x v="3"/>
    <n v="29.41"/>
    <n v="36.979999999999997"/>
    <x v="4"/>
  </r>
  <r>
    <x v="145"/>
    <s v="P1016"/>
    <x v="35"/>
    <x v="0"/>
    <x v="1"/>
    <n v="32"/>
    <n v="52"/>
    <n v="64"/>
    <n v="20"/>
    <n v="0"/>
    <n v="14"/>
    <x v="6"/>
    <n v="150.18"/>
    <n v="210.23"/>
    <x v="4"/>
  </r>
  <r>
    <x v="145"/>
    <s v="P1022"/>
    <x v="53"/>
    <x v="3"/>
    <x v="1"/>
    <n v="70"/>
    <n v="55"/>
    <n v="77"/>
    <n v="48"/>
    <n v="0"/>
    <n v="11"/>
    <x v="12"/>
    <n v="74.680000000000007"/>
    <n v="114.4"/>
    <x v="4"/>
  </r>
  <r>
    <x v="145"/>
    <s v="P1024"/>
    <x v="54"/>
    <x v="3"/>
    <x v="2"/>
    <n v="51"/>
    <n v="138"/>
    <n v="43"/>
    <n v="146"/>
    <n v="0"/>
    <n v="3"/>
    <x v="10"/>
    <n v="75.55"/>
    <n v="108.69"/>
    <x v="4"/>
  </r>
  <r>
    <x v="145"/>
    <s v="P1030"/>
    <x v="9"/>
    <x v="3"/>
    <x v="2"/>
    <n v="182"/>
    <n v="51"/>
    <n v="37"/>
    <n v="196"/>
    <n v="0"/>
    <n v="7"/>
    <x v="7"/>
    <n v="37.99"/>
    <n v="47.11"/>
    <x v="4"/>
  </r>
  <r>
    <x v="145"/>
    <s v="P1037"/>
    <x v="59"/>
    <x v="1"/>
    <x v="2"/>
    <n v="476"/>
    <n v="126"/>
    <n v="169"/>
    <n v="433"/>
    <n v="0"/>
    <n v="1"/>
    <x v="11"/>
    <n v="13.61"/>
    <n v="20.96"/>
    <x v="4"/>
  </r>
  <r>
    <x v="145"/>
    <s v="P1042"/>
    <x v="61"/>
    <x v="1"/>
    <x v="3"/>
    <n v="122"/>
    <n v="241"/>
    <n v="108"/>
    <n v="255"/>
    <n v="0"/>
    <n v="4"/>
    <x v="11"/>
    <n v="17.57"/>
    <n v="24.6"/>
    <x v="4"/>
  </r>
  <r>
    <x v="145"/>
    <s v="P1044"/>
    <x v="48"/>
    <x v="1"/>
    <x v="1"/>
    <n v="421"/>
    <n v="248"/>
    <n v="131"/>
    <n v="538"/>
    <n v="0"/>
    <n v="6"/>
    <x v="2"/>
    <n v="10.92"/>
    <n v="13.55"/>
    <x v="4"/>
  </r>
  <r>
    <x v="145"/>
    <s v="P1050"/>
    <x v="72"/>
    <x v="4"/>
    <x v="0"/>
    <n v="51"/>
    <n v="20"/>
    <n v="14"/>
    <n v="57"/>
    <n v="0"/>
    <n v="12"/>
    <x v="14"/>
    <n v="281.56"/>
    <n v="370.67"/>
    <x v="4"/>
  </r>
  <r>
    <x v="145"/>
    <s v="P1052"/>
    <x v="60"/>
    <x v="4"/>
    <x v="1"/>
    <n v="40"/>
    <n v="22"/>
    <n v="3"/>
    <n v="59"/>
    <n v="0"/>
    <n v="13"/>
    <x v="8"/>
    <n v="63.56"/>
    <n v="96.83"/>
    <x v="4"/>
  </r>
  <r>
    <x v="145"/>
    <s v="P1065"/>
    <x v="25"/>
    <x v="2"/>
    <x v="3"/>
    <n v="164"/>
    <n v="194"/>
    <n v="80"/>
    <n v="278"/>
    <n v="0"/>
    <n v="10"/>
    <x v="4"/>
    <n v="17.059999999999999"/>
    <n v="23.12"/>
    <x v="4"/>
  </r>
  <r>
    <x v="146"/>
    <s v="P1023"/>
    <x v="24"/>
    <x v="3"/>
    <x v="2"/>
    <n v="183"/>
    <n v="147"/>
    <n v="114"/>
    <n v="216"/>
    <n v="0"/>
    <n v="5"/>
    <x v="7"/>
    <n v="73.19"/>
    <n v="93.65"/>
    <x v="4"/>
  </r>
  <r>
    <x v="146"/>
    <s v="P1024"/>
    <x v="54"/>
    <x v="3"/>
    <x v="0"/>
    <n v="222"/>
    <n v="42"/>
    <n v="41"/>
    <n v="223"/>
    <n v="0"/>
    <n v="11"/>
    <x v="7"/>
    <n v="56.04"/>
    <n v="78.45"/>
    <x v="4"/>
  </r>
  <r>
    <x v="146"/>
    <s v="P1026"/>
    <x v="14"/>
    <x v="3"/>
    <x v="3"/>
    <n v="41"/>
    <n v="125"/>
    <n v="117"/>
    <n v="49"/>
    <n v="0"/>
    <n v="9"/>
    <x v="7"/>
    <n v="16.16"/>
    <n v="22.49"/>
    <x v="4"/>
  </r>
  <r>
    <x v="146"/>
    <s v="P1044"/>
    <x v="48"/>
    <x v="1"/>
    <x v="0"/>
    <n v="262"/>
    <n v="146"/>
    <n v="73"/>
    <n v="335"/>
    <n v="0"/>
    <n v="6"/>
    <x v="2"/>
    <n v="24.93"/>
    <n v="31.59"/>
    <x v="4"/>
  </r>
  <r>
    <x v="146"/>
    <s v="P1048"/>
    <x v="74"/>
    <x v="1"/>
    <x v="2"/>
    <n v="498"/>
    <n v="151"/>
    <n v="145"/>
    <n v="504"/>
    <n v="0"/>
    <n v="5"/>
    <x v="2"/>
    <n v="24.44"/>
    <n v="36.590000000000003"/>
    <x v="4"/>
  </r>
  <r>
    <x v="146"/>
    <s v="P1060"/>
    <x v="16"/>
    <x v="4"/>
    <x v="1"/>
    <n v="23"/>
    <n v="17"/>
    <n v="20"/>
    <n v="20"/>
    <n v="0"/>
    <n v="2"/>
    <x v="9"/>
    <n v="273.07"/>
    <n v="328.94"/>
    <x v="4"/>
  </r>
  <r>
    <x v="146"/>
    <s v="P1069"/>
    <x v="17"/>
    <x v="2"/>
    <x v="1"/>
    <n v="131"/>
    <n v="38"/>
    <n v="124"/>
    <n v="45"/>
    <n v="0"/>
    <n v="6"/>
    <x v="3"/>
    <n v="2.89"/>
    <n v="4.28"/>
    <x v="4"/>
  </r>
  <r>
    <x v="146"/>
    <s v="P1075"/>
    <x v="44"/>
    <x v="2"/>
    <x v="1"/>
    <n v="263"/>
    <n v="78"/>
    <n v="93"/>
    <n v="248"/>
    <n v="0"/>
    <n v="10"/>
    <x v="3"/>
    <n v="1"/>
    <n v="1.35"/>
    <x v="4"/>
  </r>
  <r>
    <x v="147"/>
    <s v="P1002"/>
    <x v="18"/>
    <x v="0"/>
    <x v="1"/>
    <n v="58"/>
    <n v="78"/>
    <n v="52"/>
    <n v="84"/>
    <n v="0"/>
    <n v="14"/>
    <x v="1"/>
    <n v="210.96"/>
    <n v="320.52"/>
    <x v="4"/>
  </r>
  <r>
    <x v="147"/>
    <s v="P1025"/>
    <x v="20"/>
    <x v="3"/>
    <x v="2"/>
    <n v="73"/>
    <n v="26"/>
    <n v="99"/>
    <n v="0"/>
    <n v="1"/>
    <n v="4"/>
    <x v="7"/>
    <n v="36.03"/>
    <n v="43.86"/>
    <x v="4"/>
  </r>
  <r>
    <x v="147"/>
    <s v="P1031"/>
    <x v="76"/>
    <x v="3"/>
    <x v="0"/>
    <n v="258"/>
    <n v="141"/>
    <n v="33"/>
    <n v="366"/>
    <n v="0"/>
    <n v="11"/>
    <x v="7"/>
    <n v="86.87"/>
    <n v="122.58"/>
    <x v="4"/>
  </r>
  <r>
    <x v="147"/>
    <s v="P1072"/>
    <x v="71"/>
    <x v="2"/>
    <x v="0"/>
    <n v="306"/>
    <n v="37"/>
    <n v="93"/>
    <n v="250"/>
    <n v="0"/>
    <n v="4"/>
    <x v="5"/>
    <n v="19.260000000000002"/>
    <n v="28.8"/>
    <x v="4"/>
  </r>
  <r>
    <x v="148"/>
    <s v="P1022"/>
    <x v="53"/>
    <x v="3"/>
    <x v="0"/>
    <n v="66"/>
    <n v="93"/>
    <n v="70"/>
    <n v="89"/>
    <n v="0"/>
    <n v="11"/>
    <x v="7"/>
    <n v="27.38"/>
    <n v="32.56"/>
    <x v="4"/>
  </r>
  <r>
    <x v="148"/>
    <s v="P1057"/>
    <x v="36"/>
    <x v="4"/>
    <x v="3"/>
    <n v="36"/>
    <n v="5"/>
    <n v="7"/>
    <n v="34"/>
    <n v="0"/>
    <n v="7"/>
    <x v="9"/>
    <n v="45.52"/>
    <n v="66.489999999999995"/>
    <x v="4"/>
  </r>
  <r>
    <x v="148"/>
    <s v="P1060"/>
    <x v="16"/>
    <x v="4"/>
    <x v="3"/>
    <n v="80"/>
    <n v="22"/>
    <n v="15"/>
    <n v="87"/>
    <n v="0"/>
    <n v="2"/>
    <x v="9"/>
    <n v="144.1"/>
    <n v="188.55"/>
    <x v="4"/>
  </r>
  <r>
    <x v="148"/>
    <s v="P1068"/>
    <x v="33"/>
    <x v="2"/>
    <x v="2"/>
    <n v="348"/>
    <n v="47"/>
    <n v="87"/>
    <n v="308"/>
    <n v="0"/>
    <n v="2"/>
    <x v="5"/>
    <n v="28.1"/>
    <n v="40.479999999999997"/>
    <x v="4"/>
  </r>
  <r>
    <x v="148"/>
    <s v="P1075"/>
    <x v="44"/>
    <x v="2"/>
    <x v="0"/>
    <n v="208"/>
    <n v="71"/>
    <n v="171"/>
    <n v="108"/>
    <n v="0"/>
    <n v="2"/>
    <x v="4"/>
    <n v="22.82"/>
    <n v="26.52"/>
    <x v="4"/>
  </r>
  <r>
    <x v="149"/>
    <s v="P1013"/>
    <x v="2"/>
    <x v="0"/>
    <x v="2"/>
    <n v="144"/>
    <n v="33"/>
    <n v="25"/>
    <n v="152"/>
    <n v="0"/>
    <n v="11"/>
    <x v="1"/>
    <n v="127.07"/>
    <n v="188.82"/>
    <x v="4"/>
  </r>
  <r>
    <x v="149"/>
    <s v="P1013"/>
    <x v="2"/>
    <x v="0"/>
    <x v="0"/>
    <n v="57"/>
    <n v="42"/>
    <n v="46"/>
    <n v="53"/>
    <n v="0"/>
    <n v="14"/>
    <x v="0"/>
    <n v="152.29"/>
    <n v="233.7"/>
    <x v="4"/>
  </r>
  <r>
    <x v="149"/>
    <s v="P1015"/>
    <x v="73"/>
    <x v="0"/>
    <x v="3"/>
    <n v="90"/>
    <n v="59"/>
    <n v="77"/>
    <n v="72"/>
    <n v="0"/>
    <n v="14"/>
    <x v="6"/>
    <n v="133.28"/>
    <n v="171.69"/>
    <x v="4"/>
  </r>
  <r>
    <x v="149"/>
    <s v="P1061"/>
    <x v="22"/>
    <x v="4"/>
    <x v="3"/>
    <n v="80"/>
    <n v="10"/>
    <n v="13"/>
    <n v="77"/>
    <n v="0"/>
    <n v="3"/>
    <x v="9"/>
    <n v="204.42"/>
    <n v="269.08"/>
    <x v="4"/>
  </r>
  <r>
    <x v="149"/>
    <s v="P1068"/>
    <x v="33"/>
    <x v="2"/>
    <x v="1"/>
    <n v="370"/>
    <n v="75"/>
    <n v="46"/>
    <n v="399"/>
    <n v="0"/>
    <n v="8"/>
    <x v="4"/>
    <n v="28.63"/>
    <n v="36.67"/>
    <x v="4"/>
  </r>
  <r>
    <x v="149"/>
    <s v="P1079"/>
    <x v="8"/>
    <x v="2"/>
    <x v="0"/>
    <n v="128"/>
    <n v="113"/>
    <n v="117"/>
    <n v="124"/>
    <n v="0"/>
    <n v="8"/>
    <x v="3"/>
    <n v="2.52"/>
    <n v="3"/>
    <x v="4"/>
  </r>
  <r>
    <x v="150"/>
    <s v="P1002"/>
    <x v="18"/>
    <x v="0"/>
    <x v="1"/>
    <n v="121"/>
    <n v="13"/>
    <n v="23"/>
    <n v="111"/>
    <n v="0"/>
    <n v="7"/>
    <x v="1"/>
    <n v="199.78"/>
    <n v="299.89999999999998"/>
    <x v="5"/>
  </r>
  <r>
    <x v="150"/>
    <s v="P1008"/>
    <x v="0"/>
    <x v="0"/>
    <x v="1"/>
    <n v="76"/>
    <n v="56"/>
    <n v="35"/>
    <n v="97"/>
    <n v="0"/>
    <n v="10"/>
    <x v="0"/>
    <n v="156.44999999999999"/>
    <n v="223.1"/>
    <x v="5"/>
  </r>
  <r>
    <x v="150"/>
    <s v="P1011"/>
    <x v="37"/>
    <x v="0"/>
    <x v="1"/>
    <n v="78"/>
    <n v="42"/>
    <n v="45"/>
    <n v="75"/>
    <n v="0"/>
    <n v="10"/>
    <x v="0"/>
    <n v="126.7"/>
    <n v="160.07"/>
    <x v="5"/>
  </r>
  <r>
    <x v="150"/>
    <s v="P1014"/>
    <x v="28"/>
    <x v="0"/>
    <x v="0"/>
    <n v="162"/>
    <n v="26"/>
    <n v="58"/>
    <n v="130"/>
    <n v="0"/>
    <n v="3"/>
    <x v="1"/>
    <n v="135.02000000000001"/>
    <n v="172.32"/>
    <x v="5"/>
  </r>
  <r>
    <x v="150"/>
    <s v="P1015"/>
    <x v="73"/>
    <x v="0"/>
    <x v="3"/>
    <n v="135"/>
    <n v="27"/>
    <n v="41"/>
    <n v="121"/>
    <n v="0"/>
    <n v="11"/>
    <x v="6"/>
    <n v="116.18"/>
    <n v="154.69"/>
    <x v="5"/>
  </r>
  <r>
    <x v="150"/>
    <s v="P1042"/>
    <x v="61"/>
    <x v="1"/>
    <x v="1"/>
    <n v="139"/>
    <n v="137"/>
    <n v="190"/>
    <n v="86"/>
    <n v="0"/>
    <n v="6"/>
    <x v="13"/>
    <n v="5.37"/>
    <n v="7.96"/>
    <x v="5"/>
  </r>
  <r>
    <x v="150"/>
    <s v="P1045"/>
    <x v="15"/>
    <x v="1"/>
    <x v="2"/>
    <n v="157"/>
    <n v="233"/>
    <n v="48"/>
    <n v="342"/>
    <n v="0"/>
    <n v="7"/>
    <x v="11"/>
    <n v="22.48"/>
    <n v="31.04"/>
    <x v="5"/>
  </r>
  <r>
    <x v="150"/>
    <s v="P1048"/>
    <x v="74"/>
    <x v="1"/>
    <x v="2"/>
    <n v="92"/>
    <n v="179"/>
    <n v="104"/>
    <n v="167"/>
    <n v="0"/>
    <n v="2"/>
    <x v="11"/>
    <n v="12.05"/>
    <n v="17.64"/>
    <x v="5"/>
  </r>
  <r>
    <x v="150"/>
    <s v="P1068"/>
    <x v="33"/>
    <x v="2"/>
    <x v="3"/>
    <n v="399"/>
    <n v="111"/>
    <n v="160"/>
    <n v="350"/>
    <n v="0"/>
    <n v="3"/>
    <x v="3"/>
    <n v="20.29"/>
    <n v="29.83"/>
    <x v="5"/>
  </r>
  <r>
    <x v="150"/>
    <s v="P1075"/>
    <x v="44"/>
    <x v="2"/>
    <x v="0"/>
    <n v="103"/>
    <n v="171"/>
    <n v="146"/>
    <n v="128"/>
    <n v="0"/>
    <n v="14"/>
    <x v="3"/>
    <n v="11.86"/>
    <n v="14.02"/>
    <x v="5"/>
  </r>
  <r>
    <x v="151"/>
    <s v="P1016"/>
    <x v="35"/>
    <x v="0"/>
    <x v="3"/>
    <n v="43"/>
    <n v="69"/>
    <n v="59"/>
    <n v="53"/>
    <n v="0"/>
    <n v="14"/>
    <x v="0"/>
    <n v="139.53"/>
    <n v="189.66"/>
    <x v="5"/>
  </r>
  <r>
    <x v="151"/>
    <s v="P1027"/>
    <x v="26"/>
    <x v="3"/>
    <x v="3"/>
    <n v="90"/>
    <n v="106"/>
    <n v="77"/>
    <n v="119"/>
    <n v="0"/>
    <n v="5"/>
    <x v="12"/>
    <n v="16.3"/>
    <n v="24.43"/>
    <x v="5"/>
  </r>
  <r>
    <x v="151"/>
    <s v="P1034"/>
    <x v="3"/>
    <x v="1"/>
    <x v="1"/>
    <n v="329"/>
    <n v="126"/>
    <n v="161"/>
    <n v="294"/>
    <n v="0"/>
    <n v="6"/>
    <x v="11"/>
    <n v="21.49"/>
    <n v="27.78"/>
    <x v="5"/>
  </r>
  <r>
    <x v="151"/>
    <s v="P1050"/>
    <x v="72"/>
    <x v="4"/>
    <x v="2"/>
    <n v="26"/>
    <n v="8"/>
    <n v="8"/>
    <n v="26"/>
    <n v="0"/>
    <n v="8"/>
    <x v="8"/>
    <n v="185.81"/>
    <n v="276.79000000000002"/>
    <x v="5"/>
  </r>
  <r>
    <x v="151"/>
    <s v="P1054"/>
    <x v="43"/>
    <x v="4"/>
    <x v="0"/>
    <n v="69"/>
    <n v="10"/>
    <n v="18"/>
    <n v="61"/>
    <n v="0"/>
    <n v="5"/>
    <x v="9"/>
    <n v="315.20999999999998"/>
    <n v="418.97"/>
    <x v="5"/>
  </r>
  <r>
    <x v="151"/>
    <s v="P1064"/>
    <x v="32"/>
    <x v="4"/>
    <x v="1"/>
    <n v="45"/>
    <n v="6"/>
    <n v="10"/>
    <n v="41"/>
    <n v="0"/>
    <n v="12"/>
    <x v="9"/>
    <n v="39.97"/>
    <n v="58.89"/>
    <x v="5"/>
  </r>
  <r>
    <x v="151"/>
    <s v="P1067"/>
    <x v="5"/>
    <x v="2"/>
    <x v="0"/>
    <n v="118"/>
    <n v="86"/>
    <n v="54"/>
    <n v="150"/>
    <n v="0"/>
    <n v="14"/>
    <x v="5"/>
    <n v="7.23"/>
    <n v="9.5399999999999991"/>
    <x v="5"/>
  </r>
  <r>
    <x v="152"/>
    <s v="P1010"/>
    <x v="47"/>
    <x v="0"/>
    <x v="1"/>
    <n v="61"/>
    <n v="71"/>
    <n v="15"/>
    <n v="117"/>
    <n v="0"/>
    <n v="8"/>
    <x v="1"/>
    <n v="40.72"/>
    <n v="59.41"/>
    <x v="5"/>
  </r>
  <r>
    <x v="152"/>
    <s v="P1010"/>
    <x v="47"/>
    <x v="0"/>
    <x v="3"/>
    <n v="102"/>
    <n v="65"/>
    <n v="51"/>
    <n v="116"/>
    <n v="0"/>
    <n v="11"/>
    <x v="1"/>
    <n v="194.37"/>
    <n v="229.96"/>
    <x v="5"/>
  </r>
  <r>
    <x v="152"/>
    <s v="P1013"/>
    <x v="2"/>
    <x v="0"/>
    <x v="2"/>
    <n v="163"/>
    <n v="68"/>
    <n v="10"/>
    <n v="221"/>
    <n v="0"/>
    <n v="3"/>
    <x v="6"/>
    <n v="46.57"/>
    <n v="58.49"/>
    <x v="5"/>
  </r>
  <r>
    <x v="152"/>
    <s v="P1043"/>
    <x v="21"/>
    <x v="1"/>
    <x v="0"/>
    <n v="275"/>
    <n v="126"/>
    <n v="172"/>
    <n v="229"/>
    <n v="0"/>
    <n v="6"/>
    <x v="2"/>
    <n v="8.98"/>
    <n v="11.57"/>
    <x v="5"/>
  </r>
  <r>
    <x v="152"/>
    <s v="P1059"/>
    <x v="11"/>
    <x v="4"/>
    <x v="3"/>
    <n v="67"/>
    <n v="15"/>
    <n v="11"/>
    <n v="71"/>
    <n v="0"/>
    <n v="11"/>
    <x v="9"/>
    <n v="164.31"/>
    <n v="230.26"/>
    <x v="5"/>
  </r>
  <r>
    <x v="152"/>
    <s v="P1060"/>
    <x v="16"/>
    <x v="4"/>
    <x v="2"/>
    <n v="38"/>
    <n v="4"/>
    <n v="9"/>
    <n v="33"/>
    <n v="0"/>
    <n v="11"/>
    <x v="8"/>
    <n v="154.82"/>
    <n v="203.99"/>
    <x v="5"/>
  </r>
  <r>
    <x v="152"/>
    <s v="P1067"/>
    <x v="5"/>
    <x v="2"/>
    <x v="3"/>
    <n v="167"/>
    <n v="82"/>
    <n v="156"/>
    <n v="93"/>
    <n v="0"/>
    <n v="12"/>
    <x v="4"/>
    <n v="25.19"/>
    <n v="33.9"/>
    <x v="5"/>
  </r>
  <r>
    <x v="152"/>
    <s v="P1069"/>
    <x v="17"/>
    <x v="2"/>
    <x v="3"/>
    <n v="91"/>
    <n v="189"/>
    <n v="75"/>
    <n v="205"/>
    <n v="0"/>
    <n v="6"/>
    <x v="4"/>
    <n v="7.79"/>
    <n v="9.11"/>
    <x v="5"/>
  </r>
  <r>
    <x v="153"/>
    <s v="P1024"/>
    <x v="54"/>
    <x v="3"/>
    <x v="2"/>
    <n v="122"/>
    <n v="96"/>
    <n v="35"/>
    <n v="183"/>
    <n v="0"/>
    <n v="7"/>
    <x v="7"/>
    <n v="40.65"/>
    <n v="56.18"/>
    <x v="5"/>
  </r>
  <r>
    <x v="153"/>
    <s v="P1045"/>
    <x v="15"/>
    <x v="1"/>
    <x v="0"/>
    <n v="304"/>
    <n v="55"/>
    <n v="73"/>
    <n v="286"/>
    <n v="0"/>
    <n v="6"/>
    <x v="2"/>
    <n v="5.35"/>
    <n v="8.0299999999999994"/>
    <x v="5"/>
  </r>
  <r>
    <x v="153"/>
    <s v="P1047"/>
    <x v="55"/>
    <x v="1"/>
    <x v="0"/>
    <n v="85"/>
    <n v="148"/>
    <n v="54"/>
    <n v="179"/>
    <n v="0"/>
    <n v="7"/>
    <x v="2"/>
    <n v="6.46"/>
    <n v="9.65"/>
    <x v="5"/>
  </r>
  <r>
    <x v="153"/>
    <s v="P1055"/>
    <x v="51"/>
    <x v="4"/>
    <x v="3"/>
    <n v="49"/>
    <n v="20"/>
    <n v="15"/>
    <n v="54"/>
    <n v="0"/>
    <n v="2"/>
    <x v="9"/>
    <n v="332.54"/>
    <n v="479.97"/>
    <x v="5"/>
  </r>
  <r>
    <x v="154"/>
    <s v="P1030"/>
    <x v="9"/>
    <x v="3"/>
    <x v="1"/>
    <n v="153"/>
    <n v="144"/>
    <n v="138"/>
    <n v="159"/>
    <n v="0"/>
    <n v="5"/>
    <x v="7"/>
    <n v="78.900000000000006"/>
    <n v="94.48"/>
    <x v="5"/>
  </r>
  <r>
    <x v="154"/>
    <s v="P1056"/>
    <x v="56"/>
    <x v="4"/>
    <x v="1"/>
    <n v="61"/>
    <n v="24"/>
    <n v="11"/>
    <n v="74"/>
    <n v="0"/>
    <n v="5"/>
    <x v="8"/>
    <n v="153.79"/>
    <n v="219.54"/>
    <x v="5"/>
  </r>
  <r>
    <x v="155"/>
    <s v="P1010"/>
    <x v="47"/>
    <x v="0"/>
    <x v="0"/>
    <n v="98"/>
    <n v="65"/>
    <n v="57"/>
    <n v="106"/>
    <n v="0"/>
    <n v="5"/>
    <x v="1"/>
    <n v="70.31"/>
    <n v="95.24"/>
    <x v="5"/>
  </r>
  <r>
    <x v="155"/>
    <s v="P1011"/>
    <x v="37"/>
    <x v="0"/>
    <x v="2"/>
    <n v="31"/>
    <n v="56"/>
    <n v="22"/>
    <n v="65"/>
    <n v="0"/>
    <n v="6"/>
    <x v="1"/>
    <n v="169.78"/>
    <n v="226.52"/>
    <x v="5"/>
  </r>
  <r>
    <x v="155"/>
    <s v="P1029"/>
    <x v="63"/>
    <x v="3"/>
    <x v="2"/>
    <n v="72"/>
    <n v="77"/>
    <n v="37"/>
    <n v="112"/>
    <n v="0"/>
    <n v="4"/>
    <x v="10"/>
    <n v="78.67"/>
    <n v="105.48"/>
    <x v="5"/>
  </r>
  <r>
    <x v="155"/>
    <s v="P1032"/>
    <x v="58"/>
    <x v="3"/>
    <x v="3"/>
    <n v="275"/>
    <n v="44"/>
    <n v="114"/>
    <n v="205"/>
    <n v="0"/>
    <n v="7"/>
    <x v="10"/>
    <n v="54.93"/>
    <n v="85.12"/>
    <x v="5"/>
  </r>
  <r>
    <x v="155"/>
    <s v="P1037"/>
    <x v="59"/>
    <x v="1"/>
    <x v="2"/>
    <n v="366"/>
    <n v="124"/>
    <n v="179"/>
    <n v="311"/>
    <n v="0"/>
    <n v="6"/>
    <x v="13"/>
    <n v="9.56"/>
    <n v="12.08"/>
    <x v="5"/>
  </r>
  <r>
    <x v="155"/>
    <s v="P1046"/>
    <x v="49"/>
    <x v="1"/>
    <x v="1"/>
    <n v="183"/>
    <n v="114"/>
    <n v="147"/>
    <n v="150"/>
    <n v="0"/>
    <n v="7"/>
    <x v="2"/>
    <n v="3.65"/>
    <n v="5.52"/>
    <x v="5"/>
  </r>
  <r>
    <x v="156"/>
    <s v="P1001"/>
    <x v="34"/>
    <x v="0"/>
    <x v="3"/>
    <n v="48"/>
    <n v="17"/>
    <n v="16"/>
    <n v="49"/>
    <n v="0"/>
    <n v="10"/>
    <x v="1"/>
    <n v="45.29"/>
    <n v="59.84"/>
    <x v="5"/>
  </r>
  <r>
    <x v="156"/>
    <s v="P1012"/>
    <x v="41"/>
    <x v="0"/>
    <x v="2"/>
    <n v="129"/>
    <n v="29"/>
    <n v="57"/>
    <n v="101"/>
    <n v="0"/>
    <n v="8"/>
    <x v="1"/>
    <n v="96.17"/>
    <n v="136.34"/>
    <x v="5"/>
  </r>
  <r>
    <x v="156"/>
    <s v="P1045"/>
    <x v="15"/>
    <x v="1"/>
    <x v="3"/>
    <n v="438"/>
    <n v="164"/>
    <n v="121"/>
    <n v="481"/>
    <n v="0"/>
    <n v="1"/>
    <x v="2"/>
    <n v="11.18"/>
    <n v="14.71"/>
    <x v="5"/>
  </r>
  <r>
    <x v="156"/>
    <s v="P1051"/>
    <x v="31"/>
    <x v="4"/>
    <x v="3"/>
    <n v="70"/>
    <n v="5"/>
    <n v="17"/>
    <n v="58"/>
    <n v="0"/>
    <n v="3"/>
    <x v="9"/>
    <n v="234.55"/>
    <n v="301.60000000000002"/>
    <x v="5"/>
  </r>
  <r>
    <x v="156"/>
    <s v="P1057"/>
    <x v="36"/>
    <x v="4"/>
    <x v="3"/>
    <n v="29"/>
    <n v="25"/>
    <n v="18"/>
    <n v="36"/>
    <n v="0"/>
    <n v="11"/>
    <x v="9"/>
    <n v="322.29000000000002"/>
    <n v="372.11"/>
    <x v="5"/>
  </r>
  <r>
    <x v="156"/>
    <s v="P1067"/>
    <x v="5"/>
    <x v="2"/>
    <x v="3"/>
    <n v="84"/>
    <n v="141"/>
    <n v="169"/>
    <n v="56"/>
    <n v="0"/>
    <n v="4"/>
    <x v="3"/>
    <n v="6.27"/>
    <n v="8.14"/>
    <x v="5"/>
  </r>
  <r>
    <x v="156"/>
    <s v="P1074"/>
    <x v="6"/>
    <x v="2"/>
    <x v="2"/>
    <n v="304"/>
    <n v="57"/>
    <n v="133"/>
    <n v="228"/>
    <n v="0"/>
    <n v="12"/>
    <x v="4"/>
    <n v="29.19"/>
    <n v="43.5"/>
    <x v="5"/>
  </r>
  <r>
    <x v="157"/>
    <s v="P1036"/>
    <x v="75"/>
    <x v="1"/>
    <x v="0"/>
    <n v="407"/>
    <n v="201"/>
    <n v="123"/>
    <n v="485"/>
    <n v="0"/>
    <n v="1"/>
    <x v="11"/>
    <n v="20.38"/>
    <n v="27.7"/>
    <x v="5"/>
  </r>
  <r>
    <x v="157"/>
    <s v="P1050"/>
    <x v="72"/>
    <x v="4"/>
    <x v="0"/>
    <n v="28"/>
    <n v="6"/>
    <n v="20"/>
    <n v="14"/>
    <n v="0"/>
    <n v="14"/>
    <x v="8"/>
    <n v="287.64999999999998"/>
    <n v="351.07"/>
    <x v="5"/>
  </r>
  <r>
    <x v="157"/>
    <s v="P1067"/>
    <x v="5"/>
    <x v="2"/>
    <x v="1"/>
    <n v="253"/>
    <n v="61"/>
    <n v="120"/>
    <n v="194"/>
    <n v="0"/>
    <n v="13"/>
    <x v="5"/>
    <n v="28.9"/>
    <n v="36.590000000000003"/>
    <x v="5"/>
  </r>
  <r>
    <x v="158"/>
    <s v="P1003"/>
    <x v="64"/>
    <x v="0"/>
    <x v="1"/>
    <n v="58"/>
    <n v="33"/>
    <n v="38"/>
    <n v="53"/>
    <n v="0"/>
    <n v="8"/>
    <x v="0"/>
    <n v="149.01"/>
    <n v="217.49"/>
    <x v="5"/>
  </r>
  <r>
    <x v="158"/>
    <s v="P1005"/>
    <x v="62"/>
    <x v="0"/>
    <x v="3"/>
    <n v="64"/>
    <n v="29"/>
    <n v="28"/>
    <n v="65"/>
    <n v="0"/>
    <n v="14"/>
    <x v="0"/>
    <n v="30.43"/>
    <n v="36.36"/>
    <x v="5"/>
  </r>
  <r>
    <x v="158"/>
    <s v="P1011"/>
    <x v="37"/>
    <x v="0"/>
    <x v="0"/>
    <n v="136"/>
    <n v="20"/>
    <n v="58"/>
    <n v="98"/>
    <n v="0"/>
    <n v="14"/>
    <x v="6"/>
    <n v="108.99"/>
    <n v="126.99"/>
    <x v="5"/>
  </r>
  <r>
    <x v="158"/>
    <s v="P1019"/>
    <x v="66"/>
    <x v="3"/>
    <x v="3"/>
    <n v="270"/>
    <n v="54"/>
    <n v="87"/>
    <n v="237"/>
    <n v="0"/>
    <n v="7"/>
    <x v="7"/>
    <n v="44.74"/>
    <n v="57.65"/>
    <x v="5"/>
  </r>
  <r>
    <x v="158"/>
    <s v="P1027"/>
    <x v="26"/>
    <x v="3"/>
    <x v="2"/>
    <n v="252"/>
    <n v="150"/>
    <n v="85"/>
    <n v="317"/>
    <n v="0"/>
    <n v="13"/>
    <x v="10"/>
    <n v="51.09"/>
    <n v="63.75"/>
    <x v="5"/>
  </r>
  <r>
    <x v="158"/>
    <s v="P1033"/>
    <x v="27"/>
    <x v="1"/>
    <x v="0"/>
    <n v="255"/>
    <n v="106"/>
    <n v="193"/>
    <n v="168"/>
    <n v="0"/>
    <n v="1"/>
    <x v="11"/>
    <n v="11.5"/>
    <n v="17.260000000000002"/>
    <x v="5"/>
  </r>
  <r>
    <x v="158"/>
    <s v="P1039"/>
    <x v="30"/>
    <x v="1"/>
    <x v="2"/>
    <n v="343"/>
    <n v="110"/>
    <n v="127"/>
    <n v="326"/>
    <n v="0"/>
    <n v="3"/>
    <x v="13"/>
    <n v="10.73"/>
    <n v="13.7"/>
    <x v="5"/>
  </r>
  <r>
    <x v="158"/>
    <s v="P1048"/>
    <x v="74"/>
    <x v="1"/>
    <x v="2"/>
    <n v="190"/>
    <n v="90"/>
    <n v="220"/>
    <n v="60"/>
    <n v="0"/>
    <n v="3"/>
    <x v="11"/>
    <n v="21.08"/>
    <n v="29.35"/>
    <x v="5"/>
  </r>
  <r>
    <x v="158"/>
    <s v="P1062"/>
    <x v="68"/>
    <x v="4"/>
    <x v="0"/>
    <n v="46"/>
    <n v="10"/>
    <n v="17"/>
    <n v="39"/>
    <n v="0"/>
    <n v="4"/>
    <x v="9"/>
    <n v="282.75"/>
    <n v="436.14"/>
    <x v="5"/>
  </r>
  <r>
    <x v="158"/>
    <s v="P1075"/>
    <x v="44"/>
    <x v="2"/>
    <x v="0"/>
    <n v="172"/>
    <n v="105"/>
    <n v="136"/>
    <n v="141"/>
    <n v="0"/>
    <n v="4"/>
    <x v="3"/>
    <n v="11.29"/>
    <n v="17.239999999999998"/>
    <x v="5"/>
  </r>
  <r>
    <x v="159"/>
    <s v="P1021"/>
    <x v="77"/>
    <x v="3"/>
    <x v="2"/>
    <n v="101"/>
    <n v="105"/>
    <n v="87"/>
    <n v="119"/>
    <n v="0"/>
    <n v="11"/>
    <x v="7"/>
    <n v="22.79"/>
    <n v="30.39"/>
    <x v="5"/>
  </r>
  <r>
    <x v="159"/>
    <s v="P1021"/>
    <x v="77"/>
    <x v="3"/>
    <x v="3"/>
    <n v="119"/>
    <n v="41"/>
    <n v="84"/>
    <n v="76"/>
    <n v="0"/>
    <n v="9"/>
    <x v="12"/>
    <n v="56.89"/>
    <n v="81.569999999999993"/>
    <x v="5"/>
  </r>
  <r>
    <x v="159"/>
    <s v="P1024"/>
    <x v="54"/>
    <x v="3"/>
    <x v="1"/>
    <n v="232"/>
    <n v="41"/>
    <n v="107"/>
    <n v="166"/>
    <n v="0"/>
    <n v="9"/>
    <x v="7"/>
    <n v="31.16"/>
    <n v="47.68"/>
    <x v="5"/>
  </r>
  <r>
    <x v="159"/>
    <s v="P1025"/>
    <x v="20"/>
    <x v="3"/>
    <x v="3"/>
    <n v="228"/>
    <n v="85"/>
    <n v="51"/>
    <n v="262"/>
    <n v="0"/>
    <n v="2"/>
    <x v="10"/>
    <n v="18.55"/>
    <n v="24.64"/>
    <x v="5"/>
  </r>
  <r>
    <x v="159"/>
    <s v="P1039"/>
    <x v="30"/>
    <x v="1"/>
    <x v="2"/>
    <n v="122"/>
    <n v="96"/>
    <n v="69"/>
    <n v="149"/>
    <n v="0"/>
    <n v="4"/>
    <x v="11"/>
    <n v="11.26"/>
    <n v="13.63"/>
    <x v="5"/>
  </r>
  <r>
    <x v="159"/>
    <s v="P1051"/>
    <x v="31"/>
    <x v="4"/>
    <x v="3"/>
    <n v="72"/>
    <n v="23"/>
    <n v="16"/>
    <n v="79"/>
    <n v="0"/>
    <n v="8"/>
    <x v="9"/>
    <n v="31.37"/>
    <n v="44.5"/>
    <x v="5"/>
  </r>
  <r>
    <x v="159"/>
    <s v="P1059"/>
    <x v="11"/>
    <x v="4"/>
    <x v="0"/>
    <n v="24"/>
    <n v="5"/>
    <n v="11"/>
    <n v="18"/>
    <n v="0"/>
    <n v="4"/>
    <x v="14"/>
    <n v="44.59"/>
    <n v="67.95"/>
    <x v="5"/>
  </r>
  <r>
    <x v="159"/>
    <s v="P1063"/>
    <x v="12"/>
    <x v="4"/>
    <x v="2"/>
    <n v="49"/>
    <n v="8"/>
    <n v="17"/>
    <n v="40"/>
    <n v="0"/>
    <n v="6"/>
    <x v="8"/>
    <n v="310.18"/>
    <n v="448.36"/>
    <x v="5"/>
  </r>
  <r>
    <x v="159"/>
    <s v="P1069"/>
    <x v="17"/>
    <x v="2"/>
    <x v="2"/>
    <n v="306"/>
    <n v="34"/>
    <n v="131"/>
    <n v="209"/>
    <n v="0"/>
    <n v="3"/>
    <x v="4"/>
    <n v="14.65"/>
    <n v="22.41"/>
    <x v="5"/>
  </r>
  <r>
    <x v="160"/>
    <s v="P1007"/>
    <x v="70"/>
    <x v="0"/>
    <x v="3"/>
    <n v="140"/>
    <n v="24"/>
    <n v="42"/>
    <n v="122"/>
    <n v="0"/>
    <n v="6"/>
    <x v="0"/>
    <n v="96.82"/>
    <n v="120.73"/>
    <x v="5"/>
  </r>
  <r>
    <x v="160"/>
    <s v="P1015"/>
    <x v="73"/>
    <x v="0"/>
    <x v="0"/>
    <n v="101"/>
    <n v="54"/>
    <n v="36"/>
    <n v="119"/>
    <n v="0"/>
    <n v="5"/>
    <x v="0"/>
    <n v="91.14"/>
    <n v="114.5"/>
    <x v="5"/>
  </r>
  <r>
    <x v="160"/>
    <s v="P1049"/>
    <x v="10"/>
    <x v="4"/>
    <x v="3"/>
    <n v="44"/>
    <n v="8"/>
    <n v="19"/>
    <n v="33"/>
    <n v="0"/>
    <n v="5"/>
    <x v="8"/>
    <n v="315.14"/>
    <n v="473.95"/>
    <x v="5"/>
  </r>
  <r>
    <x v="160"/>
    <s v="P1059"/>
    <x v="11"/>
    <x v="4"/>
    <x v="3"/>
    <n v="13"/>
    <n v="23"/>
    <n v="14"/>
    <n v="22"/>
    <n v="0"/>
    <n v="4"/>
    <x v="14"/>
    <n v="230.03"/>
    <n v="296.7"/>
    <x v="5"/>
  </r>
  <r>
    <x v="161"/>
    <s v="P1033"/>
    <x v="27"/>
    <x v="1"/>
    <x v="1"/>
    <n v="460"/>
    <n v="171"/>
    <n v="39"/>
    <n v="592"/>
    <n v="0"/>
    <n v="2"/>
    <x v="2"/>
    <n v="22.38"/>
    <n v="31.05"/>
    <x v="5"/>
  </r>
  <r>
    <x v="161"/>
    <s v="P1036"/>
    <x v="75"/>
    <x v="1"/>
    <x v="1"/>
    <n v="379"/>
    <n v="53"/>
    <n v="48"/>
    <n v="384"/>
    <n v="0"/>
    <n v="2"/>
    <x v="13"/>
    <n v="18.420000000000002"/>
    <n v="26.61"/>
    <x v="5"/>
  </r>
  <r>
    <x v="161"/>
    <s v="P1039"/>
    <x v="30"/>
    <x v="1"/>
    <x v="3"/>
    <n v="367"/>
    <n v="145"/>
    <n v="165"/>
    <n v="347"/>
    <n v="0"/>
    <n v="7"/>
    <x v="2"/>
    <n v="13.13"/>
    <n v="17.8"/>
    <x v="5"/>
  </r>
  <r>
    <x v="161"/>
    <s v="P1044"/>
    <x v="48"/>
    <x v="1"/>
    <x v="3"/>
    <n v="258"/>
    <n v="172"/>
    <n v="74"/>
    <n v="356"/>
    <n v="0"/>
    <n v="5"/>
    <x v="11"/>
    <n v="13.78"/>
    <n v="16.600000000000001"/>
    <x v="5"/>
  </r>
  <r>
    <x v="161"/>
    <s v="P1046"/>
    <x v="49"/>
    <x v="1"/>
    <x v="1"/>
    <n v="96"/>
    <n v="57"/>
    <n v="153"/>
    <n v="0"/>
    <n v="1"/>
    <n v="4"/>
    <x v="2"/>
    <n v="10.89"/>
    <n v="15.02"/>
    <x v="5"/>
  </r>
  <r>
    <x v="161"/>
    <s v="P1049"/>
    <x v="10"/>
    <x v="4"/>
    <x v="2"/>
    <n v="30"/>
    <n v="20"/>
    <n v="11"/>
    <n v="39"/>
    <n v="0"/>
    <n v="6"/>
    <x v="9"/>
    <n v="296.55"/>
    <n v="388.38"/>
    <x v="5"/>
  </r>
  <r>
    <x v="161"/>
    <s v="P1072"/>
    <x v="71"/>
    <x v="2"/>
    <x v="0"/>
    <n v="245"/>
    <n v="190"/>
    <n v="122"/>
    <n v="313"/>
    <n v="0"/>
    <n v="12"/>
    <x v="5"/>
    <n v="6.71"/>
    <n v="8.9"/>
    <x v="5"/>
  </r>
  <r>
    <x v="162"/>
    <s v="P1002"/>
    <x v="18"/>
    <x v="0"/>
    <x v="3"/>
    <n v="98"/>
    <n v="47"/>
    <n v="25"/>
    <n v="120"/>
    <n v="0"/>
    <n v="3"/>
    <x v="6"/>
    <n v="129.91"/>
    <n v="166.65"/>
    <x v="5"/>
  </r>
  <r>
    <x v="162"/>
    <s v="P1019"/>
    <x v="66"/>
    <x v="3"/>
    <x v="2"/>
    <n v="210"/>
    <n v="94"/>
    <n v="21"/>
    <n v="283"/>
    <n v="0"/>
    <n v="4"/>
    <x v="7"/>
    <n v="63.47"/>
    <n v="88.08"/>
    <x v="5"/>
  </r>
  <r>
    <x v="162"/>
    <s v="P1022"/>
    <x v="53"/>
    <x v="3"/>
    <x v="2"/>
    <n v="129"/>
    <n v="75"/>
    <n v="105"/>
    <n v="99"/>
    <n v="0"/>
    <n v="11"/>
    <x v="7"/>
    <n v="72.459999999999994"/>
    <n v="86.85"/>
    <x v="5"/>
  </r>
  <r>
    <x v="162"/>
    <s v="P1050"/>
    <x v="72"/>
    <x v="4"/>
    <x v="2"/>
    <n v="52"/>
    <n v="18"/>
    <n v="16"/>
    <n v="54"/>
    <n v="0"/>
    <n v="11"/>
    <x v="14"/>
    <n v="39.97"/>
    <n v="60.85"/>
    <x v="5"/>
  </r>
  <r>
    <x v="162"/>
    <s v="P1052"/>
    <x v="60"/>
    <x v="4"/>
    <x v="0"/>
    <n v="62"/>
    <n v="8"/>
    <n v="12"/>
    <n v="58"/>
    <n v="0"/>
    <n v="3"/>
    <x v="8"/>
    <n v="147.54"/>
    <n v="192.88"/>
    <x v="5"/>
  </r>
  <r>
    <x v="162"/>
    <s v="P1079"/>
    <x v="8"/>
    <x v="2"/>
    <x v="2"/>
    <n v="145"/>
    <n v="47"/>
    <n v="95"/>
    <n v="97"/>
    <n v="0"/>
    <n v="3"/>
    <x v="5"/>
    <n v="20.64"/>
    <n v="23.94"/>
    <x v="5"/>
  </r>
  <r>
    <x v="163"/>
    <s v="P1019"/>
    <x v="66"/>
    <x v="3"/>
    <x v="3"/>
    <n v="183"/>
    <n v="131"/>
    <n v="54"/>
    <n v="260"/>
    <n v="0"/>
    <n v="14"/>
    <x v="10"/>
    <n v="31.1"/>
    <n v="43.28"/>
    <x v="5"/>
  </r>
  <r>
    <x v="163"/>
    <s v="P1022"/>
    <x v="53"/>
    <x v="3"/>
    <x v="1"/>
    <n v="132"/>
    <n v="72"/>
    <n v="95"/>
    <n v="109"/>
    <n v="0"/>
    <n v="14"/>
    <x v="12"/>
    <n v="23.07"/>
    <n v="31.85"/>
    <x v="5"/>
  </r>
  <r>
    <x v="163"/>
    <s v="P1035"/>
    <x v="42"/>
    <x v="1"/>
    <x v="3"/>
    <n v="259"/>
    <n v="165"/>
    <n v="196"/>
    <n v="228"/>
    <n v="0"/>
    <n v="5"/>
    <x v="13"/>
    <n v="17.920000000000002"/>
    <n v="21.61"/>
    <x v="5"/>
  </r>
  <r>
    <x v="163"/>
    <s v="P1037"/>
    <x v="59"/>
    <x v="1"/>
    <x v="3"/>
    <n v="381"/>
    <n v="93"/>
    <n v="93"/>
    <n v="381"/>
    <n v="0"/>
    <n v="7"/>
    <x v="13"/>
    <n v="23.95"/>
    <n v="29.68"/>
    <x v="5"/>
  </r>
  <r>
    <x v="163"/>
    <s v="P1053"/>
    <x v="39"/>
    <x v="4"/>
    <x v="0"/>
    <n v="30"/>
    <n v="20"/>
    <n v="7"/>
    <n v="43"/>
    <n v="0"/>
    <n v="8"/>
    <x v="8"/>
    <n v="309.12"/>
    <n v="416.51"/>
    <x v="5"/>
  </r>
  <r>
    <x v="163"/>
    <s v="P1063"/>
    <x v="12"/>
    <x v="4"/>
    <x v="2"/>
    <n v="44"/>
    <n v="20"/>
    <n v="18"/>
    <n v="46"/>
    <n v="0"/>
    <n v="14"/>
    <x v="14"/>
    <n v="210.54"/>
    <n v="270.12"/>
    <x v="5"/>
  </r>
  <r>
    <x v="163"/>
    <s v="P1063"/>
    <x v="12"/>
    <x v="4"/>
    <x v="1"/>
    <n v="19"/>
    <n v="16"/>
    <n v="10"/>
    <n v="25"/>
    <n v="0"/>
    <n v="14"/>
    <x v="14"/>
    <n v="334.22"/>
    <n v="432.68"/>
    <x v="5"/>
  </r>
  <r>
    <x v="164"/>
    <s v="P1031"/>
    <x v="76"/>
    <x v="3"/>
    <x v="1"/>
    <n v="141"/>
    <n v="120"/>
    <n v="82"/>
    <n v="179"/>
    <n v="0"/>
    <n v="9"/>
    <x v="7"/>
    <n v="82.74"/>
    <n v="100.5"/>
    <x v="5"/>
  </r>
  <r>
    <x v="164"/>
    <s v="P1044"/>
    <x v="48"/>
    <x v="1"/>
    <x v="3"/>
    <n v="419"/>
    <n v="200"/>
    <n v="48"/>
    <n v="571"/>
    <n v="0"/>
    <n v="2"/>
    <x v="2"/>
    <n v="8.7100000000000009"/>
    <n v="11"/>
    <x v="5"/>
  </r>
  <r>
    <x v="164"/>
    <s v="P1055"/>
    <x v="51"/>
    <x v="4"/>
    <x v="1"/>
    <n v="31"/>
    <n v="7"/>
    <n v="7"/>
    <n v="31"/>
    <n v="0"/>
    <n v="12"/>
    <x v="14"/>
    <n v="291.7"/>
    <n v="350.38"/>
    <x v="5"/>
  </r>
  <r>
    <x v="164"/>
    <s v="P1056"/>
    <x v="56"/>
    <x v="4"/>
    <x v="3"/>
    <n v="34"/>
    <n v="6"/>
    <n v="12"/>
    <n v="28"/>
    <n v="0"/>
    <n v="5"/>
    <x v="9"/>
    <n v="221.05"/>
    <n v="274.3"/>
    <x v="5"/>
  </r>
  <r>
    <x v="164"/>
    <s v="P1080"/>
    <x v="79"/>
    <x v="2"/>
    <x v="0"/>
    <n v="113"/>
    <n v="190"/>
    <n v="47"/>
    <n v="256"/>
    <n v="0"/>
    <n v="9"/>
    <x v="3"/>
    <n v="25.27"/>
    <n v="39.119999999999997"/>
    <x v="5"/>
  </r>
  <r>
    <x v="165"/>
    <s v="P1053"/>
    <x v="39"/>
    <x v="4"/>
    <x v="3"/>
    <n v="39"/>
    <n v="24"/>
    <n v="16"/>
    <n v="47"/>
    <n v="0"/>
    <n v="13"/>
    <x v="9"/>
    <n v="137.96"/>
    <n v="195.35"/>
    <x v="5"/>
  </r>
  <r>
    <x v="165"/>
    <s v="P1059"/>
    <x v="11"/>
    <x v="4"/>
    <x v="0"/>
    <n v="19"/>
    <n v="21"/>
    <n v="18"/>
    <n v="22"/>
    <n v="0"/>
    <n v="13"/>
    <x v="14"/>
    <n v="29.75"/>
    <n v="38.5"/>
    <x v="5"/>
  </r>
  <r>
    <x v="166"/>
    <s v="P1003"/>
    <x v="64"/>
    <x v="0"/>
    <x v="0"/>
    <n v="41"/>
    <n v="81"/>
    <n v="52"/>
    <n v="70"/>
    <n v="0"/>
    <n v="2"/>
    <x v="0"/>
    <n v="57.43"/>
    <n v="87.14"/>
    <x v="5"/>
  </r>
  <r>
    <x v="166"/>
    <s v="P1009"/>
    <x v="1"/>
    <x v="0"/>
    <x v="0"/>
    <n v="175"/>
    <n v="34"/>
    <n v="78"/>
    <n v="131"/>
    <n v="0"/>
    <n v="11"/>
    <x v="1"/>
    <n v="32.25"/>
    <n v="42.16"/>
    <x v="5"/>
  </r>
  <r>
    <x v="166"/>
    <s v="P1009"/>
    <x v="1"/>
    <x v="0"/>
    <x v="1"/>
    <n v="24"/>
    <n v="71"/>
    <n v="73"/>
    <n v="22"/>
    <n v="0"/>
    <n v="5"/>
    <x v="0"/>
    <n v="154.69999999999999"/>
    <n v="181.84"/>
    <x v="5"/>
  </r>
  <r>
    <x v="166"/>
    <s v="P1017"/>
    <x v="45"/>
    <x v="3"/>
    <x v="3"/>
    <n v="107"/>
    <n v="65"/>
    <n v="76"/>
    <n v="96"/>
    <n v="0"/>
    <n v="11"/>
    <x v="7"/>
    <n v="57.15"/>
    <n v="82.38"/>
    <x v="5"/>
  </r>
  <r>
    <x v="166"/>
    <s v="P1055"/>
    <x v="51"/>
    <x v="4"/>
    <x v="2"/>
    <n v="80"/>
    <n v="7"/>
    <n v="3"/>
    <n v="84"/>
    <n v="0"/>
    <n v="14"/>
    <x v="9"/>
    <n v="111.49"/>
    <n v="165.37"/>
    <x v="5"/>
  </r>
  <r>
    <x v="167"/>
    <s v="P1012"/>
    <x v="41"/>
    <x v="0"/>
    <x v="2"/>
    <n v="101"/>
    <n v="63"/>
    <n v="16"/>
    <n v="148"/>
    <n v="0"/>
    <n v="2"/>
    <x v="0"/>
    <n v="92.48"/>
    <n v="123.5"/>
    <x v="5"/>
  </r>
  <r>
    <x v="167"/>
    <s v="P1037"/>
    <x v="59"/>
    <x v="1"/>
    <x v="3"/>
    <n v="483"/>
    <n v="155"/>
    <n v="106"/>
    <n v="532"/>
    <n v="0"/>
    <n v="2"/>
    <x v="2"/>
    <n v="21.32"/>
    <n v="30.93"/>
    <x v="5"/>
  </r>
  <r>
    <x v="168"/>
    <s v="P1002"/>
    <x v="18"/>
    <x v="0"/>
    <x v="0"/>
    <n v="160"/>
    <n v="55"/>
    <n v="37"/>
    <n v="178"/>
    <n v="0"/>
    <n v="6"/>
    <x v="0"/>
    <n v="106.19"/>
    <n v="150.51"/>
    <x v="5"/>
  </r>
  <r>
    <x v="168"/>
    <s v="P1009"/>
    <x v="1"/>
    <x v="0"/>
    <x v="3"/>
    <n v="40"/>
    <n v="66"/>
    <n v="57"/>
    <n v="49"/>
    <n v="0"/>
    <n v="5"/>
    <x v="6"/>
    <n v="207.35"/>
    <n v="310.70999999999998"/>
    <x v="5"/>
  </r>
  <r>
    <x v="168"/>
    <s v="P1019"/>
    <x v="66"/>
    <x v="3"/>
    <x v="1"/>
    <n v="186"/>
    <n v="137"/>
    <n v="135"/>
    <n v="188"/>
    <n v="0"/>
    <n v="13"/>
    <x v="7"/>
    <n v="54.9"/>
    <n v="84.79"/>
    <x v="5"/>
  </r>
  <r>
    <x v="168"/>
    <s v="P1029"/>
    <x v="63"/>
    <x v="3"/>
    <x v="2"/>
    <n v="261"/>
    <n v="71"/>
    <n v="125"/>
    <n v="207"/>
    <n v="0"/>
    <n v="11"/>
    <x v="7"/>
    <n v="21.41"/>
    <n v="28.35"/>
    <x v="5"/>
  </r>
  <r>
    <x v="168"/>
    <s v="P1045"/>
    <x v="15"/>
    <x v="1"/>
    <x v="3"/>
    <n v="333"/>
    <n v="219"/>
    <n v="176"/>
    <n v="376"/>
    <n v="0"/>
    <n v="3"/>
    <x v="11"/>
    <n v="7.19"/>
    <n v="8.33"/>
    <x v="5"/>
  </r>
  <r>
    <x v="168"/>
    <s v="P1047"/>
    <x v="55"/>
    <x v="1"/>
    <x v="0"/>
    <n v="464"/>
    <n v="64"/>
    <n v="62"/>
    <n v="466"/>
    <n v="0"/>
    <n v="6"/>
    <x v="13"/>
    <n v="15.53"/>
    <n v="19.18"/>
    <x v="5"/>
  </r>
  <r>
    <x v="168"/>
    <s v="P1062"/>
    <x v="68"/>
    <x v="4"/>
    <x v="2"/>
    <n v="24"/>
    <n v="11"/>
    <n v="10"/>
    <n v="25"/>
    <n v="0"/>
    <n v="9"/>
    <x v="14"/>
    <n v="275.23"/>
    <n v="377.8"/>
    <x v="5"/>
  </r>
  <r>
    <x v="168"/>
    <s v="P1069"/>
    <x v="17"/>
    <x v="2"/>
    <x v="1"/>
    <n v="390"/>
    <n v="211"/>
    <n v="139"/>
    <n v="462"/>
    <n v="0"/>
    <n v="7"/>
    <x v="3"/>
    <n v="3.75"/>
    <n v="5.81"/>
    <x v="5"/>
  </r>
  <r>
    <x v="168"/>
    <s v="P1073"/>
    <x v="78"/>
    <x v="2"/>
    <x v="1"/>
    <n v="153"/>
    <n v="202"/>
    <n v="27"/>
    <n v="328"/>
    <n v="0"/>
    <n v="6"/>
    <x v="5"/>
    <n v="3.81"/>
    <n v="4.6500000000000004"/>
    <x v="5"/>
  </r>
  <r>
    <x v="169"/>
    <s v="P1018"/>
    <x v="46"/>
    <x v="3"/>
    <x v="1"/>
    <n v="239"/>
    <n v="121"/>
    <n v="38"/>
    <n v="322"/>
    <n v="0"/>
    <n v="8"/>
    <x v="12"/>
    <n v="44.09"/>
    <n v="64.739999999999995"/>
    <x v="5"/>
  </r>
  <r>
    <x v="169"/>
    <s v="P1059"/>
    <x v="11"/>
    <x v="4"/>
    <x v="0"/>
    <n v="20"/>
    <n v="10"/>
    <n v="18"/>
    <n v="12"/>
    <n v="0"/>
    <n v="10"/>
    <x v="9"/>
    <n v="248.67"/>
    <n v="364.05"/>
    <x v="5"/>
  </r>
  <r>
    <x v="169"/>
    <s v="P1062"/>
    <x v="68"/>
    <x v="4"/>
    <x v="0"/>
    <n v="22"/>
    <n v="3"/>
    <n v="4"/>
    <n v="21"/>
    <n v="0"/>
    <n v="13"/>
    <x v="8"/>
    <n v="311.63"/>
    <n v="411.66"/>
    <x v="5"/>
  </r>
  <r>
    <x v="169"/>
    <s v="P1076"/>
    <x v="7"/>
    <x v="2"/>
    <x v="0"/>
    <n v="103"/>
    <n v="194"/>
    <n v="126"/>
    <n v="171"/>
    <n v="0"/>
    <n v="10"/>
    <x v="3"/>
    <n v="24.89"/>
    <n v="35.42"/>
    <x v="5"/>
  </r>
  <r>
    <x v="170"/>
    <s v="P1032"/>
    <x v="58"/>
    <x v="3"/>
    <x v="3"/>
    <n v="47"/>
    <n v="110"/>
    <n v="96"/>
    <n v="61"/>
    <n v="0"/>
    <n v="14"/>
    <x v="7"/>
    <n v="76.03"/>
    <n v="88.67"/>
    <x v="5"/>
  </r>
  <r>
    <x v="170"/>
    <s v="P1039"/>
    <x v="30"/>
    <x v="1"/>
    <x v="3"/>
    <n v="328"/>
    <n v="191"/>
    <n v="38"/>
    <n v="481"/>
    <n v="0"/>
    <n v="5"/>
    <x v="2"/>
    <n v="18.809999999999999"/>
    <n v="22.74"/>
    <x v="5"/>
  </r>
  <r>
    <x v="170"/>
    <s v="P1053"/>
    <x v="39"/>
    <x v="4"/>
    <x v="1"/>
    <n v="49"/>
    <n v="20"/>
    <n v="5"/>
    <n v="64"/>
    <n v="0"/>
    <n v="14"/>
    <x v="14"/>
    <n v="125.31"/>
    <n v="150.63999999999999"/>
    <x v="5"/>
  </r>
  <r>
    <x v="170"/>
    <s v="P1060"/>
    <x v="16"/>
    <x v="4"/>
    <x v="1"/>
    <n v="78"/>
    <n v="3"/>
    <n v="15"/>
    <n v="66"/>
    <n v="0"/>
    <n v="8"/>
    <x v="14"/>
    <n v="331.95"/>
    <n v="466.95"/>
    <x v="5"/>
  </r>
  <r>
    <x v="170"/>
    <s v="P1063"/>
    <x v="12"/>
    <x v="4"/>
    <x v="0"/>
    <n v="34"/>
    <n v="14"/>
    <n v="13"/>
    <n v="35"/>
    <n v="0"/>
    <n v="6"/>
    <x v="14"/>
    <n v="339.56"/>
    <n v="511.36"/>
    <x v="5"/>
  </r>
  <r>
    <x v="170"/>
    <s v="P1079"/>
    <x v="8"/>
    <x v="2"/>
    <x v="1"/>
    <n v="241"/>
    <n v="203"/>
    <n v="74"/>
    <n v="370"/>
    <n v="0"/>
    <n v="13"/>
    <x v="5"/>
    <n v="4.93"/>
    <n v="7.15"/>
    <x v="5"/>
  </r>
  <r>
    <x v="171"/>
    <s v="P1004"/>
    <x v="57"/>
    <x v="0"/>
    <x v="1"/>
    <n v="106"/>
    <n v="50"/>
    <n v="79"/>
    <n v="77"/>
    <n v="0"/>
    <n v="11"/>
    <x v="1"/>
    <n v="127.53"/>
    <n v="156.31"/>
    <x v="5"/>
  </r>
  <r>
    <x v="171"/>
    <s v="P1012"/>
    <x v="41"/>
    <x v="0"/>
    <x v="3"/>
    <n v="176"/>
    <n v="28"/>
    <n v="70"/>
    <n v="134"/>
    <n v="0"/>
    <n v="10"/>
    <x v="6"/>
    <n v="195.92"/>
    <n v="261.85000000000002"/>
    <x v="5"/>
  </r>
  <r>
    <x v="171"/>
    <s v="P1047"/>
    <x v="55"/>
    <x v="1"/>
    <x v="1"/>
    <n v="443"/>
    <n v="151"/>
    <n v="172"/>
    <n v="422"/>
    <n v="0"/>
    <n v="7"/>
    <x v="13"/>
    <n v="13.35"/>
    <n v="15.37"/>
    <x v="5"/>
  </r>
  <r>
    <x v="171"/>
    <s v="P1048"/>
    <x v="74"/>
    <x v="1"/>
    <x v="2"/>
    <n v="410"/>
    <n v="208"/>
    <n v="214"/>
    <n v="404"/>
    <n v="0"/>
    <n v="5"/>
    <x v="13"/>
    <n v="23.39"/>
    <n v="30.49"/>
    <x v="5"/>
  </r>
  <r>
    <x v="171"/>
    <s v="P1055"/>
    <x v="51"/>
    <x v="4"/>
    <x v="0"/>
    <n v="61"/>
    <n v="8"/>
    <n v="2"/>
    <n v="67"/>
    <n v="0"/>
    <n v="7"/>
    <x v="8"/>
    <n v="158.47"/>
    <n v="195.53"/>
    <x v="5"/>
  </r>
  <r>
    <x v="171"/>
    <s v="P1062"/>
    <x v="68"/>
    <x v="4"/>
    <x v="3"/>
    <n v="60"/>
    <n v="21"/>
    <n v="3"/>
    <n v="78"/>
    <n v="0"/>
    <n v="11"/>
    <x v="8"/>
    <n v="307.73"/>
    <n v="369.42"/>
    <x v="5"/>
  </r>
  <r>
    <x v="171"/>
    <s v="P1065"/>
    <x v="25"/>
    <x v="2"/>
    <x v="0"/>
    <n v="62"/>
    <n v="145"/>
    <n v="113"/>
    <n v="94"/>
    <n v="0"/>
    <n v="5"/>
    <x v="5"/>
    <n v="14.59"/>
    <n v="20.9"/>
    <x v="5"/>
  </r>
  <r>
    <x v="171"/>
    <s v="P1070"/>
    <x v="13"/>
    <x v="2"/>
    <x v="1"/>
    <n v="377"/>
    <n v="77"/>
    <n v="76"/>
    <n v="378"/>
    <n v="0"/>
    <n v="6"/>
    <x v="5"/>
    <n v="25.15"/>
    <n v="32.21"/>
    <x v="5"/>
  </r>
  <r>
    <x v="171"/>
    <s v="P1079"/>
    <x v="8"/>
    <x v="2"/>
    <x v="1"/>
    <n v="317"/>
    <n v="156"/>
    <n v="149"/>
    <n v="324"/>
    <n v="0"/>
    <n v="11"/>
    <x v="4"/>
    <n v="25.68"/>
    <n v="33.08"/>
    <x v="5"/>
  </r>
  <r>
    <x v="172"/>
    <s v="P1004"/>
    <x v="57"/>
    <x v="0"/>
    <x v="2"/>
    <n v="137"/>
    <n v="37"/>
    <n v="23"/>
    <n v="151"/>
    <n v="0"/>
    <n v="12"/>
    <x v="6"/>
    <n v="211.51"/>
    <n v="305.39999999999998"/>
    <x v="5"/>
  </r>
  <r>
    <x v="172"/>
    <s v="P1027"/>
    <x v="26"/>
    <x v="3"/>
    <x v="2"/>
    <n v="57"/>
    <n v="62"/>
    <n v="87"/>
    <n v="32"/>
    <n v="0"/>
    <n v="13"/>
    <x v="10"/>
    <n v="14.29"/>
    <n v="16.46"/>
    <x v="5"/>
  </r>
  <r>
    <x v="172"/>
    <s v="P1059"/>
    <x v="11"/>
    <x v="4"/>
    <x v="0"/>
    <n v="16"/>
    <n v="14"/>
    <n v="8"/>
    <n v="22"/>
    <n v="0"/>
    <n v="8"/>
    <x v="8"/>
    <n v="307.02999999999997"/>
    <n v="398.54"/>
    <x v="5"/>
  </r>
  <r>
    <x v="172"/>
    <s v="P1060"/>
    <x v="16"/>
    <x v="4"/>
    <x v="0"/>
    <n v="10"/>
    <n v="24"/>
    <n v="3"/>
    <n v="31"/>
    <n v="0"/>
    <n v="7"/>
    <x v="8"/>
    <n v="237.93"/>
    <n v="298.39"/>
    <x v="5"/>
  </r>
  <r>
    <x v="173"/>
    <s v="P1003"/>
    <x v="64"/>
    <x v="0"/>
    <x v="2"/>
    <n v="169"/>
    <n v="57"/>
    <n v="41"/>
    <n v="185"/>
    <n v="0"/>
    <n v="4"/>
    <x v="1"/>
    <n v="139.44999999999999"/>
    <n v="190.86"/>
    <x v="5"/>
  </r>
  <r>
    <x v="173"/>
    <s v="P1057"/>
    <x v="36"/>
    <x v="4"/>
    <x v="2"/>
    <n v="58"/>
    <n v="20"/>
    <n v="13"/>
    <n v="65"/>
    <n v="0"/>
    <n v="14"/>
    <x v="8"/>
    <n v="245.56"/>
    <n v="323.74"/>
    <x v="5"/>
  </r>
  <r>
    <x v="173"/>
    <s v="P1060"/>
    <x v="16"/>
    <x v="4"/>
    <x v="1"/>
    <n v="68"/>
    <n v="24"/>
    <n v="15"/>
    <n v="77"/>
    <n v="0"/>
    <n v="5"/>
    <x v="14"/>
    <n v="315.85000000000002"/>
    <n v="448.41"/>
    <x v="5"/>
  </r>
  <r>
    <x v="173"/>
    <s v="P1062"/>
    <x v="68"/>
    <x v="4"/>
    <x v="0"/>
    <n v="60"/>
    <n v="16"/>
    <n v="14"/>
    <n v="62"/>
    <n v="0"/>
    <n v="5"/>
    <x v="9"/>
    <n v="292.58999999999997"/>
    <n v="416.13"/>
    <x v="5"/>
  </r>
  <r>
    <x v="173"/>
    <s v="P1074"/>
    <x v="6"/>
    <x v="2"/>
    <x v="2"/>
    <n v="87"/>
    <n v="185"/>
    <n v="131"/>
    <n v="141"/>
    <n v="0"/>
    <n v="14"/>
    <x v="3"/>
    <n v="18.39"/>
    <n v="22.45"/>
    <x v="5"/>
  </r>
  <r>
    <x v="174"/>
    <s v="P1013"/>
    <x v="2"/>
    <x v="0"/>
    <x v="2"/>
    <n v="52"/>
    <n v="39"/>
    <n v="36"/>
    <n v="55"/>
    <n v="0"/>
    <n v="11"/>
    <x v="0"/>
    <n v="195.74"/>
    <n v="234.61"/>
    <x v="5"/>
  </r>
  <r>
    <x v="174"/>
    <s v="P1025"/>
    <x v="20"/>
    <x v="3"/>
    <x v="1"/>
    <n v="142"/>
    <n v="104"/>
    <n v="70"/>
    <n v="176"/>
    <n v="0"/>
    <n v="5"/>
    <x v="12"/>
    <n v="26.89"/>
    <n v="30.94"/>
    <x v="5"/>
  </r>
  <r>
    <x v="174"/>
    <s v="P1046"/>
    <x v="49"/>
    <x v="1"/>
    <x v="0"/>
    <n v="468"/>
    <n v="135"/>
    <n v="207"/>
    <n v="396"/>
    <n v="0"/>
    <n v="5"/>
    <x v="11"/>
    <n v="15.58"/>
    <n v="22.25"/>
    <x v="5"/>
  </r>
  <r>
    <x v="174"/>
    <s v="P1068"/>
    <x v="33"/>
    <x v="2"/>
    <x v="1"/>
    <n v="254"/>
    <n v="112"/>
    <n v="152"/>
    <n v="214"/>
    <n v="0"/>
    <n v="12"/>
    <x v="3"/>
    <n v="18.59"/>
    <n v="25.87"/>
    <x v="5"/>
  </r>
  <r>
    <x v="174"/>
    <s v="P1075"/>
    <x v="44"/>
    <x v="2"/>
    <x v="2"/>
    <n v="215"/>
    <n v="82"/>
    <n v="87"/>
    <n v="210"/>
    <n v="0"/>
    <n v="13"/>
    <x v="5"/>
    <n v="17.989999999999998"/>
    <n v="21.98"/>
    <x v="5"/>
  </r>
  <r>
    <x v="175"/>
    <s v="P1001"/>
    <x v="34"/>
    <x v="0"/>
    <x v="2"/>
    <n v="31"/>
    <n v="90"/>
    <n v="78"/>
    <n v="43"/>
    <n v="0"/>
    <n v="3"/>
    <x v="0"/>
    <n v="52.68"/>
    <n v="67.5"/>
    <x v="5"/>
  </r>
  <r>
    <x v="175"/>
    <s v="P1032"/>
    <x v="58"/>
    <x v="3"/>
    <x v="2"/>
    <n v="176"/>
    <n v="39"/>
    <n v="48"/>
    <n v="167"/>
    <n v="0"/>
    <n v="4"/>
    <x v="10"/>
    <n v="56.02"/>
    <n v="76.62"/>
    <x v="5"/>
  </r>
  <r>
    <x v="175"/>
    <s v="P1051"/>
    <x v="31"/>
    <x v="4"/>
    <x v="3"/>
    <n v="60"/>
    <n v="9"/>
    <n v="7"/>
    <n v="62"/>
    <n v="0"/>
    <n v="4"/>
    <x v="9"/>
    <n v="135.5"/>
    <n v="202.96"/>
    <x v="5"/>
  </r>
  <r>
    <x v="175"/>
    <s v="P1054"/>
    <x v="43"/>
    <x v="4"/>
    <x v="2"/>
    <n v="51"/>
    <n v="16"/>
    <n v="1"/>
    <n v="66"/>
    <n v="0"/>
    <n v="12"/>
    <x v="9"/>
    <n v="142.84"/>
    <n v="168.06"/>
    <x v="5"/>
  </r>
  <r>
    <x v="175"/>
    <s v="P1057"/>
    <x v="36"/>
    <x v="4"/>
    <x v="1"/>
    <n v="65"/>
    <n v="13"/>
    <n v="7"/>
    <n v="71"/>
    <n v="0"/>
    <n v="5"/>
    <x v="9"/>
    <n v="70.510000000000005"/>
    <n v="90.17"/>
    <x v="5"/>
  </r>
  <r>
    <x v="175"/>
    <s v="P1072"/>
    <x v="71"/>
    <x v="2"/>
    <x v="2"/>
    <n v="213"/>
    <n v="212"/>
    <n v="62"/>
    <n v="363"/>
    <n v="0"/>
    <n v="14"/>
    <x v="5"/>
    <n v="11.44"/>
    <n v="17.45"/>
    <x v="5"/>
  </r>
  <r>
    <x v="175"/>
    <s v="P1073"/>
    <x v="78"/>
    <x v="2"/>
    <x v="1"/>
    <n v="227"/>
    <n v="195"/>
    <n v="99"/>
    <n v="323"/>
    <n v="0"/>
    <n v="14"/>
    <x v="4"/>
    <n v="25.81"/>
    <n v="34.99"/>
    <x v="5"/>
  </r>
  <r>
    <x v="175"/>
    <s v="P1074"/>
    <x v="6"/>
    <x v="2"/>
    <x v="1"/>
    <n v="244"/>
    <n v="136"/>
    <n v="41"/>
    <n v="339"/>
    <n v="0"/>
    <n v="10"/>
    <x v="5"/>
    <n v="29.91"/>
    <n v="36.590000000000003"/>
    <x v="5"/>
  </r>
  <r>
    <x v="175"/>
    <s v="P1074"/>
    <x v="6"/>
    <x v="2"/>
    <x v="3"/>
    <n v="179"/>
    <n v="97"/>
    <n v="80"/>
    <n v="196"/>
    <n v="0"/>
    <n v="14"/>
    <x v="5"/>
    <n v="3.32"/>
    <n v="4.95"/>
    <x v="5"/>
  </r>
  <r>
    <x v="176"/>
    <s v="P1005"/>
    <x v="62"/>
    <x v="0"/>
    <x v="1"/>
    <n v="128"/>
    <n v="64"/>
    <n v="68"/>
    <n v="124"/>
    <n v="0"/>
    <n v="12"/>
    <x v="1"/>
    <n v="209.29"/>
    <n v="252.5"/>
    <x v="5"/>
  </r>
  <r>
    <x v="176"/>
    <s v="P1018"/>
    <x v="46"/>
    <x v="3"/>
    <x v="1"/>
    <n v="146"/>
    <n v="91"/>
    <n v="74"/>
    <n v="163"/>
    <n v="0"/>
    <n v="14"/>
    <x v="10"/>
    <n v="31.42"/>
    <n v="39.54"/>
    <x v="5"/>
  </r>
  <r>
    <x v="176"/>
    <s v="P1032"/>
    <x v="58"/>
    <x v="3"/>
    <x v="2"/>
    <n v="98"/>
    <n v="116"/>
    <n v="28"/>
    <n v="186"/>
    <n v="0"/>
    <n v="6"/>
    <x v="7"/>
    <n v="67.05"/>
    <n v="95.24"/>
    <x v="5"/>
  </r>
  <r>
    <x v="176"/>
    <s v="P1033"/>
    <x v="27"/>
    <x v="1"/>
    <x v="0"/>
    <n v="472"/>
    <n v="230"/>
    <n v="98"/>
    <n v="604"/>
    <n v="0"/>
    <n v="5"/>
    <x v="11"/>
    <n v="23.36"/>
    <n v="32.380000000000003"/>
    <x v="5"/>
  </r>
  <r>
    <x v="176"/>
    <s v="P1036"/>
    <x v="75"/>
    <x v="1"/>
    <x v="2"/>
    <n v="182"/>
    <n v="179"/>
    <n v="26"/>
    <n v="335"/>
    <n v="0"/>
    <n v="3"/>
    <x v="11"/>
    <n v="15.09"/>
    <n v="22.91"/>
    <x v="5"/>
  </r>
  <r>
    <x v="176"/>
    <s v="P1058"/>
    <x v="52"/>
    <x v="4"/>
    <x v="3"/>
    <n v="15"/>
    <n v="25"/>
    <n v="14"/>
    <n v="26"/>
    <n v="0"/>
    <n v="13"/>
    <x v="9"/>
    <n v="148.19"/>
    <n v="224.66"/>
    <x v="5"/>
  </r>
  <r>
    <x v="177"/>
    <s v="P1005"/>
    <x v="62"/>
    <x v="0"/>
    <x v="2"/>
    <n v="151"/>
    <n v="72"/>
    <n v="72"/>
    <n v="151"/>
    <n v="0"/>
    <n v="2"/>
    <x v="0"/>
    <n v="164.32"/>
    <n v="211.7"/>
    <x v="5"/>
  </r>
  <r>
    <x v="177"/>
    <s v="P1028"/>
    <x v="29"/>
    <x v="3"/>
    <x v="0"/>
    <n v="253"/>
    <n v="139"/>
    <n v="88"/>
    <n v="304"/>
    <n v="0"/>
    <n v="7"/>
    <x v="12"/>
    <n v="21.25"/>
    <n v="26.61"/>
    <x v="5"/>
  </r>
  <r>
    <x v="177"/>
    <s v="P1029"/>
    <x v="63"/>
    <x v="3"/>
    <x v="0"/>
    <n v="265"/>
    <n v="83"/>
    <n v="57"/>
    <n v="291"/>
    <n v="0"/>
    <n v="11"/>
    <x v="7"/>
    <n v="79.75"/>
    <n v="101.33"/>
    <x v="5"/>
  </r>
  <r>
    <x v="177"/>
    <s v="P1032"/>
    <x v="58"/>
    <x v="3"/>
    <x v="2"/>
    <n v="95"/>
    <n v="82"/>
    <n v="24"/>
    <n v="153"/>
    <n v="0"/>
    <n v="14"/>
    <x v="10"/>
    <n v="81.680000000000007"/>
    <n v="123.21"/>
    <x v="5"/>
  </r>
  <r>
    <x v="177"/>
    <s v="P1063"/>
    <x v="12"/>
    <x v="4"/>
    <x v="1"/>
    <n v="46"/>
    <n v="8"/>
    <n v="19"/>
    <n v="35"/>
    <n v="0"/>
    <n v="7"/>
    <x v="14"/>
    <n v="163.99"/>
    <n v="227.69"/>
    <x v="5"/>
  </r>
  <r>
    <x v="177"/>
    <s v="P1072"/>
    <x v="71"/>
    <x v="2"/>
    <x v="3"/>
    <n v="373"/>
    <n v="123"/>
    <n v="55"/>
    <n v="441"/>
    <n v="0"/>
    <n v="10"/>
    <x v="3"/>
    <n v="21.44"/>
    <n v="32.42"/>
    <x v="5"/>
  </r>
  <r>
    <x v="178"/>
    <s v="P1011"/>
    <x v="37"/>
    <x v="0"/>
    <x v="3"/>
    <n v="44"/>
    <n v="10"/>
    <n v="36"/>
    <n v="18"/>
    <n v="0"/>
    <n v="11"/>
    <x v="6"/>
    <n v="215.54"/>
    <n v="261.54000000000002"/>
    <x v="5"/>
  </r>
  <r>
    <x v="178"/>
    <s v="P1027"/>
    <x v="26"/>
    <x v="3"/>
    <x v="3"/>
    <n v="244"/>
    <n v="128"/>
    <n v="48"/>
    <n v="324"/>
    <n v="0"/>
    <n v="10"/>
    <x v="10"/>
    <n v="16.14"/>
    <n v="19.149999999999999"/>
    <x v="5"/>
  </r>
  <r>
    <x v="178"/>
    <s v="P1038"/>
    <x v="4"/>
    <x v="1"/>
    <x v="0"/>
    <n v="163"/>
    <n v="237"/>
    <n v="174"/>
    <n v="226"/>
    <n v="0"/>
    <n v="5"/>
    <x v="11"/>
    <n v="22.76"/>
    <n v="26.78"/>
    <x v="5"/>
  </r>
  <r>
    <x v="178"/>
    <s v="P1050"/>
    <x v="72"/>
    <x v="4"/>
    <x v="2"/>
    <n v="67"/>
    <n v="8"/>
    <n v="15"/>
    <n v="60"/>
    <n v="0"/>
    <n v="4"/>
    <x v="9"/>
    <n v="284.52999999999997"/>
    <n v="339.39"/>
    <x v="5"/>
  </r>
  <r>
    <x v="178"/>
    <s v="P1062"/>
    <x v="68"/>
    <x v="4"/>
    <x v="1"/>
    <n v="38"/>
    <n v="8"/>
    <n v="8"/>
    <n v="38"/>
    <n v="0"/>
    <n v="14"/>
    <x v="8"/>
    <n v="293.26"/>
    <n v="436.36"/>
    <x v="5"/>
  </r>
  <r>
    <x v="178"/>
    <s v="P1071"/>
    <x v="40"/>
    <x v="2"/>
    <x v="1"/>
    <n v="249"/>
    <n v="204"/>
    <n v="31"/>
    <n v="422"/>
    <n v="0"/>
    <n v="2"/>
    <x v="5"/>
    <n v="17.16"/>
    <n v="20.81"/>
    <x v="5"/>
  </r>
  <r>
    <x v="179"/>
    <s v="P1015"/>
    <x v="73"/>
    <x v="0"/>
    <x v="2"/>
    <n v="29"/>
    <n v="62"/>
    <n v="63"/>
    <n v="28"/>
    <n v="0"/>
    <n v="7"/>
    <x v="0"/>
    <n v="207.51"/>
    <n v="239.19"/>
    <x v="5"/>
  </r>
  <r>
    <x v="179"/>
    <s v="P1016"/>
    <x v="35"/>
    <x v="0"/>
    <x v="1"/>
    <n v="55"/>
    <n v="27"/>
    <n v="57"/>
    <n v="25"/>
    <n v="0"/>
    <n v="8"/>
    <x v="1"/>
    <n v="154.09"/>
    <n v="197.12"/>
    <x v="5"/>
  </r>
  <r>
    <x v="179"/>
    <s v="P1055"/>
    <x v="51"/>
    <x v="4"/>
    <x v="2"/>
    <n v="53"/>
    <n v="3"/>
    <n v="5"/>
    <n v="51"/>
    <n v="0"/>
    <n v="10"/>
    <x v="8"/>
    <n v="333.45"/>
    <n v="393.91"/>
    <x v="5"/>
  </r>
  <r>
    <x v="179"/>
    <s v="P1067"/>
    <x v="5"/>
    <x v="2"/>
    <x v="3"/>
    <n v="288"/>
    <n v="119"/>
    <n v="124"/>
    <n v="283"/>
    <n v="0"/>
    <n v="2"/>
    <x v="4"/>
    <n v="4.68"/>
    <n v="5.49"/>
    <x v="5"/>
  </r>
  <r>
    <x v="179"/>
    <s v="P1078"/>
    <x v="65"/>
    <x v="2"/>
    <x v="1"/>
    <n v="94"/>
    <n v="174"/>
    <n v="113"/>
    <n v="155"/>
    <n v="0"/>
    <n v="5"/>
    <x v="4"/>
    <n v="24.5"/>
    <n v="36.29"/>
    <x v="5"/>
  </r>
  <r>
    <x v="180"/>
    <s v="P1021"/>
    <x v="77"/>
    <x v="3"/>
    <x v="0"/>
    <n v="99"/>
    <n v="20"/>
    <n v="74"/>
    <n v="45"/>
    <n v="0"/>
    <n v="2"/>
    <x v="12"/>
    <n v="54.77"/>
    <n v="64.16"/>
    <x v="6"/>
  </r>
  <r>
    <x v="180"/>
    <s v="P1037"/>
    <x v="59"/>
    <x v="1"/>
    <x v="2"/>
    <n v="369"/>
    <n v="160"/>
    <n v="182"/>
    <n v="347"/>
    <n v="0"/>
    <n v="7"/>
    <x v="13"/>
    <n v="19.34"/>
    <n v="23.94"/>
    <x v="6"/>
  </r>
  <r>
    <x v="180"/>
    <s v="P1043"/>
    <x v="21"/>
    <x v="1"/>
    <x v="3"/>
    <n v="297"/>
    <n v="233"/>
    <n v="128"/>
    <n v="402"/>
    <n v="0"/>
    <n v="5"/>
    <x v="13"/>
    <n v="24.67"/>
    <n v="33.840000000000003"/>
    <x v="6"/>
  </r>
  <r>
    <x v="180"/>
    <s v="P1063"/>
    <x v="12"/>
    <x v="4"/>
    <x v="1"/>
    <n v="54"/>
    <n v="7"/>
    <n v="6"/>
    <n v="55"/>
    <n v="0"/>
    <n v="10"/>
    <x v="14"/>
    <n v="51.51"/>
    <n v="61.05"/>
    <x v="6"/>
  </r>
  <r>
    <x v="181"/>
    <s v="P1006"/>
    <x v="19"/>
    <x v="0"/>
    <x v="2"/>
    <n v="31"/>
    <n v="22"/>
    <n v="53"/>
    <n v="0"/>
    <n v="1"/>
    <n v="2"/>
    <x v="0"/>
    <n v="96.34"/>
    <n v="127.41"/>
    <x v="6"/>
  </r>
  <r>
    <x v="181"/>
    <s v="P1007"/>
    <x v="70"/>
    <x v="0"/>
    <x v="2"/>
    <n v="149"/>
    <n v="40"/>
    <n v="34"/>
    <n v="155"/>
    <n v="0"/>
    <n v="13"/>
    <x v="0"/>
    <n v="185.6"/>
    <n v="259.72000000000003"/>
    <x v="6"/>
  </r>
  <r>
    <x v="181"/>
    <s v="P1023"/>
    <x v="24"/>
    <x v="3"/>
    <x v="1"/>
    <n v="113"/>
    <n v="29"/>
    <n v="132"/>
    <n v="10"/>
    <n v="0"/>
    <n v="9"/>
    <x v="7"/>
    <n v="40.36"/>
    <n v="52.43"/>
    <x v="6"/>
  </r>
  <r>
    <x v="181"/>
    <s v="P1039"/>
    <x v="30"/>
    <x v="1"/>
    <x v="3"/>
    <n v="285"/>
    <n v="237"/>
    <n v="159"/>
    <n v="363"/>
    <n v="0"/>
    <n v="1"/>
    <x v="2"/>
    <n v="17.3"/>
    <n v="23.75"/>
    <x v="6"/>
  </r>
  <r>
    <x v="182"/>
    <s v="P1042"/>
    <x v="61"/>
    <x v="1"/>
    <x v="0"/>
    <n v="339"/>
    <n v="174"/>
    <n v="128"/>
    <n v="385"/>
    <n v="0"/>
    <n v="3"/>
    <x v="2"/>
    <n v="6.61"/>
    <n v="7.89"/>
    <x v="6"/>
  </r>
  <r>
    <x v="182"/>
    <s v="P1075"/>
    <x v="44"/>
    <x v="2"/>
    <x v="1"/>
    <n v="263"/>
    <n v="179"/>
    <n v="173"/>
    <n v="269"/>
    <n v="0"/>
    <n v="8"/>
    <x v="4"/>
    <n v="4.47"/>
    <n v="5.55"/>
    <x v="6"/>
  </r>
  <r>
    <x v="182"/>
    <s v="P1078"/>
    <x v="65"/>
    <x v="2"/>
    <x v="0"/>
    <n v="385"/>
    <n v="107"/>
    <n v="104"/>
    <n v="388"/>
    <n v="0"/>
    <n v="8"/>
    <x v="3"/>
    <n v="27.34"/>
    <n v="39.99"/>
    <x v="6"/>
  </r>
  <r>
    <x v="182"/>
    <s v="P1079"/>
    <x v="8"/>
    <x v="2"/>
    <x v="2"/>
    <n v="385"/>
    <n v="154"/>
    <n v="165"/>
    <n v="374"/>
    <n v="0"/>
    <n v="12"/>
    <x v="4"/>
    <n v="19.010000000000002"/>
    <n v="24.16"/>
    <x v="6"/>
  </r>
  <r>
    <x v="183"/>
    <s v="P1064"/>
    <x v="32"/>
    <x v="4"/>
    <x v="1"/>
    <n v="75"/>
    <n v="9"/>
    <n v="19"/>
    <n v="65"/>
    <n v="0"/>
    <n v="8"/>
    <x v="14"/>
    <n v="111.29"/>
    <n v="155.19999999999999"/>
    <x v="6"/>
  </r>
  <r>
    <x v="183"/>
    <s v="P1067"/>
    <x v="5"/>
    <x v="2"/>
    <x v="2"/>
    <n v="72"/>
    <n v="212"/>
    <n v="159"/>
    <n v="125"/>
    <n v="0"/>
    <n v="10"/>
    <x v="4"/>
    <n v="27.69"/>
    <n v="36.729999999999997"/>
    <x v="6"/>
  </r>
  <r>
    <x v="184"/>
    <s v="P1008"/>
    <x v="0"/>
    <x v="0"/>
    <x v="3"/>
    <n v="178"/>
    <n v="19"/>
    <n v="53"/>
    <n v="144"/>
    <n v="0"/>
    <n v="7"/>
    <x v="0"/>
    <n v="34.68"/>
    <n v="44"/>
    <x v="6"/>
  </r>
  <r>
    <x v="184"/>
    <s v="P1030"/>
    <x v="9"/>
    <x v="3"/>
    <x v="0"/>
    <n v="278"/>
    <n v="77"/>
    <n v="54"/>
    <n v="301"/>
    <n v="0"/>
    <n v="2"/>
    <x v="10"/>
    <n v="11.26"/>
    <n v="14.18"/>
    <x v="6"/>
  </r>
  <r>
    <x v="184"/>
    <s v="P1068"/>
    <x v="33"/>
    <x v="2"/>
    <x v="1"/>
    <n v="146"/>
    <n v="143"/>
    <n v="89"/>
    <n v="200"/>
    <n v="0"/>
    <n v="2"/>
    <x v="3"/>
    <n v="28.53"/>
    <n v="42.23"/>
    <x v="6"/>
  </r>
  <r>
    <x v="184"/>
    <s v="P1075"/>
    <x v="44"/>
    <x v="2"/>
    <x v="1"/>
    <n v="154"/>
    <n v="130"/>
    <n v="44"/>
    <n v="240"/>
    <n v="0"/>
    <n v="10"/>
    <x v="4"/>
    <n v="26.96"/>
    <n v="32.61"/>
    <x v="6"/>
  </r>
  <r>
    <x v="184"/>
    <s v="P1076"/>
    <x v="7"/>
    <x v="2"/>
    <x v="1"/>
    <n v="263"/>
    <n v="167"/>
    <n v="58"/>
    <n v="372"/>
    <n v="0"/>
    <n v="12"/>
    <x v="3"/>
    <n v="6.45"/>
    <n v="7.62"/>
    <x v="6"/>
  </r>
  <r>
    <x v="185"/>
    <s v="P1003"/>
    <x v="64"/>
    <x v="0"/>
    <x v="0"/>
    <n v="135"/>
    <n v="65"/>
    <n v="80"/>
    <n v="120"/>
    <n v="0"/>
    <n v="7"/>
    <x v="0"/>
    <n v="108.07"/>
    <n v="154.03"/>
    <x v="6"/>
  </r>
  <r>
    <x v="185"/>
    <s v="P1012"/>
    <x v="41"/>
    <x v="0"/>
    <x v="2"/>
    <n v="106"/>
    <n v="24"/>
    <n v="77"/>
    <n v="53"/>
    <n v="0"/>
    <n v="12"/>
    <x v="1"/>
    <n v="17.39"/>
    <n v="23.87"/>
    <x v="6"/>
  </r>
  <r>
    <x v="185"/>
    <s v="P1025"/>
    <x v="20"/>
    <x v="3"/>
    <x v="1"/>
    <n v="219"/>
    <n v="143"/>
    <n v="27"/>
    <n v="335"/>
    <n v="0"/>
    <n v="11"/>
    <x v="10"/>
    <n v="59.06"/>
    <n v="77.67"/>
    <x v="6"/>
  </r>
  <r>
    <x v="185"/>
    <s v="P1044"/>
    <x v="48"/>
    <x v="1"/>
    <x v="3"/>
    <n v="165"/>
    <n v="91"/>
    <n v="130"/>
    <n v="126"/>
    <n v="0"/>
    <n v="5"/>
    <x v="13"/>
    <n v="20.32"/>
    <n v="25.26"/>
    <x v="6"/>
  </r>
  <r>
    <x v="185"/>
    <s v="P1048"/>
    <x v="74"/>
    <x v="1"/>
    <x v="1"/>
    <n v="92"/>
    <n v="223"/>
    <n v="130"/>
    <n v="185"/>
    <n v="0"/>
    <n v="7"/>
    <x v="13"/>
    <n v="7.34"/>
    <n v="9.27"/>
    <x v="6"/>
  </r>
  <r>
    <x v="185"/>
    <s v="P1072"/>
    <x v="71"/>
    <x v="2"/>
    <x v="2"/>
    <n v="189"/>
    <n v="218"/>
    <n v="55"/>
    <n v="352"/>
    <n v="0"/>
    <n v="13"/>
    <x v="5"/>
    <n v="4.49"/>
    <n v="6.21"/>
    <x v="6"/>
  </r>
  <r>
    <x v="185"/>
    <s v="P1077"/>
    <x v="50"/>
    <x v="2"/>
    <x v="3"/>
    <n v="366"/>
    <n v="204"/>
    <n v="96"/>
    <n v="474"/>
    <n v="0"/>
    <n v="11"/>
    <x v="3"/>
    <n v="18.8"/>
    <n v="24.9"/>
    <x v="6"/>
  </r>
  <r>
    <x v="186"/>
    <s v="P1008"/>
    <x v="0"/>
    <x v="0"/>
    <x v="1"/>
    <n v="97"/>
    <n v="31"/>
    <n v="34"/>
    <n v="94"/>
    <n v="0"/>
    <n v="5"/>
    <x v="0"/>
    <n v="39.909999999999997"/>
    <n v="49.05"/>
    <x v="6"/>
  </r>
  <r>
    <x v="186"/>
    <s v="P1032"/>
    <x v="58"/>
    <x v="3"/>
    <x v="0"/>
    <n v="105"/>
    <n v="24"/>
    <n v="102"/>
    <n v="27"/>
    <n v="0"/>
    <n v="2"/>
    <x v="12"/>
    <n v="16.77"/>
    <n v="22.67"/>
    <x v="6"/>
  </r>
  <r>
    <x v="186"/>
    <s v="P1042"/>
    <x v="61"/>
    <x v="1"/>
    <x v="3"/>
    <n v="252"/>
    <n v="180"/>
    <n v="157"/>
    <n v="275"/>
    <n v="0"/>
    <n v="2"/>
    <x v="11"/>
    <n v="16.55"/>
    <n v="20.94"/>
    <x v="6"/>
  </r>
  <r>
    <x v="186"/>
    <s v="P1047"/>
    <x v="55"/>
    <x v="1"/>
    <x v="0"/>
    <n v="209"/>
    <n v="195"/>
    <n v="93"/>
    <n v="311"/>
    <n v="0"/>
    <n v="6"/>
    <x v="11"/>
    <n v="15.93"/>
    <n v="24.45"/>
    <x v="6"/>
  </r>
  <r>
    <x v="186"/>
    <s v="P1050"/>
    <x v="72"/>
    <x v="4"/>
    <x v="2"/>
    <n v="55"/>
    <n v="13"/>
    <n v="17"/>
    <n v="51"/>
    <n v="0"/>
    <n v="11"/>
    <x v="14"/>
    <n v="187.49"/>
    <n v="226.18"/>
    <x v="6"/>
  </r>
  <r>
    <x v="186"/>
    <s v="P1051"/>
    <x v="31"/>
    <x v="4"/>
    <x v="2"/>
    <n v="46"/>
    <n v="5"/>
    <n v="18"/>
    <n v="33"/>
    <n v="0"/>
    <n v="9"/>
    <x v="14"/>
    <n v="292.35000000000002"/>
    <n v="385.75"/>
    <x v="6"/>
  </r>
  <r>
    <x v="186"/>
    <s v="P1063"/>
    <x v="12"/>
    <x v="4"/>
    <x v="3"/>
    <n v="45"/>
    <n v="10"/>
    <n v="13"/>
    <n v="42"/>
    <n v="0"/>
    <n v="11"/>
    <x v="14"/>
    <n v="265.31"/>
    <n v="327.89"/>
    <x v="6"/>
  </r>
  <r>
    <x v="186"/>
    <s v="P1066"/>
    <x v="69"/>
    <x v="2"/>
    <x v="1"/>
    <n v="308"/>
    <n v="134"/>
    <n v="169"/>
    <n v="273"/>
    <n v="0"/>
    <n v="10"/>
    <x v="5"/>
    <n v="23.17"/>
    <n v="28.2"/>
    <x v="6"/>
  </r>
  <r>
    <x v="187"/>
    <s v="P1040"/>
    <x v="67"/>
    <x v="1"/>
    <x v="3"/>
    <n v="463"/>
    <n v="70"/>
    <n v="195"/>
    <n v="338"/>
    <n v="0"/>
    <n v="6"/>
    <x v="2"/>
    <n v="15.55"/>
    <n v="21.37"/>
    <x v="6"/>
  </r>
  <r>
    <x v="187"/>
    <s v="P1068"/>
    <x v="33"/>
    <x v="2"/>
    <x v="2"/>
    <n v="328"/>
    <n v="196"/>
    <n v="170"/>
    <n v="354"/>
    <n v="0"/>
    <n v="10"/>
    <x v="3"/>
    <n v="21.37"/>
    <n v="29.83"/>
    <x v="6"/>
  </r>
  <r>
    <x v="187"/>
    <s v="P1075"/>
    <x v="44"/>
    <x v="2"/>
    <x v="1"/>
    <n v="98"/>
    <n v="213"/>
    <n v="165"/>
    <n v="146"/>
    <n v="0"/>
    <n v="13"/>
    <x v="4"/>
    <n v="16.440000000000001"/>
    <n v="19.73"/>
    <x v="6"/>
  </r>
  <r>
    <x v="188"/>
    <s v="P1016"/>
    <x v="35"/>
    <x v="0"/>
    <x v="1"/>
    <n v="147"/>
    <n v="71"/>
    <n v="42"/>
    <n v="176"/>
    <n v="0"/>
    <n v="10"/>
    <x v="0"/>
    <n v="69.13"/>
    <n v="105.47"/>
    <x v="6"/>
  </r>
  <r>
    <x v="188"/>
    <s v="P1017"/>
    <x v="45"/>
    <x v="3"/>
    <x v="1"/>
    <n v="254"/>
    <n v="48"/>
    <n v="135"/>
    <n v="167"/>
    <n v="0"/>
    <n v="10"/>
    <x v="12"/>
    <n v="12.41"/>
    <n v="17.59"/>
    <x v="6"/>
  </r>
  <r>
    <x v="188"/>
    <s v="P1017"/>
    <x v="45"/>
    <x v="3"/>
    <x v="2"/>
    <n v="98"/>
    <n v="38"/>
    <n v="104"/>
    <n v="32"/>
    <n v="0"/>
    <n v="2"/>
    <x v="7"/>
    <n v="47.44"/>
    <n v="61.7"/>
    <x v="6"/>
  </r>
  <r>
    <x v="188"/>
    <s v="P1026"/>
    <x v="14"/>
    <x v="3"/>
    <x v="2"/>
    <n v="126"/>
    <n v="120"/>
    <n v="17"/>
    <n v="229"/>
    <n v="0"/>
    <n v="14"/>
    <x v="10"/>
    <n v="11.12"/>
    <n v="16.11"/>
    <x v="6"/>
  </r>
  <r>
    <x v="188"/>
    <s v="P1039"/>
    <x v="30"/>
    <x v="1"/>
    <x v="3"/>
    <n v="87"/>
    <n v="84"/>
    <n v="106"/>
    <n v="65"/>
    <n v="0"/>
    <n v="7"/>
    <x v="11"/>
    <n v="3.89"/>
    <n v="5.89"/>
    <x v="6"/>
  </r>
  <r>
    <x v="188"/>
    <s v="P1058"/>
    <x v="52"/>
    <x v="4"/>
    <x v="1"/>
    <n v="23"/>
    <n v="3"/>
    <n v="12"/>
    <n v="14"/>
    <n v="0"/>
    <n v="7"/>
    <x v="9"/>
    <n v="71.569999999999993"/>
    <n v="102.77"/>
    <x v="6"/>
  </r>
  <r>
    <x v="188"/>
    <s v="P1064"/>
    <x v="32"/>
    <x v="4"/>
    <x v="3"/>
    <n v="56"/>
    <n v="18"/>
    <n v="3"/>
    <n v="71"/>
    <n v="0"/>
    <n v="13"/>
    <x v="14"/>
    <n v="305.41000000000003"/>
    <n v="377.7"/>
    <x v="6"/>
  </r>
  <r>
    <x v="189"/>
    <s v="P1025"/>
    <x v="20"/>
    <x v="3"/>
    <x v="1"/>
    <n v="283"/>
    <n v="104"/>
    <n v="136"/>
    <n v="251"/>
    <n v="0"/>
    <n v="10"/>
    <x v="10"/>
    <n v="43.59"/>
    <n v="54.64"/>
    <x v="6"/>
  </r>
  <r>
    <x v="189"/>
    <s v="P1053"/>
    <x v="39"/>
    <x v="4"/>
    <x v="1"/>
    <n v="45"/>
    <n v="8"/>
    <n v="12"/>
    <n v="41"/>
    <n v="0"/>
    <n v="3"/>
    <x v="8"/>
    <n v="39.33"/>
    <n v="51.43"/>
    <x v="6"/>
  </r>
  <r>
    <x v="189"/>
    <s v="P1062"/>
    <x v="68"/>
    <x v="4"/>
    <x v="2"/>
    <n v="16"/>
    <n v="23"/>
    <n v="14"/>
    <n v="25"/>
    <n v="0"/>
    <n v="8"/>
    <x v="8"/>
    <n v="263.42"/>
    <n v="383.99"/>
    <x v="6"/>
  </r>
  <r>
    <x v="189"/>
    <s v="P1078"/>
    <x v="65"/>
    <x v="2"/>
    <x v="1"/>
    <n v="390"/>
    <n v="55"/>
    <n v="141"/>
    <n v="304"/>
    <n v="0"/>
    <n v="4"/>
    <x v="3"/>
    <n v="9.8800000000000008"/>
    <n v="11.61"/>
    <x v="6"/>
  </r>
  <r>
    <x v="190"/>
    <s v="P1008"/>
    <x v="0"/>
    <x v="0"/>
    <x v="3"/>
    <n v="28"/>
    <n v="39"/>
    <n v="42"/>
    <n v="25"/>
    <n v="0"/>
    <n v="13"/>
    <x v="6"/>
    <n v="204.78"/>
    <n v="288.36"/>
    <x v="6"/>
  </r>
  <r>
    <x v="190"/>
    <s v="P1022"/>
    <x v="53"/>
    <x v="3"/>
    <x v="1"/>
    <n v="267"/>
    <n v="34"/>
    <n v="52"/>
    <n v="249"/>
    <n v="0"/>
    <n v="8"/>
    <x v="12"/>
    <n v="74.66"/>
    <n v="107.31"/>
    <x v="6"/>
  </r>
  <r>
    <x v="190"/>
    <s v="P1025"/>
    <x v="20"/>
    <x v="3"/>
    <x v="0"/>
    <n v="249"/>
    <n v="91"/>
    <n v="133"/>
    <n v="207"/>
    <n v="0"/>
    <n v="2"/>
    <x v="10"/>
    <n v="53.01"/>
    <n v="67.06"/>
    <x v="6"/>
  </r>
  <r>
    <x v="190"/>
    <s v="P1041"/>
    <x v="38"/>
    <x v="1"/>
    <x v="1"/>
    <n v="317"/>
    <n v="52"/>
    <n v="84"/>
    <n v="285"/>
    <n v="0"/>
    <n v="7"/>
    <x v="11"/>
    <n v="10.25"/>
    <n v="12.27"/>
    <x v="6"/>
  </r>
  <r>
    <x v="190"/>
    <s v="P1042"/>
    <x v="61"/>
    <x v="1"/>
    <x v="1"/>
    <n v="212"/>
    <n v="145"/>
    <n v="136"/>
    <n v="221"/>
    <n v="0"/>
    <n v="5"/>
    <x v="11"/>
    <n v="15.3"/>
    <n v="21.25"/>
    <x v="6"/>
  </r>
  <r>
    <x v="190"/>
    <s v="P1054"/>
    <x v="43"/>
    <x v="4"/>
    <x v="2"/>
    <n v="47"/>
    <n v="11"/>
    <n v="10"/>
    <n v="48"/>
    <n v="0"/>
    <n v="9"/>
    <x v="8"/>
    <n v="130.24"/>
    <n v="184.22"/>
    <x v="6"/>
  </r>
  <r>
    <x v="190"/>
    <s v="P1058"/>
    <x v="52"/>
    <x v="4"/>
    <x v="0"/>
    <n v="26"/>
    <n v="8"/>
    <n v="13"/>
    <n v="21"/>
    <n v="0"/>
    <n v="3"/>
    <x v="14"/>
    <n v="154.31"/>
    <n v="228.54"/>
    <x v="6"/>
  </r>
  <r>
    <x v="190"/>
    <s v="P1067"/>
    <x v="5"/>
    <x v="2"/>
    <x v="2"/>
    <n v="121"/>
    <n v="81"/>
    <n v="54"/>
    <n v="148"/>
    <n v="0"/>
    <n v="7"/>
    <x v="4"/>
    <n v="14.25"/>
    <n v="18.04"/>
    <x v="6"/>
  </r>
  <r>
    <x v="190"/>
    <s v="P1074"/>
    <x v="6"/>
    <x v="2"/>
    <x v="1"/>
    <n v="185"/>
    <n v="217"/>
    <n v="111"/>
    <n v="291"/>
    <n v="0"/>
    <n v="11"/>
    <x v="4"/>
    <n v="29.06"/>
    <n v="41.06"/>
    <x v="6"/>
  </r>
  <r>
    <x v="191"/>
    <s v="P1011"/>
    <x v="37"/>
    <x v="0"/>
    <x v="0"/>
    <n v="137"/>
    <n v="89"/>
    <n v="76"/>
    <n v="150"/>
    <n v="0"/>
    <n v="9"/>
    <x v="0"/>
    <n v="134.38999999999999"/>
    <n v="191.59"/>
    <x v="6"/>
  </r>
  <r>
    <x v="191"/>
    <s v="P1014"/>
    <x v="28"/>
    <x v="0"/>
    <x v="3"/>
    <n v="160"/>
    <n v="77"/>
    <n v="47"/>
    <n v="190"/>
    <n v="0"/>
    <n v="10"/>
    <x v="6"/>
    <n v="38.19"/>
    <n v="56.57"/>
    <x v="6"/>
  </r>
  <r>
    <x v="191"/>
    <s v="P1061"/>
    <x v="22"/>
    <x v="4"/>
    <x v="0"/>
    <n v="21"/>
    <n v="14"/>
    <n v="4"/>
    <n v="31"/>
    <n v="0"/>
    <n v="8"/>
    <x v="9"/>
    <n v="80.680000000000007"/>
    <n v="114.33"/>
    <x v="6"/>
  </r>
  <r>
    <x v="192"/>
    <s v="P1029"/>
    <x v="63"/>
    <x v="3"/>
    <x v="2"/>
    <n v="65"/>
    <n v="33"/>
    <n v="98"/>
    <n v="0"/>
    <n v="1"/>
    <n v="14"/>
    <x v="12"/>
    <n v="26.42"/>
    <n v="34.6"/>
    <x v="6"/>
  </r>
  <r>
    <x v="192"/>
    <s v="P1038"/>
    <x v="4"/>
    <x v="1"/>
    <x v="3"/>
    <n v="299"/>
    <n v="63"/>
    <n v="155"/>
    <n v="207"/>
    <n v="0"/>
    <n v="2"/>
    <x v="2"/>
    <n v="22.44"/>
    <n v="32.020000000000003"/>
    <x v="6"/>
  </r>
  <r>
    <x v="192"/>
    <s v="P1044"/>
    <x v="48"/>
    <x v="1"/>
    <x v="0"/>
    <n v="208"/>
    <n v="199"/>
    <n v="108"/>
    <n v="299"/>
    <n v="0"/>
    <n v="5"/>
    <x v="2"/>
    <n v="13.08"/>
    <n v="18.37"/>
    <x v="6"/>
  </r>
  <r>
    <x v="192"/>
    <s v="P1055"/>
    <x v="51"/>
    <x v="4"/>
    <x v="1"/>
    <n v="78"/>
    <n v="25"/>
    <n v="3"/>
    <n v="100"/>
    <n v="0"/>
    <n v="14"/>
    <x v="14"/>
    <n v="287.43"/>
    <n v="343.12"/>
    <x v="6"/>
  </r>
  <r>
    <x v="192"/>
    <s v="P1077"/>
    <x v="50"/>
    <x v="2"/>
    <x v="2"/>
    <n v="168"/>
    <n v="196"/>
    <n v="103"/>
    <n v="261"/>
    <n v="0"/>
    <n v="11"/>
    <x v="5"/>
    <n v="24.62"/>
    <n v="32.83"/>
    <x v="6"/>
  </r>
  <r>
    <x v="193"/>
    <s v="P1005"/>
    <x v="62"/>
    <x v="0"/>
    <x v="1"/>
    <n v="164"/>
    <n v="28"/>
    <n v="52"/>
    <n v="140"/>
    <n v="0"/>
    <n v="4"/>
    <x v="6"/>
    <n v="81.58"/>
    <n v="103.39"/>
    <x v="6"/>
  </r>
  <r>
    <x v="193"/>
    <s v="P1008"/>
    <x v="0"/>
    <x v="0"/>
    <x v="2"/>
    <n v="68"/>
    <n v="61"/>
    <n v="37"/>
    <n v="92"/>
    <n v="0"/>
    <n v="7"/>
    <x v="6"/>
    <n v="180.39"/>
    <n v="225.62"/>
    <x v="6"/>
  </r>
  <r>
    <x v="193"/>
    <s v="P1033"/>
    <x v="27"/>
    <x v="1"/>
    <x v="0"/>
    <n v="103"/>
    <n v="63"/>
    <n v="23"/>
    <n v="143"/>
    <n v="0"/>
    <n v="3"/>
    <x v="11"/>
    <n v="13.86"/>
    <n v="18.510000000000002"/>
    <x v="6"/>
  </r>
  <r>
    <x v="193"/>
    <s v="P1039"/>
    <x v="30"/>
    <x v="1"/>
    <x v="0"/>
    <n v="436"/>
    <n v="98"/>
    <n v="143"/>
    <n v="391"/>
    <n v="0"/>
    <n v="2"/>
    <x v="2"/>
    <n v="23.63"/>
    <n v="35.74"/>
    <x v="6"/>
  </r>
  <r>
    <x v="193"/>
    <s v="P1051"/>
    <x v="31"/>
    <x v="4"/>
    <x v="1"/>
    <n v="19"/>
    <n v="16"/>
    <n v="10"/>
    <n v="25"/>
    <n v="0"/>
    <n v="12"/>
    <x v="8"/>
    <n v="249.78"/>
    <n v="366.68"/>
    <x v="6"/>
  </r>
  <r>
    <x v="193"/>
    <s v="P1071"/>
    <x v="40"/>
    <x v="2"/>
    <x v="3"/>
    <n v="255"/>
    <n v="193"/>
    <n v="101"/>
    <n v="347"/>
    <n v="0"/>
    <n v="13"/>
    <x v="3"/>
    <n v="1.35"/>
    <n v="1.82"/>
    <x v="6"/>
  </r>
  <r>
    <x v="193"/>
    <s v="P1074"/>
    <x v="6"/>
    <x v="2"/>
    <x v="0"/>
    <n v="191"/>
    <n v="77"/>
    <n v="31"/>
    <n v="237"/>
    <n v="0"/>
    <n v="5"/>
    <x v="3"/>
    <n v="3.31"/>
    <n v="4.3600000000000003"/>
    <x v="6"/>
  </r>
  <r>
    <x v="194"/>
    <s v="P1010"/>
    <x v="47"/>
    <x v="0"/>
    <x v="0"/>
    <n v="51"/>
    <n v="20"/>
    <n v="65"/>
    <n v="6"/>
    <n v="0"/>
    <n v="3"/>
    <x v="0"/>
    <n v="89.3"/>
    <n v="133.54"/>
    <x v="6"/>
  </r>
  <r>
    <x v="194"/>
    <s v="P1017"/>
    <x v="45"/>
    <x v="3"/>
    <x v="1"/>
    <n v="116"/>
    <n v="61"/>
    <n v="115"/>
    <n v="62"/>
    <n v="0"/>
    <n v="8"/>
    <x v="12"/>
    <n v="17.62"/>
    <n v="21.45"/>
    <x v="6"/>
  </r>
  <r>
    <x v="194"/>
    <s v="P1018"/>
    <x v="46"/>
    <x v="3"/>
    <x v="2"/>
    <n v="111"/>
    <n v="132"/>
    <n v="116"/>
    <n v="127"/>
    <n v="0"/>
    <n v="3"/>
    <x v="10"/>
    <n v="22.4"/>
    <n v="29.54"/>
    <x v="6"/>
  </r>
  <r>
    <x v="194"/>
    <s v="P1032"/>
    <x v="58"/>
    <x v="3"/>
    <x v="2"/>
    <n v="68"/>
    <n v="146"/>
    <n v="91"/>
    <n v="123"/>
    <n v="0"/>
    <n v="11"/>
    <x v="7"/>
    <n v="12.49"/>
    <n v="16.14"/>
    <x v="6"/>
  </r>
  <r>
    <x v="195"/>
    <s v="P1013"/>
    <x v="2"/>
    <x v="0"/>
    <x v="0"/>
    <n v="76"/>
    <n v="25"/>
    <n v="28"/>
    <n v="73"/>
    <n v="0"/>
    <n v="6"/>
    <x v="1"/>
    <n v="217.2"/>
    <n v="277.17"/>
    <x v="6"/>
  </r>
  <r>
    <x v="195"/>
    <s v="P1055"/>
    <x v="51"/>
    <x v="4"/>
    <x v="3"/>
    <n v="36"/>
    <n v="16"/>
    <n v="5"/>
    <n v="47"/>
    <n v="0"/>
    <n v="8"/>
    <x v="14"/>
    <n v="266.77"/>
    <n v="404.87"/>
    <x v="6"/>
  </r>
  <r>
    <x v="195"/>
    <s v="P1078"/>
    <x v="65"/>
    <x v="2"/>
    <x v="0"/>
    <n v="389"/>
    <n v="148"/>
    <n v="136"/>
    <n v="401"/>
    <n v="0"/>
    <n v="7"/>
    <x v="4"/>
    <n v="17.03"/>
    <n v="24.63"/>
    <x v="6"/>
  </r>
  <r>
    <x v="196"/>
    <s v="P1001"/>
    <x v="34"/>
    <x v="0"/>
    <x v="2"/>
    <n v="103"/>
    <n v="65"/>
    <n v="53"/>
    <n v="115"/>
    <n v="0"/>
    <n v="14"/>
    <x v="6"/>
    <n v="125.09"/>
    <n v="186.59"/>
    <x v="6"/>
  </r>
  <r>
    <x v="196"/>
    <s v="P1010"/>
    <x v="47"/>
    <x v="0"/>
    <x v="1"/>
    <n v="93"/>
    <n v="83"/>
    <n v="15"/>
    <n v="161"/>
    <n v="0"/>
    <n v="12"/>
    <x v="1"/>
    <n v="174.58"/>
    <n v="212.68"/>
    <x v="6"/>
  </r>
  <r>
    <x v="196"/>
    <s v="P1012"/>
    <x v="41"/>
    <x v="0"/>
    <x v="2"/>
    <n v="56"/>
    <n v="10"/>
    <n v="19"/>
    <n v="47"/>
    <n v="0"/>
    <n v="6"/>
    <x v="1"/>
    <n v="16.16"/>
    <n v="24.64"/>
    <x v="6"/>
  </r>
  <r>
    <x v="196"/>
    <s v="P1012"/>
    <x v="41"/>
    <x v="0"/>
    <x v="3"/>
    <n v="162"/>
    <n v="44"/>
    <n v="53"/>
    <n v="153"/>
    <n v="0"/>
    <n v="12"/>
    <x v="0"/>
    <n v="176.41"/>
    <n v="241.07"/>
    <x v="6"/>
  </r>
  <r>
    <x v="196"/>
    <s v="P1036"/>
    <x v="75"/>
    <x v="1"/>
    <x v="2"/>
    <n v="395"/>
    <n v="196"/>
    <n v="197"/>
    <n v="394"/>
    <n v="0"/>
    <n v="2"/>
    <x v="11"/>
    <n v="20.440000000000001"/>
    <n v="28.66"/>
    <x v="6"/>
  </r>
  <r>
    <x v="196"/>
    <s v="P1057"/>
    <x v="36"/>
    <x v="4"/>
    <x v="1"/>
    <n v="20"/>
    <n v="8"/>
    <n v="5"/>
    <n v="23"/>
    <n v="0"/>
    <n v="2"/>
    <x v="8"/>
    <n v="246.25"/>
    <n v="329.17"/>
    <x v="6"/>
  </r>
  <r>
    <x v="196"/>
    <s v="P1066"/>
    <x v="69"/>
    <x v="2"/>
    <x v="2"/>
    <n v="132"/>
    <n v="113"/>
    <n v="67"/>
    <n v="178"/>
    <n v="0"/>
    <n v="4"/>
    <x v="5"/>
    <n v="20.18"/>
    <n v="30.5"/>
    <x v="6"/>
  </r>
  <r>
    <x v="196"/>
    <s v="P1080"/>
    <x v="79"/>
    <x v="2"/>
    <x v="0"/>
    <n v="159"/>
    <n v="106"/>
    <n v="149"/>
    <n v="116"/>
    <n v="0"/>
    <n v="9"/>
    <x v="3"/>
    <n v="10.65"/>
    <n v="15.46"/>
    <x v="6"/>
  </r>
  <r>
    <x v="197"/>
    <s v="P1033"/>
    <x v="27"/>
    <x v="1"/>
    <x v="3"/>
    <n v="387"/>
    <n v="235"/>
    <n v="40"/>
    <n v="582"/>
    <n v="0"/>
    <n v="2"/>
    <x v="2"/>
    <n v="6.08"/>
    <n v="8.15"/>
    <x v="6"/>
  </r>
  <r>
    <x v="197"/>
    <s v="P1036"/>
    <x v="75"/>
    <x v="1"/>
    <x v="1"/>
    <n v="385"/>
    <n v="47"/>
    <n v="188"/>
    <n v="244"/>
    <n v="0"/>
    <n v="6"/>
    <x v="11"/>
    <n v="7.68"/>
    <n v="11.11"/>
    <x v="6"/>
  </r>
  <r>
    <x v="197"/>
    <s v="P1046"/>
    <x v="49"/>
    <x v="1"/>
    <x v="1"/>
    <n v="305"/>
    <n v="235"/>
    <n v="185"/>
    <n v="355"/>
    <n v="0"/>
    <n v="6"/>
    <x v="11"/>
    <n v="24.93"/>
    <n v="32.909999999999997"/>
    <x v="6"/>
  </r>
  <r>
    <x v="197"/>
    <s v="P1074"/>
    <x v="6"/>
    <x v="2"/>
    <x v="3"/>
    <n v="218"/>
    <n v="74"/>
    <n v="59"/>
    <n v="233"/>
    <n v="0"/>
    <n v="12"/>
    <x v="4"/>
    <n v="27.9"/>
    <n v="32.82"/>
    <x v="6"/>
  </r>
  <r>
    <x v="198"/>
    <s v="P1002"/>
    <x v="18"/>
    <x v="0"/>
    <x v="1"/>
    <n v="102"/>
    <n v="75"/>
    <n v="26"/>
    <n v="151"/>
    <n v="0"/>
    <n v="5"/>
    <x v="6"/>
    <n v="162.83000000000001"/>
    <n v="210.23"/>
    <x v="6"/>
  </r>
  <r>
    <x v="198"/>
    <s v="P1039"/>
    <x v="30"/>
    <x v="1"/>
    <x v="2"/>
    <n v="171"/>
    <n v="100"/>
    <n v="161"/>
    <n v="110"/>
    <n v="0"/>
    <n v="4"/>
    <x v="11"/>
    <n v="23.99"/>
    <n v="34.630000000000003"/>
    <x v="6"/>
  </r>
  <r>
    <x v="199"/>
    <s v="P1009"/>
    <x v="1"/>
    <x v="0"/>
    <x v="2"/>
    <n v="53"/>
    <n v="54"/>
    <n v="65"/>
    <n v="42"/>
    <n v="0"/>
    <n v="4"/>
    <x v="1"/>
    <n v="122.13"/>
    <n v="155.08000000000001"/>
    <x v="6"/>
  </r>
  <r>
    <x v="199"/>
    <s v="P1040"/>
    <x v="67"/>
    <x v="1"/>
    <x v="1"/>
    <n v="138"/>
    <n v="128"/>
    <n v="211"/>
    <n v="55"/>
    <n v="0"/>
    <n v="1"/>
    <x v="2"/>
    <n v="10.32"/>
    <n v="11.91"/>
    <x v="6"/>
  </r>
  <r>
    <x v="199"/>
    <s v="P1058"/>
    <x v="52"/>
    <x v="4"/>
    <x v="0"/>
    <n v="42"/>
    <n v="17"/>
    <n v="15"/>
    <n v="44"/>
    <n v="0"/>
    <n v="7"/>
    <x v="9"/>
    <n v="35.67"/>
    <n v="47.7"/>
    <x v="6"/>
  </r>
  <r>
    <x v="199"/>
    <s v="P1065"/>
    <x v="25"/>
    <x v="2"/>
    <x v="1"/>
    <n v="251"/>
    <n v="48"/>
    <n v="108"/>
    <n v="191"/>
    <n v="0"/>
    <n v="8"/>
    <x v="3"/>
    <n v="22.33"/>
    <n v="27.79"/>
    <x v="6"/>
  </r>
  <r>
    <x v="199"/>
    <s v="P1068"/>
    <x v="33"/>
    <x v="2"/>
    <x v="1"/>
    <n v="318"/>
    <n v="151"/>
    <n v="57"/>
    <n v="412"/>
    <n v="0"/>
    <n v="8"/>
    <x v="4"/>
    <n v="5.46"/>
    <n v="8.2899999999999991"/>
    <x v="6"/>
  </r>
  <r>
    <x v="199"/>
    <s v="P1069"/>
    <x v="17"/>
    <x v="2"/>
    <x v="3"/>
    <n v="246"/>
    <n v="215"/>
    <n v="144"/>
    <n v="317"/>
    <n v="0"/>
    <n v="5"/>
    <x v="5"/>
    <n v="16"/>
    <n v="21.04"/>
    <x v="6"/>
  </r>
  <r>
    <x v="200"/>
    <s v="P1003"/>
    <x v="64"/>
    <x v="0"/>
    <x v="0"/>
    <n v="81"/>
    <n v="36"/>
    <n v="39"/>
    <n v="78"/>
    <n v="0"/>
    <n v="5"/>
    <x v="6"/>
    <n v="160.1"/>
    <n v="215.05"/>
    <x v="6"/>
  </r>
  <r>
    <x v="200"/>
    <s v="P1012"/>
    <x v="41"/>
    <x v="0"/>
    <x v="3"/>
    <n v="108"/>
    <n v="58"/>
    <n v="74"/>
    <n v="92"/>
    <n v="0"/>
    <n v="11"/>
    <x v="6"/>
    <n v="202.48"/>
    <n v="242.01"/>
    <x v="6"/>
  </r>
  <r>
    <x v="200"/>
    <s v="P1034"/>
    <x v="3"/>
    <x v="1"/>
    <x v="1"/>
    <n v="398"/>
    <n v="112"/>
    <n v="80"/>
    <n v="430"/>
    <n v="0"/>
    <n v="5"/>
    <x v="11"/>
    <n v="18.27"/>
    <n v="25.92"/>
    <x v="6"/>
  </r>
  <r>
    <x v="200"/>
    <s v="P1048"/>
    <x v="74"/>
    <x v="1"/>
    <x v="0"/>
    <n v="167"/>
    <n v="111"/>
    <n v="144"/>
    <n v="134"/>
    <n v="0"/>
    <n v="6"/>
    <x v="2"/>
    <n v="10.44"/>
    <n v="12.42"/>
    <x v="6"/>
  </r>
  <r>
    <x v="200"/>
    <s v="P1049"/>
    <x v="10"/>
    <x v="4"/>
    <x v="0"/>
    <n v="25"/>
    <n v="16"/>
    <n v="3"/>
    <n v="38"/>
    <n v="0"/>
    <n v="10"/>
    <x v="8"/>
    <n v="313.01"/>
    <n v="417.37"/>
    <x v="6"/>
  </r>
  <r>
    <x v="200"/>
    <s v="P1062"/>
    <x v="68"/>
    <x v="4"/>
    <x v="3"/>
    <n v="60"/>
    <n v="10"/>
    <n v="8"/>
    <n v="62"/>
    <n v="0"/>
    <n v="9"/>
    <x v="14"/>
    <n v="228.51"/>
    <n v="289"/>
    <x v="6"/>
  </r>
  <r>
    <x v="200"/>
    <s v="P1072"/>
    <x v="71"/>
    <x v="2"/>
    <x v="2"/>
    <n v="250"/>
    <n v="178"/>
    <n v="66"/>
    <n v="362"/>
    <n v="0"/>
    <n v="8"/>
    <x v="4"/>
    <n v="5.33"/>
    <n v="6.4"/>
    <x v="6"/>
  </r>
  <r>
    <x v="200"/>
    <s v="P1072"/>
    <x v="71"/>
    <x v="2"/>
    <x v="2"/>
    <n v="300"/>
    <n v="195"/>
    <n v="144"/>
    <n v="351"/>
    <n v="0"/>
    <n v="2"/>
    <x v="4"/>
    <n v="26.2"/>
    <n v="39.61"/>
    <x v="6"/>
  </r>
  <r>
    <x v="201"/>
    <s v="P1031"/>
    <x v="76"/>
    <x v="3"/>
    <x v="3"/>
    <n v="141"/>
    <n v="94"/>
    <n v="91"/>
    <n v="144"/>
    <n v="0"/>
    <n v="13"/>
    <x v="7"/>
    <n v="75.86"/>
    <n v="110.44"/>
    <x v="6"/>
  </r>
  <r>
    <x v="201"/>
    <s v="P1034"/>
    <x v="3"/>
    <x v="1"/>
    <x v="2"/>
    <n v="494"/>
    <n v="231"/>
    <n v="172"/>
    <n v="553"/>
    <n v="0"/>
    <n v="6"/>
    <x v="2"/>
    <n v="3.45"/>
    <n v="4.5199999999999996"/>
    <x v="6"/>
  </r>
  <r>
    <x v="201"/>
    <s v="P1072"/>
    <x v="71"/>
    <x v="2"/>
    <x v="1"/>
    <n v="234"/>
    <n v="55"/>
    <n v="51"/>
    <n v="238"/>
    <n v="0"/>
    <n v="3"/>
    <x v="3"/>
    <n v="11.49"/>
    <n v="15.08"/>
    <x v="6"/>
  </r>
  <r>
    <x v="202"/>
    <s v="P1012"/>
    <x v="41"/>
    <x v="0"/>
    <x v="3"/>
    <n v="50"/>
    <n v="23"/>
    <n v="29"/>
    <n v="44"/>
    <n v="0"/>
    <n v="3"/>
    <x v="6"/>
    <n v="53.83"/>
    <n v="62.01"/>
    <x v="6"/>
  </r>
  <r>
    <x v="202"/>
    <s v="P1014"/>
    <x v="28"/>
    <x v="0"/>
    <x v="1"/>
    <n v="90"/>
    <n v="82"/>
    <n v="30"/>
    <n v="142"/>
    <n v="0"/>
    <n v="6"/>
    <x v="6"/>
    <n v="165.86"/>
    <n v="246.37"/>
    <x v="6"/>
  </r>
  <r>
    <x v="202"/>
    <s v="P1021"/>
    <x v="77"/>
    <x v="3"/>
    <x v="3"/>
    <n v="62"/>
    <n v="102"/>
    <n v="64"/>
    <n v="100"/>
    <n v="0"/>
    <n v="5"/>
    <x v="10"/>
    <n v="46.37"/>
    <n v="55.69"/>
    <x v="6"/>
  </r>
  <r>
    <x v="202"/>
    <s v="P1046"/>
    <x v="49"/>
    <x v="1"/>
    <x v="0"/>
    <n v="157"/>
    <n v="140"/>
    <n v="201"/>
    <n v="96"/>
    <n v="0"/>
    <n v="6"/>
    <x v="13"/>
    <n v="14.26"/>
    <n v="20.73"/>
    <x v="6"/>
  </r>
  <r>
    <x v="203"/>
    <s v="P1008"/>
    <x v="0"/>
    <x v="0"/>
    <x v="3"/>
    <n v="63"/>
    <n v="69"/>
    <n v="13"/>
    <n v="119"/>
    <n v="0"/>
    <n v="3"/>
    <x v="0"/>
    <n v="63.31"/>
    <n v="95.46"/>
    <x v="6"/>
  </r>
  <r>
    <x v="203"/>
    <s v="P1040"/>
    <x v="67"/>
    <x v="1"/>
    <x v="0"/>
    <n v="83"/>
    <n v="177"/>
    <n v="107"/>
    <n v="153"/>
    <n v="0"/>
    <n v="1"/>
    <x v="11"/>
    <n v="8.24"/>
    <n v="11.98"/>
    <x v="6"/>
  </r>
  <r>
    <x v="203"/>
    <s v="P1047"/>
    <x v="55"/>
    <x v="1"/>
    <x v="0"/>
    <n v="230"/>
    <n v="207"/>
    <n v="207"/>
    <n v="230"/>
    <n v="0"/>
    <n v="1"/>
    <x v="2"/>
    <n v="11.35"/>
    <n v="17.05"/>
    <x v="6"/>
  </r>
  <r>
    <x v="204"/>
    <s v="P1006"/>
    <x v="19"/>
    <x v="0"/>
    <x v="3"/>
    <n v="153"/>
    <n v="34"/>
    <n v="17"/>
    <n v="170"/>
    <n v="0"/>
    <n v="6"/>
    <x v="1"/>
    <n v="39.96"/>
    <n v="53.6"/>
    <x v="6"/>
  </r>
  <r>
    <x v="204"/>
    <s v="P1057"/>
    <x v="36"/>
    <x v="4"/>
    <x v="0"/>
    <n v="74"/>
    <n v="5"/>
    <n v="18"/>
    <n v="61"/>
    <n v="0"/>
    <n v="9"/>
    <x v="8"/>
    <n v="52.87"/>
    <n v="70.55"/>
    <x v="6"/>
  </r>
  <r>
    <x v="204"/>
    <s v="P1075"/>
    <x v="44"/>
    <x v="2"/>
    <x v="1"/>
    <n v="113"/>
    <n v="214"/>
    <n v="130"/>
    <n v="197"/>
    <n v="0"/>
    <n v="7"/>
    <x v="5"/>
    <n v="19.22"/>
    <n v="29.26"/>
    <x v="6"/>
  </r>
  <r>
    <x v="204"/>
    <s v="P1079"/>
    <x v="8"/>
    <x v="2"/>
    <x v="0"/>
    <n v="126"/>
    <n v="32"/>
    <n v="158"/>
    <n v="0"/>
    <n v="1"/>
    <n v="14"/>
    <x v="4"/>
    <n v="18.489999999999998"/>
    <n v="27.2"/>
    <x v="6"/>
  </r>
  <r>
    <x v="205"/>
    <s v="P1013"/>
    <x v="2"/>
    <x v="0"/>
    <x v="2"/>
    <n v="84"/>
    <n v="83"/>
    <n v="9"/>
    <n v="158"/>
    <n v="0"/>
    <n v="3"/>
    <x v="0"/>
    <n v="151.16"/>
    <n v="186.9"/>
    <x v="6"/>
  </r>
  <r>
    <x v="205"/>
    <s v="P1025"/>
    <x v="20"/>
    <x v="3"/>
    <x v="1"/>
    <n v="246"/>
    <n v="35"/>
    <n v="46"/>
    <n v="235"/>
    <n v="0"/>
    <n v="14"/>
    <x v="10"/>
    <n v="61.37"/>
    <n v="85.67"/>
    <x v="6"/>
  </r>
  <r>
    <x v="205"/>
    <s v="P1027"/>
    <x v="26"/>
    <x v="3"/>
    <x v="0"/>
    <n v="172"/>
    <n v="44"/>
    <n v="44"/>
    <n v="172"/>
    <n v="0"/>
    <n v="4"/>
    <x v="12"/>
    <n v="76.319999999999993"/>
    <n v="109.31"/>
    <x v="6"/>
  </r>
  <r>
    <x v="205"/>
    <s v="P1078"/>
    <x v="65"/>
    <x v="2"/>
    <x v="0"/>
    <n v="270"/>
    <n v="152"/>
    <n v="96"/>
    <n v="326"/>
    <n v="0"/>
    <n v="5"/>
    <x v="3"/>
    <n v="19.29"/>
    <n v="25.5"/>
    <x v="6"/>
  </r>
  <r>
    <x v="206"/>
    <s v="P1006"/>
    <x v="19"/>
    <x v="0"/>
    <x v="3"/>
    <n v="101"/>
    <n v="77"/>
    <n v="69"/>
    <n v="109"/>
    <n v="0"/>
    <n v="3"/>
    <x v="1"/>
    <n v="199.96"/>
    <n v="300.13"/>
    <x v="6"/>
  </r>
  <r>
    <x v="206"/>
    <s v="P1029"/>
    <x v="63"/>
    <x v="3"/>
    <x v="3"/>
    <n v="250"/>
    <n v="47"/>
    <n v="60"/>
    <n v="237"/>
    <n v="0"/>
    <n v="12"/>
    <x v="7"/>
    <n v="41.79"/>
    <n v="57.25"/>
    <x v="6"/>
  </r>
  <r>
    <x v="206"/>
    <s v="P1046"/>
    <x v="49"/>
    <x v="1"/>
    <x v="2"/>
    <n v="389"/>
    <n v="86"/>
    <n v="33"/>
    <n v="442"/>
    <n v="0"/>
    <n v="7"/>
    <x v="11"/>
    <n v="14.34"/>
    <n v="20.8"/>
    <x v="6"/>
  </r>
  <r>
    <x v="206"/>
    <s v="P1051"/>
    <x v="31"/>
    <x v="4"/>
    <x v="1"/>
    <n v="20"/>
    <n v="14"/>
    <n v="8"/>
    <n v="26"/>
    <n v="0"/>
    <n v="9"/>
    <x v="8"/>
    <n v="319.58999999999997"/>
    <n v="388.48"/>
    <x v="6"/>
  </r>
  <r>
    <x v="206"/>
    <s v="P1078"/>
    <x v="65"/>
    <x v="2"/>
    <x v="2"/>
    <n v="333"/>
    <n v="49"/>
    <n v="129"/>
    <n v="253"/>
    <n v="0"/>
    <n v="2"/>
    <x v="5"/>
    <n v="19.86"/>
    <n v="25.32"/>
    <x v="6"/>
  </r>
  <r>
    <x v="207"/>
    <s v="P1001"/>
    <x v="34"/>
    <x v="0"/>
    <x v="0"/>
    <n v="100"/>
    <n v="22"/>
    <n v="75"/>
    <n v="47"/>
    <n v="0"/>
    <n v="2"/>
    <x v="6"/>
    <n v="161.26"/>
    <n v="245.19"/>
    <x v="6"/>
  </r>
  <r>
    <x v="207"/>
    <s v="P1037"/>
    <x v="59"/>
    <x v="1"/>
    <x v="2"/>
    <n v="208"/>
    <n v="153"/>
    <n v="174"/>
    <n v="187"/>
    <n v="0"/>
    <n v="5"/>
    <x v="13"/>
    <n v="19.77"/>
    <n v="24.07"/>
    <x v="6"/>
  </r>
  <r>
    <x v="207"/>
    <s v="P1048"/>
    <x v="74"/>
    <x v="1"/>
    <x v="3"/>
    <n v="98"/>
    <n v="166"/>
    <n v="48"/>
    <n v="216"/>
    <n v="0"/>
    <n v="5"/>
    <x v="2"/>
    <n v="10.26"/>
    <n v="13.75"/>
    <x v="6"/>
  </r>
  <r>
    <x v="208"/>
    <s v="P1032"/>
    <x v="58"/>
    <x v="3"/>
    <x v="3"/>
    <n v="211"/>
    <n v="97"/>
    <n v="37"/>
    <n v="271"/>
    <n v="0"/>
    <n v="12"/>
    <x v="12"/>
    <n v="37.619999999999997"/>
    <n v="46.47"/>
    <x v="6"/>
  </r>
  <r>
    <x v="208"/>
    <s v="P1037"/>
    <x v="59"/>
    <x v="1"/>
    <x v="2"/>
    <n v="409"/>
    <n v="165"/>
    <n v="35"/>
    <n v="539"/>
    <n v="0"/>
    <n v="7"/>
    <x v="11"/>
    <n v="13.36"/>
    <n v="19.59"/>
    <x v="6"/>
  </r>
  <r>
    <x v="208"/>
    <s v="P1044"/>
    <x v="48"/>
    <x v="1"/>
    <x v="3"/>
    <n v="288"/>
    <n v="77"/>
    <n v="119"/>
    <n v="246"/>
    <n v="0"/>
    <n v="1"/>
    <x v="11"/>
    <n v="9.1199999999999992"/>
    <n v="13.62"/>
    <x v="6"/>
  </r>
  <r>
    <x v="208"/>
    <s v="P1054"/>
    <x v="43"/>
    <x v="4"/>
    <x v="0"/>
    <n v="73"/>
    <n v="17"/>
    <n v="7"/>
    <n v="83"/>
    <n v="0"/>
    <n v="5"/>
    <x v="9"/>
    <n v="197.88"/>
    <n v="250.08"/>
    <x v="6"/>
  </r>
  <r>
    <x v="209"/>
    <s v="P1035"/>
    <x v="42"/>
    <x v="1"/>
    <x v="3"/>
    <n v="187"/>
    <n v="234"/>
    <n v="93"/>
    <n v="328"/>
    <n v="0"/>
    <n v="7"/>
    <x v="13"/>
    <n v="22.42"/>
    <n v="32.090000000000003"/>
    <x v="6"/>
  </r>
  <r>
    <x v="209"/>
    <s v="P1036"/>
    <x v="75"/>
    <x v="1"/>
    <x v="1"/>
    <n v="183"/>
    <n v="122"/>
    <n v="217"/>
    <n v="88"/>
    <n v="0"/>
    <n v="4"/>
    <x v="11"/>
    <n v="21.13"/>
    <n v="25.78"/>
    <x v="6"/>
  </r>
  <r>
    <x v="210"/>
    <s v="P1017"/>
    <x v="45"/>
    <x v="3"/>
    <x v="2"/>
    <n v="169"/>
    <n v="56"/>
    <n v="33"/>
    <n v="192"/>
    <n v="0"/>
    <n v="4"/>
    <x v="10"/>
    <n v="51.73"/>
    <n v="80.099999999999994"/>
    <x v="6"/>
  </r>
  <r>
    <x v="210"/>
    <s v="P1034"/>
    <x v="3"/>
    <x v="1"/>
    <x v="0"/>
    <n v="168"/>
    <n v="227"/>
    <n v="41"/>
    <n v="354"/>
    <n v="0"/>
    <n v="7"/>
    <x v="2"/>
    <n v="15.24"/>
    <n v="22.73"/>
    <x v="6"/>
  </r>
  <r>
    <x v="210"/>
    <s v="P1076"/>
    <x v="7"/>
    <x v="2"/>
    <x v="0"/>
    <n v="164"/>
    <n v="205"/>
    <n v="16"/>
    <n v="353"/>
    <n v="0"/>
    <n v="13"/>
    <x v="3"/>
    <n v="29.46"/>
    <n v="35.03"/>
    <x v="6"/>
  </r>
  <r>
    <x v="211"/>
    <s v="P1016"/>
    <x v="35"/>
    <x v="0"/>
    <x v="0"/>
    <n v="35"/>
    <n v="23"/>
    <n v="13"/>
    <n v="45"/>
    <n v="0"/>
    <n v="8"/>
    <x v="1"/>
    <n v="197.44"/>
    <n v="278.45999999999998"/>
    <x v="7"/>
  </r>
  <r>
    <x v="211"/>
    <s v="P1026"/>
    <x v="14"/>
    <x v="3"/>
    <x v="0"/>
    <n v="73"/>
    <n v="98"/>
    <n v="87"/>
    <n v="84"/>
    <n v="0"/>
    <n v="10"/>
    <x v="10"/>
    <n v="22.07"/>
    <n v="26.86"/>
    <x v="7"/>
  </r>
  <r>
    <x v="211"/>
    <s v="P1041"/>
    <x v="38"/>
    <x v="1"/>
    <x v="2"/>
    <n v="227"/>
    <n v="60"/>
    <n v="77"/>
    <n v="210"/>
    <n v="0"/>
    <n v="7"/>
    <x v="13"/>
    <n v="8.82"/>
    <n v="11.38"/>
    <x v="7"/>
  </r>
  <r>
    <x v="211"/>
    <s v="P1063"/>
    <x v="12"/>
    <x v="4"/>
    <x v="1"/>
    <n v="74"/>
    <n v="21"/>
    <n v="3"/>
    <n v="92"/>
    <n v="0"/>
    <n v="3"/>
    <x v="8"/>
    <n v="33.42"/>
    <n v="42.25"/>
    <x v="7"/>
  </r>
  <r>
    <x v="212"/>
    <s v="P1023"/>
    <x v="24"/>
    <x v="3"/>
    <x v="2"/>
    <n v="290"/>
    <n v="84"/>
    <n v="117"/>
    <n v="257"/>
    <n v="0"/>
    <n v="5"/>
    <x v="12"/>
    <n v="50.03"/>
    <n v="64.150000000000006"/>
    <x v="7"/>
  </r>
  <r>
    <x v="212"/>
    <s v="P1040"/>
    <x v="67"/>
    <x v="1"/>
    <x v="2"/>
    <n v="288"/>
    <n v="168"/>
    <n v="136"/>
    <n v="320"/>
    <n v="0"/>
    <n v="4"/>
    <x v="2"/>
    <n v="23.94"/>
    <n v="29.54"/>
    <x v="7"/>
  </r>
  <r>
    <x v="212"/>
    <s v="P1042"/>
    <x v="61"/>
    <x v="1"/>
    <x v="3"/>
    <n v="299"/>
    <n v="174"/>
    <n v="182"/>
    <n v="291"/>
    <n v="0"/>
    <n v="7"/>
    <x v="2"/>
    <n v="22.84"/>
    <n v="28.55"/>
    <x v="7"/>
  </r>
  <r>
    <x v="212"/>
    <s v="P1070"/>
    <x v="13"/>
    <x v="2"/>
    <x v="2"/>
    <n v="272"/>
    <n v="81"/>
    <n v="115"/>
    <n v="238"/>
    <n v="0"/>
    <n v="9"/>
    <x v="3"/>
    <n v="10.02"/>
    <n v="12.83"/>
    <x v="7"/>
  </r>
  <r>
    <x v="212"/>
    <s v="P1076"/>
    <x v="7"/>
    <x v="2"/>
    <x v="1"/>
    <n v="202"/>
    <n v="163"/>
    <n v="134"/>
    <n v="231"/>
    <n v="0"/>
    <n v="11"/>
    <x v="5"/>
    <n v="1.82"/>
    <n v="2.37"/>
    <x v="7"/>
  </r>
  <r>
    <x v="212"/>
    <s v="P1076"/>
    <x v="7"/>
    <x v="2"/>
    <x v="3"/>
    <n v="109"/>
    <n v="43"/>
    <n v="148"/>
    <n v="4"/>
    <n v="0"/>
    <n v="13"/>
    <x v="3"/>
    <n v="11.16"/>
    <n v="16.670000000000002"/>
    <x v="7"/>
  </r>
  <r>
    <x v="213"/>
    <s v="P1002"/>
    <x v="18"/>
    <x v="0"/>
    <x v="3"/>
    <n v="170"/>
    <n v="55"/>
    <n v="56"/>
    <n v="169"/>
    <n v="0"/>
    <n v="11"/>
    <x v="0"/>
    <n v="174.2"/>
    <n v="238.81"/>
    <x v="7"/>
  </r>
  <r>
    <x v="213"/>
    <s v="P1012"/>
    <x v="41"/>
    <x v="0"/>
    <x v="0"/>
    <n v="168"/>
    <n v="20"/>
    <n v="48"/>
    <n v="140"/>
    <n v="0"/>
    <n v="4"/>
    <x v="6"/>
    <n v="211.95"/>
    <n v="286.08999999999997"/>
    <x v="7"/>
  </r>
  <r>
    <x v="213"/>
    <s v="P1022"/>
    <x v="53"/>
    <x v="3"/>
    <x v="3"/>
    <n v="153"/>
    <n v="45"/>
    <n v="56"/>
    <n v="142"/>
    <n v="0"/>
    <n v="9"/>
    <x v="10"/>
    <n v="71.02"/>
    <n v="84.89"/>
    <x v="7"/>
  </r>
  <r>
    <x v="213"/>
    <s v="P1027"/>
    <x v="26"/>
    <x v="3"/>
    <x v="1"/>
    <n v="110"/>
    <n v="143"/>
    <n v="134"/>
    <n v="119"/>
    <n v="0"/>
    <n v="6"/>
    <x v="7"/>
    <n v="67.66"/>
    <n v="90.92"/>
    <x v="7"/>
  </r>
  <r>
    <x v="213"/>
    <s v="P1039"/>
    <x v="30"/>
    <x v="1"/>
    <x v="2"/>
    <n v="107"/>
    <n v="220"/>
    <n v="135"/>
    <n v="192"/>
    <n v="0"/>
    <n v="3"/>
    <x v="2"/>
    <n v="14.75"/>
    <n v="20.07"/>
    <x v="7"/>
  </r>
  <r>
    <x v="213"/>
    <s v="P1053"/>
    <x v="39"/>
    <x v="4"/>
    <x v="2"/>
    <n v="30"/>
    <n v="12"/>
    <n v="2"/>
    <n v="40"/>
    <n v="0"/>
    <n v="9"/>
    <x v="9"/>
    <n v="315.91000000000003"/>
    <n v="443.75"/>
    <x v="7"/>
  </r>
  <r>
    <x v="213"/>
    <s v="P1063"/>
    <x v="12"/>
    <x v="4"/>
    <x v="2"/>
    <n v="73"/>
    <n v="13"/>
    <n v="7"/>
    <n v="79"/>
    <n v="0"/>
    <n v="13"/>
    <x v="8"/>
    <n v="88.37"/>
    <n v="133.1"/>
    <x v="7"/>
  </r>
  <r>
    <x v="213"/>
    <s v="P1063"/>
    <x v="12"/>
    <x v="4"/>
    <x v="0"/>
    <n v="75"/>
    <n v="7"/>
    <n v="10"/>
    <n v="72"/>
    <n v="0"/>
    <n v="13"/>
    <x v="9"/>
    <n v="315.58"/>
    <n v="425.76"/>
    <x v="7"/>
  </r>
  <r>
    <x v="213"/>
    <s v="P1068"/>
    <x v="33"/>
    <x v="2"/>
    <x v="0"/>
    <n v="294"/>
    <n v="213"/>
    <n v="52"/>
    <n v="455"/>
    <n v="0"/>
    <n v="12"/>
    <x v="3"/>
    <n v="16.59"/>
    <n v="19.41"/>
    <x v="7"/>
  </r>
  <r>
    <x v="213"/>
    <s v="P1076"/>
    <x v="7"/>
    <x v="2"/>
    <x v="3"/>
    <n v="269"/>
    <n v="142"/>
    <n v="112"/>
    <n v="299"/>
    <n v="0"/>
    <n v="14"/>
    <x v="5"/>
    <n v="2.98"/>
    <n v="3.69"/>
    <x v="7"/>
  </r>
  <r>
    <x v="213"/>
    <s v="P1077"/>
    <x v="50"/>
    <x v="2"/>
    <x v="2"/>
    <n v="85"/>
    <n v="37"/>
    <n v="18"/>
    <n v="104"/>
    <n v="0"/>
    <n v="6"/>
    <x v="3"/>
    <n v="20.72"/>
    <n v="29.09"/>
    <x v="7"/>
  </r>
  <r>
    <x v="214"/>
    <s v="P1011"/>
    <x v="37"/>
    <x v="0"/>
    <x v="1"/>
    <n v="96"/>
    <n v="10"/>
    <n v="51"/>
    <n v="55"/>
    <n v="0"/>
    <n v="5"/>
    <x v="6"/>
    <n v="18.21"/>
    <n v="27.74"/>
    <x v="7"/>
  </r>
  <r>
    <x v="214"/>
    <s v="P1014"/>
    <x v="28"/>
    <x v="0"/>
    <x v="3"/>
    <n v="173"/>
    <n v="78"/>
    <n v="68"/>
    <n v="183"/>
    <n v="0"/>
    <n v="6"/>
    <x v="6"/>
    <n v="113.59"/>
    <n v="150.4"/>
    <x v="7"/>
  </r>
  <r>
    <x v="214"/>
    <s v="P1030"/>
    <x v="9"/>
    <x v="3"/>
    <x v="1"/>
    <n v="298"/>
    <n v="70"/>
    <n v="88"/>
    <n v="280"/>
    <n v="0"/>
    <n v="7"/>
    <x v="10"/>
    <n v="84.01"/>
    <n v="118.96"/>
    <x v="7"/>
  </r>
  <r>
    <x v="214"/>
    <s v="P1035"/>
    <x v="42"/>
    <x v="1"/>
    <x v="0"/>
    <n v="493"/>
    <n v="240"/>
    <n v="129"/>
    <n v="604"/>
    <n v="0"/>
    <n v="3"/>
    <x v="13"/>
    <n v="21.26"/>
    <n v="27.08"/>
    <x v="7"/>
  </r>
  <r>
    <x v="214"/>
    <s v="P1058"/>
    <x v="52"/>
    <x v="4"/>
    <x v="2"/>
    <n v="31"/>
    <n v="17"/>
    <n v="10"/>
    <n v="38"/>
    <n v="0"/>
    <n v="10"/>
    <x v="9"/>
    <n v="293.19"/>
    <n v="372.92"/>
    <x v="7"/>
  </r>
  <r>
    <x v="214"/>
    <s v="P1064"/>
    <x v="32"/>
    <x v="4"/>
    <x v="1"/>
    <n v="61"/>
    <n v="6"/>
    <n v="8"/>
    <n v="59"/>
    <n v="0"/>
    <n v="13"/>
    <x v="9"/>
    <n v="275.26"/>
    <n v="385.93"/>
    <x v="7"/>
  </r>
  <r>
    <x v="215"/>
    <s v="P1006"/>
    <x v="19"/>
    <x v="0"/>
    <x v="2"/>
    <n v="127"/>
    <n v="85"/>
    <n v="24"/>
    <n v="188"/>
    <n v="0"/>
    <n v="10"/>
    <x v="6"/>
    <n v="179.84"/>
    <n v="237.46"/>
    <x v="7"/>
  </r>
  <r>
    <x v="215"/>
    <s v="P1006"/>
    <x v="19"/>
    <x v="0"/>
    <x v="1"/>
    <n v="46"/>
    <n v="33"/>
    <n v="43"/>
    <n v="36"/>
    <n v="0"/>
    <n v="9"/>
    <x v="1"/>
    <n v="84.84"/>
    <n v="108.56"/>
    <x v="7"/>
  </r>
  <r>
    <x v="215"/>
    <s v="P1009"/>
    <x v="1"/>
    <x v="0"/>
    <x v="1"/>
    <n v="21"/>
    <n v="22"/>
    <n v="43"/>
    <n v="0"/>
    <n v="1"/>
    <n v="13"/>
    <x v="6"/>
    <n v="47.11"/>
    <n v="55"/>
    <x v="7"/>
  </r>
  <r>
    <x v="215"/>
    <s v="P1017"/>
    <x v="45"/>
    <x v="3"/>
    <x v="0"/>
    <n v="284"/>
    <n v="52"/>
    <n v="32"/>
    <n v="304"/>
    <n v="0"/>
    <n v="14"/>
    <x v="12"/>
    <n v="53.33"/>
    <n v="66.73"/>
    <x v="7"/>
  </r>
  <r>
    <x v="215"/>
    <s v="P1030"/>
    <x v="9"/>
    <x v="3"/>
    <x v="0"/>
    <n v="151"/>
    <n v="64"/>
    <n v="86"/>
    <n v="129"/>
    <n v="0"/>
    <n v="2"/>
    <x v="12"/>
    <n v="18.920000000000002"/>
    <n v="23.74"/>
    <x v="7"/>
  </r>
  <r>
    <x v="215"/>
    <s v="P1036"/>
    <x v="75"/>
    <x v="1"/>
    <x v="2"/>
    <n v="208"/>
    <n v="178"/>
    <n v="138"/>
    <n v="248"/>
    <n v="0"/>
    <n v="5"/>
    <x v="2"/>
    <n v="19.93"/>
    <n v="23.05"/>
    <x v="7"/>
  </r>
  <r>
    <x v="215"/>
    <s v="P1061"/>
    <x v="22"/>
    <x v="4"/>
    <x v="2"/>
    <n v="23"/>
    <n v="24"/>
    <n v="14"/>
    <n v="33"/>
    <n v="0"/>
    <n v="11"/>
    <x v="9"/>
    <n v="327.3"/>
    <n v="445.47"/>
    <x v="7"/>
  </r>
  <r>
    <x v="215"/>
    <s v="P1077"/>
    <x v="50"/>
    <x v="2"/>
    <x v="2"/>
    <n v="265"/>
    <n v="108"/>
    <n v="57"/>
    <n v="316"/>
    <n v="0"/>
    <n v="2"/>
    <x v="4"/>
    <n v="1.4"/>
    <n v="1.79"/>
    <x v="7"/>
  </r>
  <r>
    <x v="216"/>
    <s v="P1001"/>
    <x v="34"/>
    <x v="0"/>
    <x v="2"/>
    <n v="24"/>
    <n v="26"/>
    <n v="40"/>
    <n v="10"/>
    <n v="0"/>
    <n v="7"/>
    <x v="1"/>
    <n v="61.69"/>
    <n v="94.73"/>
    <x v="7"/>
  </r>
  <r>
    <x v="216"/>
    <s v="P1010"/>
    <x v="47"/>
    <x v="0"/>
    <x v="2"/>
    <n v="112"/>
    <n v="89"/>
    <n v="32"/>
    <n v="169"/>
    <n v="0"/>
    <n v="7"/>
    <x v="0"/>
    <n v="56.58"/>
    <n v="87.66"/>
    <x v="7"/>
  </r>
  <r>
    <x v="216"/>
    <s v="P1014"/>
    <x v="28"/>
    <x v="0"/>
    <x v="2"/>
    <n v="149"/>
    <n v="71"/>
    <n v="25"/>
    <n v="195"/>
    <n v="0"/>
    <n v="7"/>
    <x v="6"/>
    <n v="177.02"/>
    <n v="244.79"/>
    <x v="7"/>
  </r>
  <r>
    <x v="216"/>
    <s v="P1015"/>
    <x v="73"/>
    <x v="0"/>
    <x v="1"/>
    <n v="68"/>
    <n v="28"/>
    <n v="16"/>
    <n v="80"/>
    <n v="0"/>
    <n v="10"/>
    <x v="6"/>
    <n v="52.52"/>
    <n v="60.86"/>
    <x v="7"/>
  </r>
  <r>
    <x v="216"/>
    <s v="P1038"/>
    <x v="4"/>
    <x v="1"/>
    <x v="3"/>
    <n v="428"/>
    <n v="54"/>
    <n v="130"/>
    <n v="352"/>
    <n v="0"/>
    <n v="5"/>
    <x v="2"/>
    <n v="4.33"/>
    <n v="6.15"/>
    <x v="7"/>
  </r>
  <r>
    <x v="216"/>
    <s v="P1055"/>
    <x v="51"/>
    <x v="4"/>
    <x v="1"/>
    <n v="35"/>
    <n v="21"/>
    <n v="8"/>
    <n v="48"/>
    <n v="0"/>
    <n v="11"/>
    <x v="9"/>
    <n v="82.59"/>
    <n v="104.7"/>
    <x v="7"/>
  </r>
  <r>
    <x v="216"/>
    <s v="P1078"/>
    <x v="65"/>
    <x v="2"/>
    <x v="2"/>
    <n v="175"/>
    <n v="217"/>
    <n v="71"/>
    <n v="321"/>
    <n v="0"/>
    <n v="12"/>
    <x v="3"/>
    <n v="24.61"/>
    <n v="33.42"/>
    <x v="7"/>
  </r>
  <r>
    <x v="217"/>
    <s v="P1026"/>
    <x v="14"/>
    <x v="3"/>
    <x v="1"/>
    <n v="296"/>
    <n v="36"/>
    <n v="93"/>
    <n v="239"/>
    <n v="0"/>
    <n v="14"/>
    <x v="12"/>
    <n v="55.94"/>
    <n v="65.180000000000007"/>
    <x v="7"/>
  </r>
  <r>
    <x v="217"/>
    <s v="P1049"/>
    <x v="10"/>
    <x v="4"/>
    <x v="1"/>
    <n v="70"/>
    <n v="5"/>
    <n v="19"/>
    <n v="56"/>
    <n v="0"/>
    <n v="3"/>
    <x v="9"/>
    <n v="277.97000000000003"/>
    <n v="387.33"/>
    <x v="7"/>
  </r>
  <r>
    <x v="218"/>
    <s v="P1004"/>
    <x v="57"/>
    <x v="0"/>
    <x v="2"/>
    <n v="176"/>
    <n v="35"/>
    <n v="39"/>
    <n v="172"/>
    <n v="0"/>
    <n v="4"/>
    <x v="0"/>
    <n v="54.36"/>
    <n v="65.69"/>
    <x v="7"/>
  </r>
  <r>
    <x v="218"/>
    <s v="P1005"/>
    <x v="62"/>
    <x v="0"/>
    <x v="3"/>
    <n v="149"/>
    <n v="34"/>
    <n v="17"/>
    <n v="166"/>
    <n v="0"/>
    <n v="11"/>
    <x v="0"/>
    <n v="132.88999999999999"/>
    <n v="163.82"/>
    <x v="7"/>
  </r>
  <r>
    <x v="218"/>
    <s v="P1006"/>
    <x v="19"/>
    <x v="0"/>
    <x v="3"/>
    <n v="44"/>
    <n v="57"/>
    <n v="47"/>
    <n v="54"/>
    <n v="0"/>
    <n v="6"/>
    <x v="6"/>
    <n v="94.3"/>
    <n v="111.48"/>
    <x v="7"/>
  </r>
  <r>
    <x v="218"/>
    <s v="P1007"/>
    <x v="70"/>
    <x v="0"/>
    <x v="3"/>
    <n v="154"/>
    <n v="88"/>
    <n v="18"/>
    <n v="224"/>
    <n v="0"/>
    <n v="8"/>
    <x v="0"/>
    <n v="100.76"/>
    <n v="146.13999999999999"/>
    <x v="7"/>
  </r>
  <r>
    <x v="218"/>
    <s v="P1019"/>
    <x v="66"/>
    <x v="3"/>
    <x v="3"/>
    <n v="163"/>
    <n v="120"/>
    <n v="44"/>
    <n v="239"/>
    <n v="0"/>
    <n v="8"/>
    <x v="12"/>
    <n v="44.42"/>
    <n v="68.760000000000005"/>
    <x v="7"/>
  </r>
  <r>
    <x v="218"/>
    <s v="P1036"/>
    <x v="75"/>
    <x v="1"/>
    <x v="0"/>
    <n v="450"/>
    <n v="107"/>
    <n v="196"/>
    <n v="361"/>
    <n v="0"/>
    <n v="3"/>
    <x v="13"/>
    <n v="9.81"/>
    <n v="13.07"/>
    <x v="7"/>
  </r>
  <r>
    <x v="218"/>
    <s v="P1036"/>
    <x v="75"/>
    <x v="1"/>
    <x v="0"/>
    <n v="228"/>
    <n v="225"/>
    <n v="165"/>
    <n v="288"/>
    <n v="0"/>
    <n v="1"/>
    <x v="11"/>
    <n v="12.58"/>
    <n v="15.87"/>
    <x v="7"/>
  </r>
  <r>
    <x v="218"/>
    <s v="P1049"/>
    <x v="10"/>
    <x v="4"/>
    <x v="2"/>
    <n v="28"/>
    <n v="23"/>
    <n v="2"/>
    <n v="49"/>
    <n v="0"/>
    <n v="9"/>
    <x v="8"/>
    <n v="135.35"/>
    <n v="161.51"/>
    <x v="7"/>
  </r>
  <r>
    <x v="219"/>
    <s v="P1024"/>
    <x v="54"/>
    <x v="3"/>
    <x v="1"/>
    <n v="173"/>
    <n v="44"/>
    <n v="94"/>
    <n v="123"/>
    <n v="0"/>
    <n v="8"/>
    <x v="7"/>
    <n v="28.29"/>
    <n v="42.34"/>
    <x v="7"/>
  </r>
  <r>
    <x v="219"/>
    <s v="P1046"/>
    <x v="49"/>
    <x v="1"/>
    <x v="2"/>
    <n v="306"/>
    <n v="216"/>
    <n v="194"/>
    <n v="328"/>
    <n v="0"/>
    <n v="7"/>
    <x v="2"/>
    <n v="8.61"/>
    <n v="13.14"/>
    <x v="7"/>
  </r>
  <r>
    <x v="220"/>
    <s v="P1013"/>
    <x v="2"/>
    <x v="0"/>
    <x v="3"/>
    <n v="140"/>
    <n v="14"/>
    <n v="74"/>
    <n v="80"/>
    <n v="0"/>
    <n v="2"/>
    <x v="0"/>
    <n v="24.28"/>
    <n v="30.04"/>
    <x v="7"/>
  </r>
  <r>
    <x v="220"/>
    <s v="P1016"/>
    <x v="35"/>
    <x v="0"/>
    <x v="1"/>
    <n v="149"/>
    <n v="65"/>
    <n v="55"/>
    <n v="159"/>
    <n v="0"/>
    <n v="7"/>
    <x v="1"/>
    <n v="116.27"/>
    <n v="139.22"/>
    <x v="7"/>
  </r>
  <r>
    <x v="220"/>
    <s v="P1028"/>
    <x v="29"/>
    <x v="3"/>
    <x v="0"/>
    <n v="298"/>
    <n v="46"/>
    <n v="123"/>
    <n v="221"/>
    <n v="0"/>
    <n v="12"/>
    <x v="10"/>
    <n v="88.65"/>
    <n v="106.94"/>
    <x v="7"/>
  </r>
  <r>
    <x v="220"/>
    <s v="P1028"/>
    <x v="29"/>
    <x v="3"/>
    <x v="1"/>
    <n v="189"/>
    <n v="78"/>
    <n v="77"/>
    <n v="190"/>
    <n v="0"/>
    <n v="8"/>
    <x v="12"/>
    <n v="29.03"/>
    <n v="44.23"/>
    <x v="7"/>
  </r>
  <r>
    <x v="220"/>
    <s v="P1029"/>
    <x v="63"/>
    <x v="3"/>
    <x v="3"/>
    <n v="75"/>
    <n v="83"/>
    <n v="104"/>
    <n v="54"/>
    <n v="0"/>
    <n v="10"/>
    <x v="12"/>
    <n v="19.170000000000002"/>
    <n v="26.88"/>
    <x v="7"/>
  </r>
  <r>
    <x v="220"/>
    <s v="P1058"/>
    <x v="52"/>
    <x v="4"/>
    <x v="3"/>
    <n v="71"/>
    <n v="2"/>
    <n v="17"/>
    <n v="56"/>
    <n v="0"/>
    <n v="10"/>
    <x v="8"/>
    <n v="212.04"/>
    <n v="322.32"/>
    <x v="7"/>
  </r>
  <r>
    <x v="220"/>
    <s v="P1062"/>
    <x v="68"/>
    <x v="4"/>
    <x v="1"/>
    <n v="78"/>
    <n v="7"/>
    <n v="2"/>
    <n v="83"/>
    <n v="0"/>
    <n v="11"/>
    <x v="14"/>
    <n v="332.57"/>
    <n v="437.66"/>
    <x v="7"/>
  </r>
  <r>
    <x v="221"/>
    <s v="P1002"/>
    <x v="18"/>
    <x v="0"/>
    <x v="3"/>
    <n v="94"/>
    <n v="48"/>
    <n v="29"/>
    <n v="113"/>
    <n v="0"/>
    <n v="6"/>
    <x v="1"/>
    <n v="167.85"/>
    <n v="259.87"/>
    <x v="7"/>
  </r>
  <r>
    <x v="221"/>
    <s v="P1012"/>
    <x v="41"/>
    <x v="0"/>
    <x v="3"/>
    <n v="31"/>
    <n v="36"/>
    <n v="43"/>
    <n v="24"/>
    <n v="0"/>
    <n v="10"/>
    <x v="6"/>
    <n v="194.14"/>
    <n v="224.26"/>
    <x v="7"/>
  </r>
  <r>
    <x v="221"/>
    <s v="P1017"/>
    <x v="45"/>
    <x v="3"/>
    <x v="2"/>
    <n v="233"/>
    <n v="54"/>
    <n v="28"/>
    <n v="259"/>
    <n v="0"/>
    <n v="12"/>
    <x v="12"/>
    <n v="81.7"/>
    <n v="124.38"/>
    <x v="7"/>
  </r>
  <r>
    <x v="221"/>
    <s v="P1028"/>
    <x v="29"/>
    <x v="3"/>
    <x v="1"/>
    <n v="205"/>
    <n v="100"/>
    <n v="87"/>
    <n v="218"/>
    <n v="0"/>
    <n v="14"/>
    <x v="10"/>
    <n v="76.95"/>
    <n v="95.3"/>
    <x v="7"/>
  </r>
  <r>
    <x v="221"/>
    <s v="P1036"/>
    <x v="75"/>
    <x v="1"/>
    <x v="2"/>
    <n v="86"/>
    <n v="149"/>
    <n v="141"/>
    <n v="94"/>
    <n v="0"/>
    <n v="3"/>
    <x v="11"/>
    <n v="10.51"/>
    <n v="14.4"/>
    <x v="7"/>
  </r>
  <r>
    <x v="221"/>
    <s v="P1040"/>
    <x v="67"/>
    <x v="1"/>
    <x v="2"/>
    <n v="98"/>
    <n v="40"/>
    <n v="59"/>
    <n v="79"/>
    <n v="0"/>
    <n v="6"/>
    <x v="11"/>
    <n v="15.04"/>
    <n v="22.88"/>
    <x v="7"/>
  </r>
  <r>
    <x v="221"/>
    <s v="P1052"/>
    <x v="60"/>
    <x v="4"/>
    <x v="2"/>
    <n v="48"/>
    <n v="18"/>
    <n v="1"/>
    <n v="65"/>
    <n v="0"/>
    <n v="7"/>
    <x v="14"/>
    <n v="304.44"/>
    <n v="354.37"/>
    <x v="7"/>
  </r>
  <r>
    <x v="221"/>
    <s v="P1060"/>
    <x v="16"/>
    <x v="4"/>
    <x v="0"/>
    <n v="77"/>
    <n v="5"/>
    <n v="19"/>
    <n v="63"/>
    <n v="0"/>
    <n v="12"/>
    <x v="9"/>
    <n v="155.27000000000001"/>
    <n v="191.4"/>
    <x v="7"/>
  </r>
  <r>
    <x v="221"/>
    <s v="P1071"/>
    <x v="40"/>
    <x v="2"/>
    <x v="1"/>
    <n v="205"/>
    <n v="214"/>
    <n v="133"/>
    <n v="286"/>
    <n v="0"/>
    <n v="6"/>
    <x v="3"/>
    <n v="24.77"/>
    <n v="36.659999999999997"/>
    <x v="7"/>
  </r>
  <r>
    <x v="222"/>
    <s v="P1020"/>
    <x v="23"/>
    <x v="3"/>
    <x v="0"/>
    <n v="201"/>
    <n v="128"/>
    <n v="95"/>
    <n v="234"/>
    <n v="0"/>
    <n v="6"/>
    <x v="7"/>
    <n v="76.36"/>
    <n v="101.27"/>
    <x v="7"/>
  </r>
  <r>
    <x v="222"/>
    <s v="P1020"/>
    <x v="23"/>
    <x v="3"/>
    <x v="0"/>
    <n v="61"/>
    <n v="146"/>
    <n v="89"/>
    <n v="118"/>
    <n v="0"/>
    <n v="14"/>
    <x v="7"/>
    <n v="81.819999999999993"/>
    <n v="120.02"/>
    <x v="7"/>
  </r>
  <r>
    <x v="222"/>
    <s v="P1031"/>
    <x v="76"/>
    <x v="3"/>
    <x v="3"/>
    <n v="156"/>
    <n v="43"/>
    <n v="48"/>
    <n v="151"/>
    <n v="0"/>
    <n v="11"/>
    <x v="7"/>
    <n v="84.31"/>
    <n v="106.08"/>
    <x v="7"/>
  </r>
  <r>
    <x v="222"/>
    <s v="P1036"/>
    <x v="75"/>
    <x v="1"/>
    <x v="2"/>
    <n v="408"/>
    <n v="170"/>
    <n v="145"/>
    <n v="433"/>
    <n v="0"/>
    <n v="7"/>
    <x v="11"/>
    <n v="2.21"/>
    <n v="2.57"/>
    <x v="7"/>
  </r>
  <r>
    <x v="222"/>
    <s v="P1042"/>
    <x v="61"/>
    <x v="1"/>
    <x v="3"/>
    <n v="100"/>
    <n v="91"/>
    <n v="101"/>
    <n v="90"/>
    <n v="0"/>
    <n v="3"/>
    <x v="2"/>
    <n v="9.01"/>
    <n v="11.02"/>
    <x v="7"/>
  </r>
  <r>
    <x v="222"/>
    <s v="P1050"/>
    <x v="72"/>
    <x v="4"/>
    <x v="2"/>
    <n v="25"/>
    <n v="20"/>
    <n v="2"/>
    <n v="43"/>
    <n v="0"/>
    <n v="13"/>
    <x v="8"/>
    <n v="235.75"/>
    <n v="277.57"/>
    <x v="7"/>
  </r>
  <r>
    <x v="222"/>
    <s v="P1062"/>
    <x v="68"/>
    <x v="4"/>
    <x v="1"/>
    <n v="80"/>
    <n v="13"/>
    <n v="20"/>
    <n v="73"/>
    <n v="0"/>
    <n v="8"/>
    <x v="14"/>
    <n v="330.63"/>
    <n v="414.7"/>
    <x v="7"/>
  </r>
  <r>
    <x v="222"/>
    <s v="P1064"/>
    <x v="32"/>
    <x v="4"/>
    <x v="3"/>
    <n v="38"/>
    <n v="20"/>
    <n v="9"/>
    <n v="49"/>
    <n v="0"/>
    <n v="11"/>
    <x v="9"/>
    <n v="59.71"/>
    <n v="91.44"/>
    <x v="7"/>
  </r>
  <r>
    <x v="222"/>
    <s v="P1073"/>
    <x v="78"/>
    <x v="2"/>
    <x v="1"/>
    <n v="380"/>
    <n v="100"/>
    <n v="21"/>
    <n v="459"/>
    <n v="0"/>
    <n v="9"/>
    <x v="3"/>
    <n v="24.57"/>
    <n v="34.79"/>
    <x v="7"/>
  </r>
  <r>
    <x v="223"/>
    <s v="P1002"/>
    <x v="18"/>
    <x v="0"/>
    <x v="2"/>
    <n v="66"/>
    <n v="24"/>
    <n v="23"/>
    <n v="67"/>
    <n v="0"/>
    <n v="11"/>
    <x v="1"/>
    <n v="48.79"/>
    <n v="59.44"/>
    <x v="7"/>
  </r>
  <r>
    <x v="223"/>
    <s v="P1019"/>
    <x v="66"/>
    <x v="3"/>
    <x v="1"/>
    <n v="202"/>
    <n v="62"/>
    <n v="38"/>
    <n v="226"/>
    <n v="0"/>
    <n v="6"/>
    <x v="7"/>
    <n v="51.42"/>
    <n v="67.38"/>
    <x v="7"/>
  </r>
  <r>
    <x v="223"/>
    <s v="P1021"/>
    <x v="77"/>
    <x v="3"/>
    <x v="0"/>
    <n v="108"/>
    <n v="89"/>
    <n v="14"/>
    <n v="183"/>
    <n v="0"/>
    <n v="4"/>
    <x v="7"/>
    <n v="58.4"/>
    <n v="87"/>
    <x v="7"/>
  </r>
  <r>
    <x v="223"/>
    <s v="P1044"/>
    <x v="48"/>
    <x v="1"/>
    <x v="0"/>
    <n v="346"/>
    <n v="186"/>
    <n v="158"/>
    <n v="374"/>
    <n v="0"/>
    <n v="5"/>
    <x v="13"/>
    <n v="23.38"/>
    <n v="28.43"/>
    <x v="7"/>
  </r>
  <r>
    <x v="223"/>
    <s v="P1063"/>
    <x v="12"/>
    <x v="4"/>
    <x v="0"/>
    <n v="35"/>
    <n v="24"/>
    <n v="15"/>
    <n v="44"/>
    <n v="0"/>
    <n v="5"/>
    <x v="14"/>
    <n v="206.77"/>
    <n v="253.29"/>
    <x v="7"/>
  </r>
  <r>
    <x v="223"/>
    <s v="P1068"/>
    <x v="33"/>
    <x v="2"/>
    <x v="3"/>
    <n v="280"/>
    <n v="152"/>
    <n v="16"/>
    <n v="416"/>
    <n v="0"/>
    <n v="10"/>
    <x v="3"/>
    <n v="20.27"/>
    <n v="26.98"/>
    <x v="7"/>
  </r>
  <r>
    <x v="223"/>
    <s v="P1071"/>
    <x v="40"/>
    <x v="2"/>
    <x v="2"/>
    <n v="101"/>
    <n v="127"/>
    <n v="174"/>
    <n v="54"/>
    <n v="0"/>
    <n v="14"/>
    <x v="3"/>
    <n v="6.64"/>
    <n v="7.79"/>
    <x v="7"/>
  </r>
  <r>
    <x v="224"/>
    <s v="P1002"/>
    <x v="18"/>
    <x v="0"/>
    <x v="0"/>
    <n v="92"/>
    <n v="22"/>
    <n v="74"/>
    <n v="40"/>
    <n v="0"/>
    <n v="7"/>
    <x v="1"/>
    <n v="151.35"/>
    <n v="183.58"/>
    <x v="7"/>
  </r>
  <r>
    <x v="224"/>
    <s v="P1015"/>
    <x v="73"/>
    <x v="0"/>
    <x v="0"/>
    <n v="137"/>
    <n v="14"/>
    <n v="64"/>
    <n v="87"/>
    <n v="0"/>
    <n v="4"/>
    <x v="6"/>
    <n v="140.49"/>
    <n v="185.89"/>
    <x v="7"/>
  </r>
  <r>
    <x v="224"/>
    <s v="P1034"/>
    <x v="3"/>
    <x v="1"/>
    <x v="3"/>
    <n v="187"/>
    <n v="49"/>
    <n v="114"/>
    <n v="122"/>
    <n v="0"/>
    <n v="6"/>
    <x v="2"/>
    <n v="22.9"/>
    <n v="33.53"/>
    <x v="7"/>
  </r>
  <r>
    <x v="224"/>
    <s v="P1038"/>
    <x v="4"/>
    <x v="1"/>
    <x v="3"/>
    <n v="287"/>
    <n v="208"/>
    <n v="93"/>
    <n v="402"/>
    <n v="0"/>
    <n v="2"/>
    <x v="13"/>
    <n v="4.92"/>
    <n v="7.36"/>
    <x v="7"/>
  </r>
  <r>
    <x v="224"/>
    <s v="P1040"/>
    <x v="67"/>
    <x v="1"/>
    <x v="3"/>
    <n v="117"/>
    <n v="140"/>
    <n v="81"/>
    <n v="176"/>
    <n v="0"/>
    <n v="1"/>
    <x v="11"/>
    <n v="23.5"/>
    <n v="34.93"/>
    <x v="7"/>
  </r>
  <r>
    <x v="224"/>
    <s v="P1056"/>
    <x v="56"/>
    <x v="4"/>
    <x v="2"/>
    <n v="45"/>
    <n v="10"/>
    <n v="10"/>
    <n v="45"/>
    <n v="0"/>
    <n v="10"/>
    <x v="9"/>
    <n v="106.28"/>
    <n v="157.79"/>
    <x v="7"/>
  </r>
  <r>
    <x v="224"/>
    <s v="P1056"/>
    <x v="56"/>
    <x v="4"/>
    <x v="2"/>
    <n v="66"/>
    <n v="23"/>
    <n v="20"/>
    <n v="69"/>
    <n v="0"/>
    <n v="5"/>
    <x v="8"/>
    <n v="145.28"/>
    <n v="168.14"/>
    <x v="7"/>
  </r>
  <r>
    <x v="224"/>
    <s v="P1077"/>
    <x v="50"/>
    <x v="2"/>
    <x v="1"/>
    <n v="357"/>
    <n v="209"/>
    <n v="166"/>
    <n v="400"/>
    <n v="0"/>
    <n v="6"/>
    <x v="5"/>
    <n v="15.3"/>
    <n v="22.4"/>
    <x v="7"/>
  </r>
  <r>
    <x v="224"/>
    <s v="P1079"/>
    <x v="8"/>
    <x v="2"/>
    <x v="0"/>
    <n v="65"/>
    <n v="126"/>
    <n v="108"/>
    <n v="83"/>
    <n v="0"/>
    <n v="4"/>
    <x v="3"/>
    <n v="20.11"/>
    <n v="25.32"/>
    <x v="7"/>
  </r>
  <r>
    <x v="225"/>
    <s v="P1012"/>
    <x v="41"/>
    <x v="0"/>
    <x v="0"/>
    <n v="113"/>
    <n v="15"/>
    <n v="73"/>
    <n v="55"/>
    <n v="0"/>
    <n v="6"/>
    <x v="0"/>
    <n v="203.74"/>
    <n v="262.42"/>
    <x v="7"/>
  </r>
  <r>
    <x v="225"/>
    <s v="P1017"/>
    <x v="45"/>
    <x v="3"/>
    <x v="1"/>
    <n v="270"/>
    <n v="96"/>
    <n v="49"/>
    <n v="317"/>
    <n v="0"/>
    <n v="12"/>
    <x v="10"/>
    <n v="31.46"/>
    <n v="42.68"/>
    <x v="7"/>
  </r>
  <r>
    <x v="225"/>
    <s v="P1019"/>
    <x v="66"/>
    <x v="3"/>
    <x v="2"/>
    <n v="284"/>
    <n v="99"/>
    <n v="17"/>
    <n v="366"/>
    <n v="0"/>
    <n v="14"/>
    <x v="7"/>
    <n v="78.05"/>
    <n v="113.89"/>
    <x v="7"/>
  </r>
  <r>
    <x v="225"/>
    <s v="P1032"/>
    <x v="58"/>
    <x v="3"/>
    <x v="1"/>
    <n v="199"/>
    <n v="43"/>
    <n v="79"/>
    <n v="163"/>
    <n v="0"/>
    <n v="9"/>
    <x v="12"/>
    <n v="13.93"/>
    <n v="20.91"/>
    <x v="7"/>
  </r>
  <r>
    <x v="225"/>
    <s v="P1039"/>
    <x v="30"/>
    <x v="1"/>
    <x v="2"/>
    <n v="453"/>
    <n v="81"/>
    <n v="66"/>
    <n v="468"/>
    <n v="0"/>
    <n v="5"/>
    <x v="2"/>
    <n v="16.96"/>
    <n v="20.94"/>
    <x v="7"/>
  </r>
  <r>
    <x v="225"/>
    <s v="P1041"/>
    <x v="38"/>
    <x v="1"/>
    <x v="2"/>
    <n v="371"/>
    <n v="181"/>
    <n v="131"/>
    <n v="421"/>
    <n v="0"/>
    <n v="6"/>
    <x v="2"/>
    <n v="23.46"/>
    <n v="27.69"/>
    <x v="7"/>
  </r>
  <r>
    <x v="225"/>
    <s v="P1046"/>
    <x v="49"/>
    <x v="1"/>
    <x v="2"/>
    <n v="223"/>
    <n v="129"/>
    <n v="24"/>
    <n v="328"/>
    <n v="0"/>
    <n v="1"/>
    <x v="2"/>
    <n v="8.41"/>
    <n v="12.27"/>
    <x v="7"/>
  </r>
  <r>
    <x v="225"/>
    <s v="P1051"/>
    <x v="31"/>
    <x v="4"/>
    <x v="0"/>
    <n v="54"/>
    <n v="5"/>
    <n v="11"/>
    <n v="48"/>
    <n v="0"/>
    <n v="5"/>
    <x v="8"/>
    <n v="226.4"/>
    <n v="311.25"/>
    <x v="7"/>
  </r>
  <r>
    <x v="225"/>
    <s v="P1059"/>
    <x v="11"/>
    <x v="4"/>
    <x v="1"/>
    <n v="72"/>
    <n v="11"/>
    <n v="7"/>
    <n v="76"/>
    <n v="0"/>
    <n v="13"/>
    <x v="8"/>
    <n v="143.66"/>
    <n v="200.35"/>
    <x v="7"/>
  </r>
  <r>
    <x v="225"/>
    <s v="P1062"/>
    <x v="68"/>
    <x v="4"/>
    <x v="3"/>
    <n v="51"/>
    <n v="8"/>
    <n v="9"/>
    <n v="50"/>
    <n v="0"/>
    <n v="2"/>
    <x v="14"/>
    <n v="168.88"/>
    <n v="243.67"/>
    <x v="7"/>
  </r>
  <r>
    <x v="225"/>
    <s v="P1077"/>
    <x v="50"/>
    <x v="2"/>
    <x v="3"/>
    <n v="395"/>
    <n v="181"/>
    <n v="163"/>
    <n v="413"/>
    <n v="0"/>
    <n v="5"/>
    <x v="4"/>
    <n v="27.2"/>
    <n v="32.49"/>
    <x v="7"/>
  </r>
  <r>
    <x v="226"/>
    <s v="P1006"/>
    <x v="19"/>
    <x v="0"/>
    <x v="1"/>
    <n v="65"/>
    <n v="39"/>
    <n v="73"/>
    <n v="31"/>
    <n v="0"/>
    <n v="10"/>
    <x v="1"/>
    <n v="207.88"/>
    <n v="254.27"/>
    <x v="7"/>
  </r>
  <r>
    <x v="226"/>
    <s v="P1008"/>
    <x v="0"/>
    <x v="0"/>
    <x v="1"/>
    <n v="88"/>
    <n v="28"/>
    <n v="42"/>
    <n v="74"/>
    <n v="0"/>
    <n v="12"/>
    <x v="0"/>
    <n v="152.44"/>
    <n v="192.92"/>
    <x v="7"/>
  </r>
  <r>
    <x v="226"/>
    <s v="P1017"/>
    <x v="45"/>
    <x v="3"/>
    <x v="2"/>
    <n v="142"/>
    <n v="29"/>
    <n v="80"/>
    <n v="91"/>
    <n v="0"/>
    <n v="11"/>
    <x v="12"/>
    <n v="56.91"/>
    <n v="83.99"/>
    <x v="7"/>
  </r>
  <r>
    <x v="226"/>
    <s v="P1050"/>
    <x v="72"/>
    <x v="4"/>
    <x v="3"/>
    <n v="61"/>
    <n v="24"/>
    <n v="17"/>
    <n v="68"/>
    <n v="0"/>
    <n v="7"/>
    <x v="8"/>
    <n v="246.3"/>
    <n v="371.64"/>
    <x v="7"/>
  </r>
  <r>
    <x v="226"/>
    <s v="P1056"/>
    <x v="56"/>
    <x v="4"/>
    <x v="3"/>
    <n v="53"/>
    <n v="13"/>
    <n v="18"/>
    <n v="48"/>
    <n v="0"/>
    <n v="11"/>
    <x v="14"/>
    <n v="185.93"/>
    <n v="259.13"/>
    <x v="7"/>
  </r>
  <r>
    <x v="227"/>
    <s v="P1003"/>
    <x v="64"/>
    <x v="0"/>
    <x v="0"/>
    <n v="104"/>
    <n v="70"/>
    <n v="26"/>
    <n v="148"/>
    <n v="0"/>
    <n v="4"/>
    <x v="1"/>
    <n v="198.49"/>
    <n v="296.01"/>
    <x v="7"/>
  </r>
  <r>
    <x v="227"/>
    <s v="P1013"/>
    <x v="2"/>
    <x v="0"/>
    <x v="3"/>
    <n v="126"/>
    <n v="89"/>
    <n v="45"/>
    <n v="170"/>
    <n v="0"/>
    <n v="4"/>
    <x v="1"/>
    <n v="92.55"/>
    <n v="123.95"/>
    <x v="7"/>
  </r>
  <r>
    <x v="227"/>
    <s v="P1017"/>
    <x v="45"/>
    <x v="3"/>
    <x v="0"/>
    <n v="245"/>
    <n v="81"/>
    <n v="109"/>
    <n v="217"/>
    <n v="0"/>
    <n v="5"/>
    <x v="12"/>
    <n v="71.959999999999994"/>
    <n v="96.33"/>
    <x v="7"/>
  </r>
  <r>
    <x v="227"/>
    <s v="P1033"/>
    <x v="27"/>
    <x v="1"/>
    <x v="2"/>
    <n v="265"/>
    <n v="117"/>
    <n v="153"/>
    <n v="229"/>
    <n v="0"/>
    <n v="1"/>
    <x v="13"/>
    <n v="19.84"/>
    <n v="25.1"/>
    <x v="7"/>
  </r>
  <r>
    <x v="227"/>
    <s v="P1048"/>
    <x v="74"/>
    <x v="1"/>
    <x v="3"/>
    <n v="177"/>
    <n v="222"/>
    <n v="147"/>
    <n v="252"/>
    <n v="0"/>
    <n v="5"/>
    <x v="13"/>
    <n v="5.79"/>
    <n v="8.25"/>
    <x v="7"/>
  </r>
  <r>
    <x v="227"/>
    <s v="P1052"/>
    <x v="60"/>
    <x v="4"/>
    <x v="2"/>
    <n v="17"/>
    <n v="14"/>
    <n v="5"/>
    <n v="26"/>
    <n v="0"/>
    <n v="3"/>
    <x v="14"/>
    <n v="100.6"/>
    <n v="120.34"/>
    <x v="7"/>
  </r>
  <r>
    <x v="227"/>
    <s v="P1055"/>
    <x v="51"/>
    <x v="4"/>
    <x v="3"/>
    <n v="32"/>
    <n v="12"/>
    <n v="17"/>
    <n v="27"/>
    <n v="0"/>
    <n v="11"/>
    <x v="14"/>
    <n v="199.1"/>
    <n v="260.36"/>
    <x v="7"/>
  </r>
  <r>
    <x v="227"/>
    <s v="P1067"/>
    <x v="5"/>
    <x v="2"/>
    <x v="0"/>
    <n v="187"/>
    <n v="181"/>
    <n v="113"/>
    <n v="255"/>
    <n v="0"/>
    <n v="13"/>
    <x v="5"/>
    <n v="8.94"/>
    <n v="12.03"/>
    <x v="7"/>
  </r>
  <r>
    <x v="227"/>
    <s v="P1076"/>
    <x v="7"/>
    <x v="2"/>
    <x v="2"/>
    <n v="109"/>
    <n v="171"/>
    <n v="132"/>
    <n v="148"/>
    <n v="0"/>
    <n v="11"/>
    <x v="5"/>
    <n v="19.13"/>
    <n v="29.24"/>
    <x v="7"/>
  </r>
  <r>
    <x v="228"/>
    <s v="P1024"/>
    <x v="54"/>
    <x v="3"/>
    <x v="1"/>
    <n v="252"/>
    <n v="73"/>
    <n v="25"/>
    <n v="300"/>
    <n v="0"/>
    <n v="12"/>
    <x v="7"/>
    <n v="41.99"/>
    <n v="60.95"/>
    <x v="7"/>
  </r>
  <r>
    <x v="228"/>
    <s v="P1041"/>
    <x v="38"/>
    <x v="1"/>
    <x v="0"/>
    <n v="448"/>
    <n v="89"/>
    <n v="31"/>
    <n v="506"/>
    <n v="0"/>
    <n v="1"/>
    <x v="2"/>
    <n v="4.92"/>
    <n v="5.9"/>
    <x v="7"/>
  </r>
  <r>
    <x v="229"/>
    <s v="P1003"/>
    <x v="64"/>
    <x v="0"/>
    <x v="0"/>
    <n v="88"/>
    <n v="31"/>
    <n v="68"/>
    <n v="51"/>
    <n v="0"/>
    <n v="10"/>
    <x v="6"/>
    <n v="135.41"/>
    <n v="165.16"/>
    <x v="7"/>
  </r>
  <r>
    <x v="229"/>
    <s v="P1012"/>
    <x v="41"/>
    <x v="0"/>
    <x v="2"/>
    <n v="156"/>
    <n v="77"/>
    <n v="39"/>
    <n v="194"/>
    <n v="0"/>
    <n v="2"/>
    <x v="0"/>
    <n v="28.26"/>
    <n v="43.3"/>
    <x v="7"/>
  </r>
  <r>
    <x v="229"/>
    <s v="P1019"/>
    <x v="66"/>
    <x v="3"/>
    <x v="0"/>
    <n v="243"/>
    <n v="65"/>
    <n v="24"/>
    <n v="284"/>
    <n v="0"/>
    <n v="4"/>
    <x v="7"/>
    <n v="86.55"/>
    <n v="119.91"/>
    <x v="7"/>
  </r>
  <r>
    <x v="229"/>
    <s v="P1028"/>
    <x v="29"/>
    <x v="3"/>
    <x v="3"/>
    <n v="168"/>
    <n v="27"/>
    <n v="110"/>
    <n v="85"/>
    <n v="0"/>
    <n v="13"/>
    <x v="10"/>
    <n v="75.27"/>
    <n v="95.99"/>
    <x v="7"/>
  </r>
  <r>
    <x v="229"/>
    <s v="P1032"/>
    <x v="58"/>
    <x v="3"/>
    <x v="3"/>
    <n v="179"/>
    <n v="118"/>
    <n v="31"/>
    <n v="266"/>
    <n v="0"/>
    <n v="4"/>
    <x v="10"/>
    <n v="18.61"/>
    <n v="24.2"/>
    <x v="7"/>
  </r>
  <r>
    <x v="229"/>
    <s v="P1039"/>
    <x v="30"/>
    <x v="1"/>
    <x v="2"/>
    <n v="483"/>
    <n v="73"/>
    <n v="183"/>
    <n v="373"/>
    <n v="0"/>
    <n v="3"/>
    <x v="11"/>
    <n v="8.3000000000000007"/>
    <n v="9.98"/>
    <x v="7"/>
  </r>
  <r>
    <x v="229"/>
    <s v="P1045"/>
    <x v="15"/>
    <x v="1"/>
    <x v="1"/>
    <n v="341"/>
    <n v="206"/>
    <n v="199"/>
    <n v="348"/>
    <n v="0"/>
    <n v="7"/>
    <x v="11"/>
    <n v="20.91"/>
    <n v="27.23"/>
    <x v="7"/>
  </r>
  <r>
    <x v="229"/>
    <s v="P1062"/>
    <x v="68"/>
    <x v="4"/>
    <x v="1"/>
    <n v="23"/>
    <n v="4"/>
    <n v="5"/>
    <n v="22"/>
    <n v="0"/>
    <n v="11"/>
    <x v="9"/>
    <n v="207.48"/>
    <n v="285.13"/>
    <x v="7"/>
  </r>
  <r>
    <x v="230"/>
    <s v="P1011"/>
    <x v="37"/>
    <x v="0"/>
    <x v="1"/>
    <n v="147"/>
    <n v="65"/>
    <n v="35"/>
    <n v="177"/>
    <n v="0"/>
    <n v="12"/>
    <x v="0"/>
    <n v="170.47"/>
    <n v="197.54"/>
    <x v="7"/>
  </r>
  <r>
    <x v="231"/>
    <s v="P1002"/>
    <x v="18"/>
    <x v="0"/>
    <x v="1"/>
    <n v="106"/>
    <n v="47"/>
    <n v="10"/>
    <n v="143"/>
    <n v="0"/>
    <n v="7"/>
    <x v="6"/>
    <n v="67.150000000000006"/>
    <n v="86.94"/>
    <x v="7"/>
  </r>
  <r>
    <x v="231"/>
    <s v="P1011"/>
    <x v="37"/>
    <x v="0"/>
    <x v="1"/>
    <n v="139"/>
    <n v="89"/>
    <n v="59"/>
    <n v="169"/>
    <n v="0"/>
    <n v="12"/>
    <x v="6"/>
    <n v="30.78"/>
    <n v="43.66"/>
    <x v="7"/>
  </r>
  <r>
    <x v="231"/>
    <s v="P1017"/>
    <x v="45"/>
    <x v="3"/>
    <x v="3"/>
    <n v="249"/>
    <n v="70"/>
    <n v="127"/>
    <n v="192"/>
    <n v="0"/>
    <n v="10"/>
    <x v="10"/>
    <n v="58.23"/>
    <n v="87.31"/>
    <x v="7"/>
  </r>
  <r>
    <x v="231"/>
    <s v="P1033"/>
    <x v="27"/>
    <x v="1"/>
    <x v="1"/>
    <n v="266"/>
    <n v="82"/>
    <n v="122"/>
    <n v="226"/>
    <n v="0"/>
    <n v="2"/>
    <x v="2"/>
    <n v="10.66"/>
    <n v="13.52"/>
    <x v="7"/>
  </r>
  <r>
    <x v="231"/>
    <s v="P1034"/>
    <x v="3"/>
    <x v="1"/>
    <x v="3"/>
    <n v="308"/>
    <n v="173"/>
    <n v="38"/>
    <n v="443"/>
    <n v="0"/>
    <n v="2"/>
    <x v="13"/>
    <n v="18.71"/>
    <n v="25.33"/>
    <x v="7"/>
  </r>
  <r>
    <x v="231"/>
    <s v="P1037"/>
    <x v="59"/>
    <x v="1"/>
    <x v="3"/>
    <n v="476"/>
    <n v="120"/>
    <n v="151"/>
    <n v="445"/>
    <n v="0"/>
    <n v="1"/>
    <x v="2"/>
    <n v="23.03"/>
    <n v="26.67"/>
    <x v="7"/>
  </r>
  <r>
    <x v="231"/>
    <s v="P1051"/>
    <x v="31"/>
    <x v="4"/>
    <x v="0"/>
    <n v="38"/>
    <n v="4"/>
    <n v="14"/>
    <n v="28"/>
    <n v="0"/>
    <n v="10"/>
    <x v="8"/>
    <n v="35.24"/>
    <n v="42.24"/>
    <x v="7"/>
  </r>
  <r>
    <x v="231"/>
    <s v="P1057"/>
    <x v="36"/>
    <x v="4"/>
    <x v="2"/>
    <n v="68"/>
    <n v="2"/>
    <n v="10"/>
    <n v="60"/>
    <n v="0"/>
    <n v="10"/>
    <x v="14"/>
    <n v="268.55"/>
    <n v="407.43"/>
    <x v="7"/>
  </r>
  <r>
    <x v="231"/>
    <s v="P1059"/>
    <x v="11"/>
    <x v="4"/>
    <x v="1"/>
    <n v="37"/>
    <n v="14"/>
    <n v="15"/>
    <n v="36"/>
    <n v="0"/>
    <n v="13"/>
    <x v="8"/>
    <n v="178.99"/>
    <n v="209.98"/>
    <x v="7"/>
  </r>
  <r>
    <x v="231"/>
    <s v="P1061"/>
    <x v="22"/>
    <x v="4"/>
    <x v="2"/>
    <n v="28"/>
    <n v="7"/>
    <n v="14"/>
    <n v="21"/>
    <n v="0"/>
    <n v="5"/>
    <x v="14"/>
    <n v="125.03"/>
    <n v="174.47"/>
    <x v="7"/>
  </r>
  <r>
    <x v="231"/>
    <s v="P1065"/>
    <x v="25"/>
    <x v="2"/>
    <x v="1"/>
    <n v="61"/>
    <n v="153"/>
    <n v="38"/>
    <n v="176"/>
    <n v="0"/>
    <n v="11"/>
    <x v="3"/>
    <n v="21"/>
    <n v="25.36"/>
    <x v="7"/>
  </r>
  <r>
    <x v="232"/>
    <s v="P1032"/>
    <x v="58"/>
    <x v="3"/>
    <x v="1"/>
    <n v="270"/>
    <n v="134"/>
    <n v="69"/>
    <n v="335"/>
    <n v="0"/>
    <n v="3"/>
    <x v="10"/>
    <n v="43.38"/>
    <n v="53.88"/>
    <x v="7"/>
  </r>
  <r>
    <x v="232"/>
    <s v="P1070"/>
    <x v="13"/>
    <x v="2"/>
    <x v="0"/>
    <n v="168"/>
    <n v="41"/>
    <n v="175"/>
    <n v="34"/>
    <n v="0"/>
    <n v="14"/>
    <x v="4"/>
    <n v="21.83"/>
    <n v="33.44"/>
    <x v="7"/>
  </r>
  <r>
    <x v="233"/>
    <s v="P1024"/>
    <x v="54"/>
    <x v="3"/>
    <x v="2"/>
    <n v="298"/>
    <n v="87"/>
    <n v="110"/>
    <n v="275"/>
    <n v="0"/>
    <n v="9"/>
    <x v="12"/>
    <n v="66.760000000000005"/>
    <n v="86.35"/>
    <x v="7"/>
  </r>
  <r>
    <x v="233"/>
    <s v="P1028"/>
    <x v="29"/>
    <x v="3"/>
    <x v="1"/>
    <n v="206"/>
    <n v="138"/>
    <n v="18"/>
    <n v="326"/>
    <n v="0"/>
    <n v="11"/>
    <x v="7"/>
    <n v="23.16"/>
    <n v="27.19"/>
    <x v="7"/>
  </r>
  <r>
    <x v="233"/>
    <s v="P1037"/>
    <x v="59"/>
    <x v="1"/>
    <x v="2"/>
    <n v="343"/>
    <n v="68"/>
    <n v="114"/>
    <n v="297"/>
    <n v="0"/>
    <n v="1"/>
    <x v="13"/>
    <n v="17.8"/>
    <n v="26.97"/>
    <x v="7"/>
  </r>
  <r>
    <x v="233"/>
    <s v="P1070"/>
    <x v="13"/>
    <x v="2"/>
    <x v="0"/>
    <n v="227"/>
    <n v="216"/>
    <n v="29"/>
    <n v="414"/>
    <n v="0"/>
    <n v="3"/>
    <x v="4"/>
    <n v="26.28"/>
    <n v="31.86"/>
    <x v="7"/>
  </r>
  <r>
    <x v="234"/>
    <s v="P1008"/>
    <x v="0"/>
    <x v="0"/>
    <x v="3"/>
    <n v="48"/>
    <n v="79"/>
    <n v="21"/>
    <n v="106"/>
    <n v="0"/>
    <n v="2"/>
    <x v="1"/>
    <n v="45.22"/>
    <n v="64.81"/>
    <x v="7"/>
  </r>
  <r>
    <x v="234"/>
    <s v="P1015"/>
    <x v="73"/>
    <x v="0"/>
    <x v="0"/>
    <n v="26"/>
    <n v="83"/>
    <n v="43"/>
    <n v="66"/>
    <n v="0"/>
    <n v="14"/>
    <x v="1"/>
    <n v="52.84"/>
    <n v="67.010000000000005"/>
    <x v="7"/>
  </r>
  <r>
    <x v="234"/>
    <s v="P1021"/>
    <x v="77"/>
    <x v="3"/>
    <x v="0"/>
    <n v="133"/>
    <n v="45"/>
    <n v="55"/>
    <n v="123"/>
    <n v="0"/>
    <n v="7"/>
    <x v="7"/>
    <n v="75.58"/>
    <n v="108.79"/>
    <x v="7"/>
  </r>
  <r>
    <x v="234"/>
    <s v="P1025"/>
    <x v="20"/>
    <x v="3"/>
    <x v="0"/>
    <n v="170"/>
    <n v="132"/>
    <n v="53"/>
    <n v="249"/>
    <n v="0"/>
    <n v="13"/>
    <x v="10"/>
    <n v="80.42"/>
    <n v="122.98"/>
    <x v="7"/>
  </r>
  <r>
    <x v="234"/>
    <s v="P1027"/>
    <x v="26"/>
    <x v="3"/>
    <x v="2"/>
    <n v="293"/>
    <n v="140"/>
    <n v="41"/>
    <n v="392"/>
    <n v="0"/>
    <n v="6"/>
    <x v="7"/>
    <n v="13.03"/>
    <n v="17.72"/>
    <x v="7"/>
  </r>
  <r>
    <x v="234"/>
    <s v="P1042"/>
    <x v="61"/>
    <x v="1"/>
    <x v="2"/>
    <n v="105"/>
    <n v="237"/>
    <n v="188"/>
    <n v="154"/>
    <n v="0"/>
    <n v="1"/>
    <x v="13"/>
    <n v="20.84"/>
    <n v="28.44"/>
    <x v="7"/>
  </r>
  <r>
    <x v="234"/>
    <s v="P1056"/>
    <x v="56"/>
    <x v="4"/>
    <x v="0"/>
    <n v="60"/>
    <n v="12"/>
    <n v="3"/>
    <n v="69"/>
    <n v="0"/>
    <n v="9"/>
    <x v="8"/>
    <n v="124.27"/>
    <n v="158.88999999999999"/>
    <x v="7"/>
  </r>
  <r>
    <x v="234"/>
    <s v="P1064"/>
    <x v="32"/>
    <x v="4"/>
    <x v="2"/>
    <n v="51"/>
    <n v="23"/>
    <n v="7"/>
    <n v="67"/>
    <n v="0"/>
    <n v="11"/>
    <x v="9"/>
    <n v="219.29"/>
    <n v="310.49"/>
    <x v="7"/>
  </r>
  <r>
    <x v="235"/>
    <s v="P1015"/>
    <x v="73"/>
    <x v="0"/>
    <x v="3"/>
    <n v="115"/>
    <n v="17"/>
    <n v="68"/>
    <n v="64"/>
    <n v="0"/>
    <n v="11"/>
    <x v="6"/>
    <n v="19.29"/>
    <n v="22.82"/>
    <x v="7"/>
  </r>
  <r>
    <x v="235"/>
    <s v="P1034"/>
    <x v="3"/>
    <x v="1"/>
    <x v="0"/>
    <n v="464"/>
    <n v="182"/>
    <n v="36"/>
    <n v="610"/>
    <n v="0"/>
    <n v="2"/>
    <x v="11"/>
    <n v="7.45"/>
    <n v="11.39"/>
    <x v="7"/>
  </r>
  <r>
    <x v="235"/>
    <s v="P1035"/>
    <x v="42"/>
    <x v="1"/>
    <x v="3"/>
    <n v="270"/>
    <n v="162"/>
    <n v="203"/>
    <n v="229"/>
    <n v="0"/>
    <n v="3"/>
    <x v="11"/>
    <n v="9.3800000000000008"/>
    <n v="11.73"/>
    <x v="7"/>
  </r>
  <r>
    <x v="235"/>
    <s v="P1044"/>
    <x v="48"/>
    <x v="1"/>
    <x v="0"/>
    <n v="445"/>
    <n v="58"/>
    <n v="51"/>
    <n v="452"/>
    <n v="0"/>
    <n v="1"/>
    <x v="2"/>
    <n v="20.48"/>
    <n v="27.69"/>
    <x v="7"/>
  </r>
  <r>
    <x v="235"/>
    <s v="P1045"/>
    <x v="15"/>
    <x v="1"/>
    <x v="0"/>
    <n v="245"/>
    <n v="222"/>
    <n v="47"/>
    <n v="420"/>
    <n v="0"/>
    <n v="2"/>
    <x v="11"/>
    <n v="5.23"/>
    <n v="6.83"/>
    <x v="7"/>
  </r>
  <r>
    <x v="235"/>
    <s v="P1063"/>
    <x v="12"/>
    <x v="4"/>
    <x v="1"/>
    <n v="21"/>
    <n v="13"/>
    <n v="11"/>
    <n v="23"/>
    <n v="0"/>
    <n v="2"/>
    <x v="14"/>
    <n v="170.07"/>
    <n v="233.04"/>
    <x v="7"/>
  </r>
  <r>
    <x v="235"/>
    <s v="P1073"/>
    <x v="78"/>
    <x v="2"/>
    <x v="2"/>
    <n v="190"/>
    <n v="131"/>
    <n v="109"/>
    <n v="212"/>
    <n v="0"/>
    <n v="13"/>
    <x v="5"/>
    <n v="29.99"/>
    <n v="37.42"/>
    <x v="7"/>
  </r>
  <r>
    <x v="235"/>
    <s v="P1080"/>
    <x v="79"/>
    <x v="2"/>
    <x v="3"/>
    <n v="399"/>
    <n v="77"/>
    <n v="132"/>
    <n v="344"/>
    <n v="0"/>
    <n v="7"/>
    <x v="3"/>
    <n v="21.74"/>
    <n v="26.49"/>
    <x v="7"/>
  </r>
  <r>
    <x v="236"/>
    <s v="P1035"/>
    <x v="42"/>
    <x v="1"/>
    <x v="1"/>
    <n v="90"/>
    <n v="142"/>
    <n v="117"/>
    <n v="115"/>
    <n v="0"/>
    <n v="2"/>
    <x v="2"/>
    <n v="5.55"/>
    <n v="7.77"/>
    <x v="7"/>
  </r>
  <r>
    <x v="236"/>
    <s v="P1037"/>
    <x v="59"/>
    <x v="1"/>
    <x v="1"/>
    <n v="467"/>
    <n v="205"/>
    <n v="174"/>
    <n v="498"/>
    <n v="0"/>
    <n v="1"/>
    <x v="11"/>
    <n v="7.52"/>
    <n v="10.78"/>
    <x v="7"/>
  </r>
  <r>
    <x v="236"/>
    <s v="P1043"/>
    <x v="21"/>
    <x v="1"/>
    <x v="1"/>
    <n v="383"/>
    <n v="142"/>
    <n v="75"/>
    <n v="450"/>
    <n v="0"/>
    <n v="4"/>
    <x v="13"/>
    <n v="2.75"/>
    <n v="3.98"/>
    <x v="7"/>
  </r>
  <r>
    <x v="236"/>
    <s v="P1058"/>
    <x v="52"/>
    <x v="4"/>
    <x v="1"/>
    <n v="50"/>
    <n v="6"/>
    <n v="13"/>
    <n v="43"/>
    <n v="0"/>
    <n v="8"/>
    <x v="14"/>
    <n v="223.13"/>
    <n v="336.57"/>
    <x v="7"/>
  </r>
  <r>
    <x v="237"/>
    <s v="P1002"/>
    <x v="18"/>
    <x v="0"/>
    <x v="3"/>
    <n v="22"/>
    <n v="55"/>
    <n v="59"/>
    <n v="18"/>
    <n v="0"/>
    <n v="12"/>
    <x v="1"/>
    <n v="59.63"/>
    <n v="83.39"/>
    <x v="7"/>
  </r>
  <r>
    <x v="237"/>
    <s v="P1005"/>
    <x v="62"/>
    <x v="0"/>
    <x v="1"/>
    <n v="144"/>
    <n v="39"/>
    <n v="12"/>
    <n v="171"/>
    <n v="0"/>
    <n v="3"/>
    <x v="1"/>
    <n v="48.31"/>
    <n v="74.099999999999994"/>
    <x v="7"/>
  </r>
  <r>
    <x v="237"/>
    <s v="P1008"/>
    <x v="0"/>
    <x v="0"/>
    <x v="1"/>
    <n v="54"/>
    <n v="15"/>
    <n v="16"/>
    <n v="53"/>
    <n v="0"/>
    <n v="7"/>
    <x v="0"/>
    <n v="119.9"/>
    <n v="161.06"/>
    <x v="7"/>
  </r>
  <r>
    <x v="237"/>
    <s v="P1009"/>
    <x v="1"/>
    <x v="0"/>
    <x v="3"/>
    <n v="170"/>
    <n v="36"/>
    <n v="58"/>
    <n v="148"/>
    <n v="0"/>
    <n v="11"/>
    <x v="6"/>
    <n v="107.25"/>
    <n v="137.61000000000001"/>
    <x v="7"/>
  </r>
  <r>
    <x v="237"/>
    <s v="P1012"/>
    <x v="41"/>
    <x v="0"/>
    <x v="1"/>
    <n v="44"/>
    <n v="86"/>
    <n v="36"/>
    <n v="94"/>
    <n v="0"/>
    <n v="12"/>
    <x v="6"/>
    <n v="43.95"/>
    <n v="60.58"/>
    <x v="7"/>
  </r>
  <r>
    <x v="237"/>
    <s v="P1028"/>
    <x v="29"/>
    <x v="3"/>
    <x v="2"/>
    <n v="97"/>
    <n v="82"/>
    <n v="100"/>
    <n v="79"/>
    <n v="0"/>
    <n v="5"/>
    <x v="7"/>
    <n v="18.739999999999998"/>
    <n v="26.77"/>
    <x v="7"/>
  </r>
  <r>
    <x v="237"/>
    <s v="P1047"/>
    <x v="55"/>
    <x v="1"/>
    <x v="0"/>
    <n v="164"/>
    <n v="102"/>
    <n v="91"/>
    <n v="175"/>
    <n v="0"/>
    <n v="3"/>
    <x v="11"/>
    <n v="12.4"/>
    <n v="17.690000000000001"/>
    <x v="7"/>
  </r>
  <r>
    <x v="237"/>
    <s v="P1061"/>
    <x v="22"/>
    <x v="4"/>
    <x v="1"/>
    <n v="73"/>
    <n v="5"/>
    <n v="18"/>
    <n v="60"/>
    <n v="0"/>
    <n v="13"/>
    <x v="9"/>
    <n v="298.68"/>
    <n v="416.85"/>
    <x v="7"/>
  </r>
  <r>
    <x v="238"/>
    <s v="P1010"/>
    <x v="47"/>
    <x v="0"/>
    <x v="3"/>
    <n v="98"/>
    <n v="19"/>
    <n v="25"/>
    <n v="92"/>
    <n v="0"/>
    <n v="8"/>
    <x v="6"/>
    <n v="121.97"/>
    <n v="149.69999999999999"/>
    <x v="7"/>
  </r>
  <r>
    <x v="238"/>
    <s v="P1053"/>
    <x v="39"/>
    <x v="4"/>
    <x v="3"/>
    <n v="49"/>
    <n v="15"/>
    <n v="1"/>
    <n v="63"/>
    <n v="0"/>
    <n v="2"/>
    <x v="14"/>
    <n v="100.27"/>
    <n v="149.36000000000001"/>
    <x v="7"/>
  </r>
  <r>
    <x v="238"/>
    <s v="P1066"/>
    <x v="69"/>
    <x v="2"/>
    <x v="0"/>
    <n v="291"/>
    <n v="128"/>
    <n v="95"/>
    <n v="324"/>
    <n v="0"/>
    <n v="10"/>
    <x v="3"/>
    <n v="29.8"/>
    <n v="43.54"/>
    <x v="7"/>
  </r>
  <r>
    <x v="238"/>
    <s v="P1069"/>
    <x v="17"/>
    <x v="2"/>
    <x v="2"/>
    <n v="247"/>
    <n v="157"/>
    <n v="141"/>
    <n v="263"/>
    <n v="0"/>
    <n v="2"/>
    <x v="4"/>
    <n v="25.53"/>
    <n v="35.630000000000003"/>
    <x v="7"/>
  </r>
  <r>
    <x v="239"/>
    <s v="P1062"/>
    <x v="68"/>
    <x v="4"/>
    <x v="3"/>
    <n v="28"/>
    <n v="6"/>
    <n v="19"/>
    <n v="15"/>
    <n v="0"/>
    <n v="12"/>
    <x v="8"/>
    <n v="91.22"/>
    <n v="124"/>
    <x v="7"/>
  </r>
  <r>
    <x v="239"/>
    <s v="P1071"/>
    <x v="40"/>
    <x v="2"/>
    <x v="3"/>
    <n v="221"/>
    <n v="149"/>
    <n v="84"/>
    <n v="286"/>
    <n v="0"/>
    <n v="13"/>
    <x v="4"/>
    <n v="5.58"/>
    <n v="6.7"/>
    <x v="7"/>
  </r>
  <r>
    <x v="239"/>
    <s v="P1072"/>
    <x v="71"/>
    <x v="2"/>
    <x v="2"/>
    <n v="390"/>
    <n v="154"/>
    <n v="61"/>
    <n v="483"/>
    <n v="0"/>
    <n v="6"/>
    <x v="4"/>
    <n v="10.23"/>
    <n v="12.75"/>
    <x v="7"/>
  </r>
  <r>
    <x v="240"/>
    <s v="P1004"/>
    <x v="57"/>
    <x v="0"/>
    <x v="0"/>
    <n v="81"/>
    <n v="10"/>
    <n v="53"/>
    <n v="38"/>
    <n v="0"/>
    <n v="10"/>
    <x v="0"/>
    <n v="97.38"/>
    <n v="138.22999999999999"/>
    <x v="7"/>
  </r>
  <r>
    <x v="240"/>
    <s v="P1008"/>
    <x v="0"/>
    <x v="0"/>
    <x v="3"/>
    <n v="170"/>
    <n v="75"/>
    <n v="6"/>
    <n v="239"/>
    <n v="0"/>
    <n v="12"/>
    <x v="6"/>
    <n v="64.010000000000005"/>
    <n v="86.66"/>
    <x v="7"/>
  </r>
  <r>
    <x v="240"/>
    <s v="P1009"/>
    <x v="1"/>
    <x v="0"/>
    <x v="0"/>
    <n v="36"/>
    <n v="72"/>
    <n v="40"/>
    <n v="68"/>
    <n v="0"/>
    <n v="6"/>
    <x v="0"/>
    <n v="32.96"/>
    <n v="39.090000000000003"/>
    <x v="7"/>
  </r>
  <r>
    <x v="240"/>
    <s v="P1021"/>
    <x v="77"/>
    <x v="3"/>
    <x v="1"/>
    <n v="284"/>
    <n v="142"/>
    <n v="109"/>
    <n v="317"/>
    <n v="0"/>
    <n v="2"/>
    <x v="12"/>
    <n v="82.29"/>
    <n v="95.99"/>
    <x v="7"/>
  </r>
  <r>
    <x v="240"/>
    <s v="P1066"/>
    <x v="69"/>
    <x v="2"/>
    <x v="0"/>
    <n v="97"/>
    <n v="73"/>
    <n v="170"/>
    <n v="0"/>
    <n v="1"/>
    <n v="12"/>
    <x v="5"/>
    <n v="5.44"/>
    <n v="6.84"/>
    <x v="7"/>
  </r>
  <r>
    <x v="240"/>
    <s v="P1069"/>
    <x v="17"/>
    <x v="2"/>
    <x v="0"/>
    <n v="282"/>
    <n v="118"/>
    <n v="45"/>
    <n v="355"/>
    <n v="0"/>
    <n v="3"/>
    <x v="5"/>
    <n v="10.53"/>
    <n v="12.34"/>
    <x v="7"/>
  </r>
  <r>
    <x v="241"/>
    <s v="P1003"/>
    <x v="64"/>
    <x v="0"/>
    <x v="2"/>
    <n v="147"/>
    <n v="31"/>
    <n v="21"/>
    <n v="157"/>
    <n v="0"/>
    <n v="6"/>
    <x v="1"/>
    <n v="180.27"/>
    <n v="268.14999999999998"/>
    <x v="7"/>
  </r>
  <r>
    <x v="241"/>
    <s v="P1003"/>
    <x v="64"/>
    <x v="0"/>
    <x v="2"/>
    <n v="176"/>
    <n v="46"/>
    <n v="47"/>
    <n v="175"/>
    <n v="0"/>
    <n v="7"/>
    <x v="0"/>
    <n v="150.32"/>
    <n v="223.14"/>
    <x v="7"/>
  </r>
  <r>
    <x v="241"/>
    <s v="P1029"/>
    <x v="63"/>
    <x v="3"/>
    <x v="2"/>
    <n v="153"/>
    <n v="126"/>
    <n v="117"/>
    <n v="162"/>
    <n v="0"/>
    <n v="3"/>
    <x v="7"/>
    <n v="58.89"/>
    <n v="82.76"/>
    <x v="7"/>
  </r>
  <r>
    <x v="241"/>
    <s v="P1033"/>
    <x v="27"/>
    <x v="1"/>
    <x v="1"/>
    <n v="244"/>
    <n v="178"/>
    <n v="39"/>
    <n v="383"/>
    <n v="0"/>
    <n v="3"/>
    <x v="13"/>
    <n v="16.91"/>
    <n v="22.01"/>
    <x v="7"/>
  </r>
  <r>
    <x v="241"/>
    <s v="P1036"/>
    <x v="75"/>
    <x v="1"/>
    <x v="2"/>
    <n v="115"/>
    <n v="199"/>
    <n v="64"/>
    <n v="250"/>
    <n v="0"/>
    <n v="2"/>
    <x v="11"/>
    <n v="7.58"/>
    <n v="9.6999999999999993"/>
    <x v="7"/>
  </r>
  <r>
    <x v="241"/>
    <s v="P1037"/>
    <x v="59"/>
    <x v="1"/>
    <x v="1"/>
    <n v="278"/>
    <n v="82"/>
    <n v="26"/>
    <n v="334"/>
    <n v="0"/>
    <n v="4"/>
    <x v="11"/>
    <n v="22.13"/>
    <n v="30.89"/>
    <x v="7"/>
  </r>
  <r>
    <x v="241"/>
    <s v="P1078"/>
    <x v="65"/>
    <x v="2"/>
    <x v="0"/>
    <n v="165"/>
    <n v="94"/>
    <n v="136"/>
    <n v="123"/>
    <n v="0"/>
    <n v="7"/>
    <x v="5"/>
    <n v="11.11"/>
    <n v="16.170000000000002"/>
    <x v="7"/>
  </r>
  <r>
    <x v="242"/>
    <s v="P1026"/>
    <x v="14"/>
    <x v="3"/>
    <x v="1"/>
    <n v="242"/>
    <n v="88"/>
    <n v="66"/>
    <n v="264"/>
    <n v="0"/>
    <n v="2"/>
    <x v="10"/>
    <n v="84.89"/>
    <n v="128.6"/>
    <x v="8"/>
  </r>
  <r>
    <x v="242"/>
    <s v="P1040"/>
    <x v="67"/>
    <x v="1"/>
    <x v="0"/>
    <n v="333"/>
    <n v="237"/>
    <n v="88"/>
    <n v="482"/>
    <n v="0"/>
    <n v="6"/>
    <x v="2"/>
    <n v="4.91"/>
    <n v="6.76"/>
    <x v="8"/>
  </r>
  <r>
    <x v="242"/>
    <s v="P1073"/>
    <x v="78"/>
    <x v="2"/>
    <x v="1"/>
    <n v="347"/>
    <n v="196"/>
    <n v="123"/>
    <n v="420"/>
    <n v="0"/>
    <n v="5"/>
    <x v="5"/>
    <n v="3.48"/>
    <n v="5.25"/>
    <x v="8"/>
  </r>
  <r>
    <x v="243"/>
    <s v="P1075"/>
    <x v="44"/>
    <x v="2"/>
    <x v="0"/>
    <n v="84"/>
    <n v="157"/>
    <n v="114"/>
    <n v="127"/>
    <n v="0"/>
    <n v="3"/>
    <x v="5"/>
    <n v="6.38"/>
    <n v="8.64"/>
    <x v="8"/>
  </r>
  <r>
    <x v="244"/>
    <s v="P1007"/>
    <x v="70"/>
    <x v="0"/>
    <x v="1"/>
    <n v="141"/>
    <n v="24"/>
    <n v="79"/>
    <n v="86"/>
    <n v="0"/>
    <n v="13"/>
    <x v="0"/>
    <n v="68.41"/>
    <n v="93.64"/>
    <x v="8"/>
  </r>
  <r>
    <x v="244"/>
    <s v="P1012"/>
    <x v="41"/>
    <x v="0"/>
    <x v="2"/>
    <n v="60"/>
    <n v="86"/>
    <n v="58"/>
    <n v="88"/>
    <n v="0"/>
    <n v="6"/>
    <x v="0"/>
    <n v="58.26"/>
    <n v="83.04"/>
    <x v="8"/>
  </r>
  <r>
    <x v="244"/>
    <s v="P1016"/>
    <x v="35"/>
    <x v="0"/>
    <x v="2"/>
    <n v="104"/>
    <n v="75"/>
    <n v="10"/>
    <n v="169"/>
    <n v="0"/>
    <n v="13"/>
    <x v="0"/>
    <n v="120.56"/>
    <n v="146.43"/>
    <x v="8"/>
  </r>
  <r>
    <x v="244"/>
    <s v="P1018"/>
    <x v="46"/>
    <x v="3"/>
    <x v="0"/>
    <n v="127"/>
    <n v="88"/>
    <n v="46"/>
    <n v="169"/>
    <n v="0"/>
    <n v="14"/>
    <x v="12"/>
    <n v="76.58"/>
    <n v="113.5"/>
    <x v="8"/>
  </r>
  <r>
    <x v="244"/>
    <s v="P1061"/>
    <x v="22"/>
    <x v="4"/>
    <x v="2"/>
    <n v="48"/>
    <n v="14"/>
    <n v="8"/>
    <n v="54"/>
    <n v="0"/>
    <n v="14"/>
    <x v="8"/>
    <n v="105.03"/>
    <n v="138.58000000000001"/>
    <x v="8"/>
  </r>
  <r>
    <x v="245"/>
    <s v="P1005"/>
    <x v="62"/>
    <x v="0"/>
    <x v="3"/>
    <n v="159"/>
    <n v="24"/>
    <n v="35"/>
    <n v="148"/>
    <n v="0"/>
    <n v="12"/>
    <x v="1"/>
    <n v="92.07"/>
    <n v="133.72999999999999"/>
    <x v="8"/>
  </r>
  <r>
    <x v="245"/>
    <s v="P1016"/>
    <x v="35"/>
    <x v="0"/>
    <x v="3"/>
    <n v="151"/>
    <n v="54"/>
    <n v="32"/>
    <n v="173"/>
    <n v="0"/>
    <n v="14"/>
    <x v="0"/>
    <n v="160.57"/>
    <n v="190.8"/>
    <x v="8"/>
  </r>
  <r>
    <x v="245"/>
    <s v="P1017"/>
    <x v="45"/>
    <x v="3"/>
    <x v="2"/>
    <n v="176"/>
    <n v="52"/>
    <n v="28"/>
    <n v="200"/>
    <n v="0"/>
    <n v="4"/>
    <x v="7"/>
    <n v="65.11"/>
    <n v="93.16"/>
    <x v="8"/>
  </r>
  <r>
    <x v="245"/>
    <s v="P1021"/>
    <x v="77"/>
    <x v="3"/>
    <x v="2"/>
    <n v="137"/>
    <n v="28"/>
    <n v="41"/>
    <n v="124"/>
    <n v="0"/>
    <n v="13"/>
    <x v="12"/>
    <n v="67.42"/>
    <n v="80.540000000000006"/>
    <x v="8"/>
  </r>
  <r>
    <x v="245"/>
    <s v="P1023"/>
    <x v="24"/>
    <x v="3"/>
    <x v="3"/>
    <n v="185"/>
    <n v="144"/>
    <n v="25"/>
    <n v="304"/>
    <n v="0"/>
    <n v="7"/>
    <x v="12"/>
    <n v="74.069999999999993"/>
    <n v="103.03"/>
    <x v="8"/>
  </r>
  <r>
    <x v="245"/>
    <s v="P1033"/>
    <x v="27"/>
    <x v="1"/>
    <x v="1"/>
    <n v="208"/>
    <n v="118"/>
    <n v="51"/>
    <n v="275"/>
    <n v="0"/>
    <n v="4"/>
    <x v="13"/>
    <n v="7.51"/>
    <n v="8.73"/>
    <x v="8"/>
  </r>
  <r>
    <x v="245"/>
    <s v="P1039"/>
    <x v="30"/>
    <x v="1"/>
    <x v="2"/>
    <n v="335"/>
    <n v="219"/>
    <n v="39"/>
    <n v="515"/>
    <n v="0"/>
    <n v="2"/>
    <x v="13"/>
    <n v="13.51"/>
    <n v="18.149999999999999"/>
    <x v="8"/>
  </r>
  <r>
    <x v="245"/>
    <s v="P1050"/>
    <x v="72"/>
    <x v="4"/>
    <x v="2"/>
    <n v="21"/>
    <n v="7"/>
    <n v="17"/>
    <n v="11"/>
    <n v="0"/>
    <n v="4"/>
    <x v="14"/>
    <n v="175.37"/>
    <n v="270.49"/>
    <x v="8"/>
  </r>
  <r>
    <x v="246"/>
    <s v="P1004"/>
    <x v="57"/>
    <x v="0"/>
    <x v="0"/>
    <n v="126"/>
    <n v="64"/>
    <n v="71"/>
    <n v="119"/>
    <n v="0"/>
    <n v="4"/>
    <x v="0"/>
    <n v="182.3"/>
    <n v="281.39"/>
    <x v="8"/>
  </r>
  <r>
    <x v="246"/>
    <s v="P1007"/>
    <x v="70"/>
    <x v="0"/>
    <x v="1"/>
    <n v="65"/>
    <n v="76"/>
    <n v="73"/>
    <n v="68"/>
    <n v="0"/>
    <n v="4"/>
    <x v="6"/>
    <n v="23.99"/>
    <n v="30.72"/>
    <x v="8"/>
  </r>
  <r>
    <x v="246"/>
    <s v="P1031"/>
    <x v="76"/>
    <x v="3"/>
    <x v="1"/>
    <n v="86"/>
    <n v="125"/>
    <n v="139"/>
    <n v="72"/>
    <n v="0"/>
    <n v="11"/>
    <x v="12"/>
    <n v="78.98"/>
    <n v="94.08"/>
    <x v="8"/>
  </r>
  <r>
    <x v="246"/>
    <s v="P1037"/>
    <x v="59"/>
    <x v="1"/>
    <x v="2"/>
    <n v="97"/>
    <n v="97"/>
    <n v="79"/>
    <n v="115"/>
    <n v="0"/>
    <n v="3"/>
    <x v="11"/>
    <n v="11.35"/>
    <n v="14.67"/>
    <x v="8"/>
  </r>
  <r>
    <x v="246"/>
    <s v="P1044"/>
    <x v="48"/>
    <x v="1"/>
    <x v="0"/>
    <n v="232"/>
    <n v="221"/>
    <n v="144"/>
    <n v="309"/>
    <n v="0"/>
    <n v="3"/>
    <x v="11"/>
    <n v="15.85"/>
    <n v="20.27"/>
    <x v="8"/>
  </r>
  <r>
    <x v="246"/>
    <s v="P1059"/>
    <x v="11"/>
    <x v="4"/>
    <x v="1"/>
    <n v="80"/>
    <n v="18"/>
    <n v="7"/>
    <n v="91"/>
    <n v="0"/>
    <n v="5"/>
    <x v="8"/>
    <n v="56.52"/>
    <n v="66.260000000000005"/>
    <x v="8"/>
  </r>
  <r>
    <x v="247"/>
    <s v="P1031"/>
    <x v="76"/>
    <x v="3"/>
    <x v="1"/>
    <n v="208"/>
    <n v="61"/>
    <n v="125"/>
    <n v="144"/>
    <n v="0"/>
    <n v="5"/>
    <x v="7"/>
    <n v="57.92"/>
    <n v="76.150000000000006"/>
    <x v="8"/>
  </r>
  <r>
    <x v="247"/>
    <s v="P1048"/>
    <x v="74"/>
    <x v="1"/>
    <x v="2"/>
    <n v="274"/>
    <n v="126"/>
    <n v="189"/>
    <n v="211"/>
    <n v="0"/>
    <n v="3"/>
    <x v="13"/>
    <n v="8.23"/>
    <n v="9.56"/>
    <x v="8"/>
  </r>
  <r>
    <x v="247"/>
    <s v="P1049"/>
    <x v="10"/>
    <x v="4"/>
    <x v="2"/>
    <n v="46"/>
    <n v="25"/>
    <n v="13"/>
    <n v="58"/>
    <n v="0"/>
    <n v="7"/>
    <x v="9"/>
    <n v="94.78"/>
    <n v="111.55"/>
    <x v="8"/>
  </r>
  <r>
    <x v="247"/>
    <s v="P1056"/>
    <x v="56"/>
    <x v="4"/>
    <x v="1"/>
    <n v="80"/>
    <n v="25"/>
    <n v="9"/>
    <n v="96"/>
    <n v="0"/>
    <n v="9"/>
    <x v="8"/>
    <n v="325.19"/>
    <n v="503.72"/>
    <x v="8"/>
  </r>
  <r>
    <x v="247"/>
    <s v="P1060"/>
    <x v="16"/>
    <x v="4"/>
    <x v="1"/>
    <n v="65"/>
    <n v="11"/>
    <n v="20"/>
    <n v="56"/>
    <n v="0"/>
    <n v="10"/>
    <x v="14"/>
    <n v="160.88999999999999"/>
    <n v="243.65"/>
    <x v="8"/>
  </r>
  <r>
    <x v="247"/>
    <s v="P1078"/>
    <x v="65"/>
    <x v="2"/>
    <x v="2"/>
    <n v="298"/>
    <n v="101"/>
    <n v="157"/>
    <n v="242"/>
    <n v="0"/>
    <n v="7"/>
    <x v="3"/>
    <n v="23.09"/>
    <n v="33.770000000000003"/>
    <x v="8"/>
  </r>
  <r>
    <x v="248"/>
    <s v="P1004"/>
    <x v="57"/>
    <x v="0"/>
    <x v="1"/>
    <n v="176"/>
    <n v="15"/>
    <n v="20"/>
    <n v="171"/>
    <n v="0"/>
    <n v="5"/>
    <x v="0"/>
    <n v="53.22"/>
    <n v="77.16"/>
    <x v="8"/>
  </r>
  <r>
    <x v="248"/>
    <s v="P1013"/>
    <x v="2"/>
    <x v="0"/>
    <x v="1"/>
    <n v="115"/>
    <n v="67"/>
    <n v="9"/>
    <n v="173"/>
    <n v="0"/>
    <n v="2"/>
    <x v="6"/>
    <n v="119.39"/>
    <n v="167.27"/>
    <x v="8"/>
  </r>
  <r>
    <x v="248"/>
    <s v="P1026"/>
    <x v="14"/>
    <x v="3"/>
    <x v="0"/>
    <n v="95"/>
    <n v="50"/>
    <n v="46"/>
    <n v="99"/>
    <n v="0"/>
    <n v="12"/>
    <x v="10"/>
    <n v="39.67"/>
    <n v="53.31"/>
    <x v="8"/>
  </r>
  <r>
    <x v="248"/>
    <s v="P1038"/>
    <x v="4"/>
    <x v="1"/>
    <x v="3"/>
    <n v="191"/>
    <n v="200"/>
    <n v="62"/>
    <n v="329"/>
    <n v="0"/>
    <n v="3"/>
    <x v="11"/>
    <n v="18.48"/>
    <n v="24.11"/>
    <x v="8"/>
  </r>
  <r>
    <x v="248"/>
    <s v="P1070"/>
    <x v="13"/>
    <x v="2"/>
    <x v="1"/>
    <n v="321"/>
    <n v="155"/>
    <n v="117"/>
    <n v="359"/>
    <n v="0"/>
    <n v="10"/>
    <x v="4"/>
    <n v="19.670000000000002"/>
    <n v="25.26"/>
    <x v="8"/>
  </r>
  <r>
    <x v="248"/>
    <s v="P1074"/>
    <x v="6"/>
    <x v="2"/>
    <x v="2"/>
    <n v="291"/>
    <n v="155"/>
    <n v="173"/>
    <n v="273"/>
    <n v="0"/>
    <n v="9"/>
    <x v="3"/>
    <n v="10.01"/>
    <n v="13.57"/>
    <x v="8"/>
  </r>
  <r>
    <x v="248"/>
    <s v="P1078"/>
    <x v="65"/>
    <x v="2"/>
    <x v="0"/>
    <n v="245"/>
    <n v="214"/>
    <n v="148"/>
    <n v="311"/>
    <n v="0"/>
    <n v="14"/>
    <x v="3"/>
    <n v="21.31"/>
    <n v="29.18"/>
    <x v="8"/>
  </r>
  <r>
    <x v="249"/>
    <s v="P1001"/>
    <x v="34"/>
    <x v="0"/>
    <x v="3"/>
    <n v="36"/>
    <n v="49"/>
    <n v="22"/>
    <n v="63"/>
    <n v="0"/>
    <n v="8"/>
    <x v="1"/>
    <n v="34.479999999999997"/>
    <n v="44.84"/>
    <x v="8"/>
  </r>
  <r>
    <x v="249"/>
    <s v="P1018"/>
    <x v="46"/>
    <x v="3"/>
    <x v="2"/>
    <n v="200"/>
    <n v="97"/>
    <n v="106"/>
    <n v="191"/>
    <n v="0"/>
    <n v="14"/>
    <x v="12"/>
    <n v="72.94"/>
    <n v="112.67"/>
    <x v="8"/>
  </r>
  <r>
    <x v="249"/>
    <s v="P1024"/>
    <x v="54"/>
    <x v="3"/>
    <x v="0"/>
    <n v="118"/>
    <n v="106"/>
    <n v="97"/>
    <n v="127"/>
    <n v="0"/>
    <n v="14"/>
    <x v="12"/>
    <n v="20.309999999999999"/>
    <n v="29.35"/>
    <x v="8"/>
  </r>
  <r>
    <x v="249"/>
    <s v="P1033"/>
    <x v="27"/>
    <x v="1"/>
    <x v="1"/>
    <n v="228"/>
    <n v="67"/>
    <n v="73"/>
    <n v="222"/>
    <n v="0"/>
    <n v="6"/>
    <x v="11"/>
    <n v="15.32"/>
    <n v="18.14"/>
    <x v="8"/>
  </r>
  <r>
    <x v="249"/>
    <s v="P1049"/>
    <x v="10"/>
    <x v="4"/>
    <x v="1"/>
    <n v="10"/>
    <n v="5"/>
    <n v="13"/>
    <n v="2"/>
    <n v="0"/>
    <n v="2"/>
    <x v="9"/>
    <n v="305.04000000000002"/>
    <n v="421.21"/>
    <x v="8"/>
  </r>
  <r>
    <x v="249"/>
    <s v="P1054"/>
    <x v="43"/>
    <x v="4"/>
    <x v="2"/>
    <n v="61"/>
    <n v="21"/>
    <n v="18"/>
    <n v="64"/>
    <n v="0"/>
    <n v="3"/>
    <x v="14"/>
    <n v="257.02999999999997"/>
    <n v="380.15"/>
    <x v="8"/>
  </r>
  <r>
    <x v="249"/>
    <s v="P1054"/>
    <x v="43"/>
    <x v="4"/>
    <x v="1"/>
    <n v="11"/>
    <n v="18"/>
    <n v="5"/>
    <n v="24"/>
    <n v="0"/>
    <n v="10"/>
    <x v="8"/>
    <n v="218.49"/>
    <n v="287.55"/>
    <x v="8"/>
  </r>
  <r>
    <x v="250"/>
    <s v="P1028"/>
    <x v="29"/>
    <x v="3"/>
    <x v="3"/>
    <n v="152"/>
    <n v="20"/>
    <n v="19"/>
    <n v="153"/>
    <n v="0"/>
    <n v="12"/>
    <x v="7"/>
    <n v="56.32"/>
    <n v="75"/>
    <x v="8"/>
  </r>
  <r>
    <x v="250"/>
    <s v="P1042"/>
    <x v="61"/>
    <x v="1"/>
    <x v="0"/>
    <n v="454"/>
    <n v="213"/>
    <n v="82"/>
    <n v="585"/>
    <n v="0"/>
    <n v="4"/>
    <x v="13"/>
    <n v="11.8"/>
    <n v="17.5"/>
    <x v="8"/>
  </r>
  <r>
    <x v="250"/>
    <s v="P1043"/>
    <x v="21"/>
    <x v="1"/>
    <x v="0"/>
    <n v="153"/>
    <n v="148"/>
    <n v="164"/>
    <n v="137"/>
    <n v="0"/>
    <n v="2"/>
    <x v="13"/>
    <n v="18.760000000000002"/>
    <n v="23.84"/>
    <x v="8"/>
  </r>
  <r>
    <x v="250"/>
    <s v="P1058"/>
    <x v="52"/>
    <x v="4"/>
    <x v="1"/>
    <n v="36"/>
    <n v="20"/>
    <n v="17"/>
    <n v="39"/>
    <n v="0"/>
    <n v="12"/>
    <x v="14"/>
    <n v="232.25"/>
    <n v="289.57"/>
    <x v="8"/>
  </r>
  <r>
    <x v="250"/>
    <s v="P1060"/>
    <x v="16"/>
    <x v="4"/>
    <x v="2"/>
    <n v="58"/>
    <n v="6"/>
    <n v="2"/>
    <n v="62"/>
    <n v="0"/>
    <n v="5"/>
    <x v="14"/>
    <n v="27.22"/>
    <n v="36.39"/>
    <x v="8"/>
  </r>
  <r>
    <x v="250"/>
    <s v="P1080"/>
    <x v="79"/>
    <x v="2"/>
    <x v="3"/>
    <n v="205"/>
    <n v="31"/>
    <n v="91"/>
    <n v="145"/>
    <n v="0"/>
    <n v="5"/>
    <x v="4"/>
    <n v="24.87"/>
    <n v="33.799999999999997"/>
    <x v="8"/>
  </r>
  <r>
    <x v="251"/>
    <s v="P1001"/>
    <x v="34"/>
    <x v="0"/>
    <x v="0"/>
    <n v="22"/>
    <n v="21"/>
    <n v="20"/>
    <n v="23"/>
    <n v="0"/>
    <n v="12"/>
    <x v="0"/>
    <n v="153.85"/>
    <n v="220.17"/>
    <x v="8"/>
  </r>
  <r>
    <x v="251"/>
    <s v="P1048"/>
    <x v="74"/>
    <x v="1"/>
    <x v="1"/>
    <n v="187"/>
    <n v="154"/>
    <n v="48"/>
    <n v="293"/>
    <n v="0"/>
    <n v="3"/>
    <x v="13"/>
    <n v="10.17"/>
    <n v="14.54"/>
    <x v="8"/>
  </r>
  <r>
    <x v="251"/>
    <s v="P1055"/>
    <x v="51"/>
    <x v="4"/>
    <x v="0"/>
    <n v="71"/>
    <n v="17"/>
    <n v="12"/>
    <n v="76"/>
    <n v="0"/>
    <n v="4"/>
    <x v="9"/>
    <n v="118.36"/>
    <n v="171"/>
    <x v="8"/>
  </r>
  <r>
    <x v="251"/>
    <s v="P1062"/>
    <x v="68"/>
    <x v="4"/>
    <x v="3"/>
    <n v="47"/>
    <n v="16"/>
    <n v="14"/>
    <n v="49"/>
    <n v="0"/>
    <n v="5"/>
    <x v="14"/>
    <n v="263.51"/>
    <n v="369.68"/>
    <x v="8"/>
  </r>
  <r>
    <x v="251"/>
    <s v="P1067"/>
    <x v="5"/>
    <x v="2"/>
    <x v="3"/>
    <n v="234"/>
    <n v="191"/>
    <n v="179"/>
    <n v="246"/>
    <n v="0"/>
    <n v="7"/>
    <x v="5"/>
    <n v="13.63"/>
    <n v="17.489999999999998"/>
    <x v="8"/>
  </r>
  <r>
    <x v="252"/>
    <s v="P1007"/>
    <x v="70"/>
    <x v="0"/>
    <x v="0"/>
    <n v="83"/>
    <n v="22"/>
    <n v="76"/>
    <n v="29"/>
    <n v="0"/>
    <n v="9"/>
    <x v="6"/>
    <n v="131"/>
    <n v="158.88999999999999"/>
    <x v="8"/>
  </r>
  <r>
    <x v="252"/>
    <s v="P1016"/>
    <x v="35"/>
    <x v="0"/>
    <x v="3"/>
    <n v="88"/>
    <n v="22"/>
    <n v="51"/>
    <n v="59"/>
    <n v="0"/>
    <n v="14"/>
    <x v="6"/>
    <n v="204.91"/>
    <n v="237.21"/>
    <x v="8"/>
  </r>
  <r>
    <x v="252"/>
    <s v="P1017"/>
    <x v="45"/>
    <x v="3"/>
    <x v="3"/>
    <n v="153"/>
    <n v="143"/>
    <n v="58"/>
    <n v="238"/>
    <n v="0"/>
    <n v="13"/>
    <x v="10"/>
    <n v="53.08"/>
    <n v="69.900000000000006"/>
    <x v="8"/>
  </r>
  <r>
    <x v="252"/>
    <s v="P1043"/>
    <x v="21"/>
    <x v="1"/>
    <x v="3"/>
    <n v="196"/>
    <n v="235"/>
    <n v="146"/>
    <n v="285"/>
    <n v="0"/>
    <n v="2"/>
    <x v="13"/>
    <n v="4.04"/>
    <n v="5.75"/>
    <x v="8"/>
  </r>
  <r>
    <x v="253"/>
    <s v="P1023"/>
    <x v="24"/>
    <x v="3"/>
    <x v="3"/>
    <n v="171"/>
    <n v="101"/>
    <n v="129"/>
    <n v="143"/>
    <n v="0"/>
    <n v="9"/>
    <x v="12"/>
    <n v="55.48"/>
    <n v="65.010000000000005"/>
    <x v="8"/>
  </r>
  <r>
    <x v="253"/>
    <s v="P1057"/>
    <x v="36"/>
    <x v="4"/>
    <x v="3"/>
    <n v="26"/>
    <n v="15"/>
    <n v="9"/>
    <n v="32"/>
    <n v="0"/>
    <n v="4"/>
    <x v="8"/>
    <n v="167.84"/>
    <n v="197.53"/>
    <x v="8"/>
  </r>
  <r>
    <x v="253"/>
    <s v="P1062"/>
    <x v="68"/>
    <x v="4"/>
    <x v="3"/>
    <n v="56"/>
    <n v="2"/>
    <n v="14"/>
    <n v="44"/>
    <n v="0"/>
    <n v="6"/>
    <x v="14"/>
    <n v="50.07"/>
    <n v="75.83"/>
    <x v="8"/>
  </r>
  <r>
    <x v="254"/>
    <s v="P1002"/>
    <x v="18"/>
    <x v="0"/>
    <x v="3"/>
    <n v="110"/>
    <n v="65"/>
    <n v="32"/>
    <n v="143"/>
    <n v="0"/>
    <n v="7"/>
    <x v="1"/>
    <n v="44.02"/>
    <n v="63.13"/>
    <x v="8"/>
  </r>
  <r>
    <x v="254"/>
    <s v="P1004"/>
    <x v="57"/>
    <x v="0"/>
    <x v="1"/>
    <n v="168"/>
    <n v="51"/>
    <n v="30"/>
    <n v="189"/>
    <n v="0"/>
    <n v="13"/>
    <x v="6"/>
    <n v="176.48"/>
    <n v="247.03"/>
    <x v="8"/>
  </r>
  <r>
    <x v="254"/>
    <s v="P1017"/>
    <x v="45"/>
    <x v="3"/>
    <x v="3"/>
    <n v="70"/>
    <n v="131"/>
    <n v="55"/>
    <n v="146"/>
    <n v="0"/>
    <n v="2"/>
    <x v="12"/>
    <n v="48.77"/>
    <n v="69.11"/>
    <x v="8"/>
  </r>
  <r>
    <x v="254"/>
    <s v="P1035"/>
    <x v="42"/>
    <x v="1"/>
    <x v="1"/>
    <n v="404"/>
    <n v="167"/>
    <n v="70"/>
    <n v="501"/>
    <n v="0"/>
    <n v="6"/>
    <x v="11"/>
    <n v="12.4"/>
    <n v="17.899999999999999"/>
    <x v="8"/>
  </r>
  <r>
    <x v="254"/>
    <s v="P1042"/>
    <x v="61"/>
    <x v="1"/>
    <x v="0"/>
    <n v="247"/>
    <n v="83"/>
    <n v="171"/>
    <n v="159"/>
    <n v="0"/>
    <n v="3"/>
    <x v="11"/>
    <n v="11.43"/>
    <n v="15.35"/>
    <x v="8"/>
  </r>
  <r>
    <x v="254"/>
    <s v="P1043"/>
    <x v="21"/>
    <x v="1"/>
    <x v="3"/>
    <n v="169"/>
    <n v="235"/>
    <n v="74"/>
    <n v="330"/>
    <n v="0"/>
    <n v="5"/>
    <x v="2"/>
    <n v="7.85"/>
    <n v="11.62"/>
    <x v="8"/>
  </r>
  <r>
    <x v="254"/>
    <s v="P1047"/>
    <x v="55"/>
    <x v="1"/>
    <x v="2"/>
    <n v="337"/>
    <n v="148"/>
    <n v="45"/>
    <n v="440"/>
    <n v="0"/>
    <n v="4"/>
    <x v="11"/>
    <n v="6.79"/>
    <n v="8.65"/>
    <x v="8"/>
  </r>
  <r>
    <x v="254"/>
    <s v="P1069"/>
    <x v="17"/>
    <x v="2"/>
    <x v="3"/>
    <n v="257"/>
    <n v="88"/>
    <n v="160"/>
    <n v="185"/>
    <n v="0"/>
    <n v="5"/>
    <x v="5"/>
    <n v="17.3"/>
    <n v="24.84"/>
    <x v="8"/>
  </r>
  <r>
    <x v="255"/>
    <s v="P1033"/>
    <x v="27"/>
    <x v="1"/>
    <x v="1"/>
    <n v="189"/>
    <n v="245"/>
    <n v="93"/>
    <n v="341"/>
    <n v="0"/>
    <n v="2"/>
    <x v="13"/>
    <n v="12.66"/>
    <n v="16.48"/>
    <x v="8"/>
  </r>
  <r>
    <x v="255"/>
    <s v="P1057"/>
    <x v="36"/>
    <x v="4"/>
    <x v="0"/>
    <n v="17"/>
    <n v="25"/>
    <n v="15"/>
    <n v="27"/>
    <n v="0"/>
    <n v="12"/>
    <x v="14"/>
    <n v="110.26"/>
    <n v="140.61000000000001"/>
    <x v="8"/>
  </r>
  <r>
    <x v="255"/>
    <s v="P1063"/>
    <x v="12"/>
    <x v="4"/>
    <x v="0"/>
    <n v="28"/>
    <n v="6"/>
    <n v="2"/>
    <n v="32"/>
    <n v="0"/>
    <n v="3"/>
    <x v="14"/>
    <n v="241.06"/>
    <n v="304.81"/>
    <x v="8"/>
  </r>
  <r>
    <x v="256"/>
    <s v="P1002"/>
    <x v="18"/>
    <x v="0"/>
    <x v="0"/>
    <n v="31"/>
    <n v="15"/>
    <n v="31"/>
    <n v="15"/>
    <n v="0"/>
    <n v="9"/>
    <x v="0"/>
    <n v="63.97"/>
    <n v="85.58"/>
    <x v="8"/>
  </r>
  <r>
    <x v="256"/>
    <s v="P1017"/>
    <x v="45"/>
    <x v="3"/>
    <x v="3"/>
    <n v="190"/>
    <n v="89"/>
    <n v="11"/>
    <n v="268"/>
    <n v="0"/>
    <n v="9"/>
    <x v="10"/>
    <n v="19.87"/>
    <n v="29.3"/>
    <x v="8"/>
  </r>
  <r>
    <x v="256"/>
    <s v="P1020"/>
    <x v="23"/>
    <x v="3"/>
    <x v="2"/>
    <n v="60"/>
    <n v="72"/>
    <n v="28"/>
    <n v="104"/>
    <n v="0"/>
    <n v="10"/>
    <x v="10"/>
    <n v="70.290000000000006"/>
    <n v="86.11"/>
    <x v="8"/>
  </r>
  <r>
    <x v="256"/>
    <s v="P1023"/>
    <x v="24"/>
    <x v="3"/>
    <x v="1"/>
    <n v="254"/>
    <n v="117"/>
    <n v="110"/>
    <n v="261"/>
    <n v="0"/>
    <n v="4"/>
    <x v="7"/>
    <n v="60.51"/>
    <n v="90.17"/>
    <x v="8"/>
  </r>
  <r>
    <x v="256"/>
    <s v="P1026"/>
    <x v="14"/>
    <x v="3"/>
    <x v="2"/>
    <n v="71"/>
    <n v="45"/>
    <n v="34"/>
    <n v="82"/>
    <n v="0"/>
    <n v="12"/>
    <x v="10"/>
    <n v="72.94"/>
    <n v="95.62"/>
    <x v="8"/>
  </r>
  <r>
    <x v="256"/>
    <s v="P1046"/>
    <x v="49"/>
    <x v="1"/>
    <x v="1"/>
    <n v="370"/>
    <n v="116"/>
    <n v="199"/>
    <n v="287"/>
    <n v="0"/>
    <n v="7"/>
    <x v="11"/>
    <n v="16.61"/>
    <n v="24.45"/>
    <x v="8"/>
  </r>
  <r>
    <x v="256"/>
    <s v="P1066"/>
    <x v="69"/>
    <x v="2"/>
    <x v="2"/>
    <n v="393"/>
    <n v="38"/>
    <n v="90"/>
    <n v="341"/>
    <n v="0"/>
    <n v="11"/>
    <x v="3"/>
    <n v="7.81"/>
    <n v="11.54"/>
    <x v="8"/>
  </r>
  <r>
    <x v="257"/>
    <s v="P1034"/>
    <x v="3"/>
    <x v="1"/>
    <x v="0"/>
    <n v="119"/>
    <n v="56"/>
    <n v="120"/>
    <n v="55"/>
    <n v="0"/>
    <n v="7"/>
    <x v="11"/>
    <n v="7.08"/>
    <n v="8.6300000000000008"/>
    <x v="8"/>
  </r>
  <r>
    <x v="257"/>
    <s v="P1056"/>
    <x v="56"/>
    <x v="4"/>
    <x v="3"/>
    <n v="14"/>
    <n v="12"/>
    <n v="10"/>
    <n v="16"/>
    <n v="0"/>
    <n v="5"/>
    <x v="14"/>
    <n v="227.64"/>
    <n v="273.74"/>
    <x v="8"/>
  </r>
  <r>
    <x v="257"/>
    <s v="P1071"/>
    <x v="40"/>
    <x v="2"/>
    <x v="2"/>
    <n v="365"/>
    <n v="110"/>
    <n v="164"/>
    <n v="311"/>
    <n v="0"/>
    <n v="14"/>
    <x v="4"/>
    <n v="19.39"/>
    <n v="29.94"/>
    <x v="8"/>
  </r>
  <r>
    <x v="258"/>
    <s v="P1021"/>
    <x v="77"/>
    <x v="3"/>
    <x v="2"/>
    <n v="298"/>
    <n v="25"/>
    <n v="15"/>
    <n v="308"/>
    <n v="0"/>
    <n v="5"/>
    <x v="7"/>
    <n v="44.65"/>
    <n v="55.92"/>
    <x v="8"/>
  </r>
  <r>
    <x v="258"/>
    <s v="P1023"/>
    <x v="24"/>
    <x v="3"/>
    <x v="1"/>
    <n v="227"/>
    <n v="76"/>
    <n v="29"/>
    <n v="274"/>
    <n v="0"/>
    <n v="2"/>
    <x v="10"/>
    <n v="56.23"/>
    <n v="75.48"/>
    <x v="8"/>
  </r>
  <r>
    <x v="258"/>
    <s v="P1033"/>
    <x v="27"/>
    <x v="1"/>
    <x v="1"/>
    <n v="186"/>
    <n v="107"/>
    <n v="147"/>
    <n v="146"/>
    <n v="0"/>
    <n v="5"/>
    <x v="13"/>
    <n v="10.050000000000001"/>
    <n v="14.4"/>
    <x v="8"/>
  </r>
  <r>
    <x v="258"/>
    <s v="P1048"/>
    <x v="74"/>
    <x v="1"/>
    <x v="3"/>
    <n v="134"/>
    <n v="147"/>
    <n v="66"/>
    <n v="215"/>
    <n v="0"/>
    <n v="2"/>
    <x v="13"/>
    <n v="11.15"/>
    <n v="14.73"/>
    <x v="8"/>
  </r>
  <r>
    <x v="258"/>
    <s v="P1057"/>
    <x v="36"/>
    <x v="4"/>
    <x v="1"/>
    <n v="22"/>
    <n v="19"/>
    <n v="15"/>
    <n v="26"/>
    <n v="0"/>
    <n v="9"/>
    <x v="14"/>
    <n v="188.71"/>
    <n v="279.68"/>
    <x v="8"/>
  </r>
  <r>
    <x v="258"/>
    <s v="P1062"/>
    <x v="68"/>
    <x v="4"/>
    <x v="2"/>
    <n v="77"/>
    <n v="17"/>
    <n v="20"/>
    <n v="74"/>
    <n v="0"/>
    <n v="3"/>
    <x v="9"/>
    <n v="289.43"/>
    <n v="336.99"/>
    <x v="8"/>
  </r>
  <r>
    <x v="258"/>
    <s v="P1068"/>
    <x v="33"/>
    <x v="2"/>
    <x v="3"/>
    <n v="72"/>
    <n v="95"/>
    <n v="158"/>
    <n v="9"/>
    <n v="0"/>
    <n v="10"/>
    <x v="3"/>
    <n v="28.78"/>
    <n v="38.89"/>
    <x v="8"/>
  </r>
  <r>
    <x v="259"/>
    <s v="P1003"/>
    <x v="64"/>
    <x v="0"/>
    <x v="1"/>
    <n v="120"/>
    <n v="41"/>
    <n v="71"/>
    <n v="90"/>
    <n v="0"/>
    <n v="4"/>
    <x v="1"/>
    <n v="42.42"/>
    <n v="64.959999999999994"/>
    <x v="8"/>
  </r>
  <r>
    <x v="259"/>
    <s v="P1006"/>
    <x v="19"/>
    <x v="0"/>
    <x v="1"/>
    <n v="179"/>
    <n v="35"/>
    <n v="57"/>
    <n v="157"/>
    <n v="0"/>
    <n v="5"/>
    <x v="1"/>
    <n v="177.5"/>
    <n v="267.14"/>
    <x v="8"/>
  </r>
  <r>
    <x v="259"/>
    <s v="P1009"/>
    <x v="1"/>
    <x v="0"/>
    <x v="1"/>
    <n v="88"/>
    <n v="69"/>
    <n v="54"/>
    <n v="103"/>
    <n v="0"/>
    <n v="14"/>
    <x v="0"/>
    <n v="179.57"/>
    <n v="223.67"/>
    <x v="8"/>
  </r>
  <r>
    <x v="259"/>
    <s v="P1015"/>
    <x v="73"/>
    <x v="0"/>
    <x v="1"/>
    <n v="104"/>
    <n v="73"/>
    <n v="34"/>
    <n v="143"/>
    <n v="0"/>
    <n v="3"/>
    <x v="1"/>
    <n v="192.27"/>
    <n v="255.37"/>
    <x v="8"/>
  </r>
  <r>
    <x v="259"/>
    <s v="P1019"/>
    <x v="66"/>
    <x v="3"/>
    <x v="2"/>
    <n v="114"/>
    <n v="40"/>
    <n v="96"/>
    <n v="58"/>
    <n v="0"/>
    <n v="10"/>
    <x v="12"/>
    <n v="60.83"/>
    <n v="93.66"/>
    <x v="8"/>
  </r>
  <r>
    <x v="259"/>
    <s v="P1028"/>
    <x v="29"/>
    <x v="3"/>
    <x v="3"/>
    <n v="47"/>
    <n v="91"/>
    <n v="128"/>
    <n v="10"/>
    <n v="0"/>
    <n v="3"/>
    <x v="12"/>
    <n v="10.81"/>
    <n v="15.47"/>
    <x v="8"/>
  </r>
  <r>
    <x v="259"/>
    <s v="P1042"/>
    <x v="61"/>
    <x v="1"/>
    <x v="2"/>
    <n v="306"/>
    <n v="154"/>
    <n v="119"/>
    <n v="341"/>
    <n v="0"/>
    <n v="5"/>
    <x v="13"/>
    <n v="2.74"/>
    <n v="3.48"/>
    <x v="8"/>
  </r>
  <r>
    <x v="260"/>
    <s v="P1004"/>
    <x v="57"/>
    <x v="0"/>
    <x v="3"/>
    <n v="131"/>
    <n v="53"/>
    <n v="60"/>
    <n v="124"/>
    <n v="0"/>
    <n v="11"/>
    <x v="0"/>
    <n v="180.2"/>
    <n v="278.57"/>
    <x v="8"/>
  </r>
  <r>
    <x v="260"/>
    <s v="P1068"/>
    <x v="33"/>
    <x v="2"/>
    <x v="3"/>
    <n v="323"/>
    <n v="36"/>
    <n v="50"/>
    <n v="309"/>
    <n v="0"/>
    <n v="3"/>
    <x v="4"/>
    <n v="22.38"/>
    <n v="34.46"/>
    <x v="8"/>
  </r>
  <r>
    <x v="261"/>
    <s v="P1001"/>
    <x v="34"/>
    <x v="0"/>
    <x v="0"/>
    <n v="98"/>
    <n v="66"/>
    <n v="53"/>
    <n v="111"/>
    <n v="0"/>
    <n v="14"/>
    <x v="0"/>
    <n v="107.35"/>
    <n v="145.5"/>
    <x v="8"/>
  </r>
  <r>
    <x v="261"/>
    <s v="P1004"/>
    <x v="57"/>
    <x v="0"/>
    <x v="0"/>
    <n v="39"/>
    <n v="19"/>
    <n v="29"/>
    <n v="29"/>
    <n v="0"/>
    <n v="3"/>
    <x v="6"/>
    <n v="42.17"/>
    <n v="63.04"/>
    <x v="8"/>
  </r>
  <r>
    <x v="261"/>
    <s v="P1007"/>
    <x v="70"/>
    <x v="0"/>
    <x v="0"/>
    <n v="141"/>
    <n v="15"/>
    <n v="32"/>
    <n v="124"/>
    <n v="0"/>
    <n v="9"/>
    <x v="0"/>
    <n v="70.59"/>
    <n v="89.56"/>
    <x v="8"/>
  </r>
  <r>
    <x v="261"/>
    <s v="P1019"/>
    <x v="66"/>
    <x v="3"/>
    <x v="2"/>
    <n v="66"/>
    <n v="53"/>
    <n v="42"/>
    <n v="77"/>
    <n v="0"/>
    <n v="13"/>
    <x v="7"/>
    <n v="54.74"/>
    <n v="70.28"/>
    <x v="8"/>
  </r>
  <r>
    <x v="261"/>
    <s v="P1023"/>
    <x v="24"/>
    <x v="3"/>
    <x v="0"/>
    <n v="230"/>
    <n v="70"/>
    <n v="45"/>
    <n v="255"/>
    <n v="0"/>
    <n v="2"/>
    <x v="7"/>
    <n v="84.5"/>
    <n v="125.14"/>
    <x v="8"/>
  </r>
  <r>
    <x v="261"/>
    <s v="P1029"/>
    <x v="63"/>
    <x v="3"/>
    <x v="3"/>
    <n v="185"/>
    <n v="119"/>
    <n v="39"/>
    <n v="265"/>
    <n v="0"/>
    <n v="14"/>
    <x v="10"/>
    <n v="35.68"/>
    <n v="52.49"/>
    <x v="8"/>
  </r>
  <r>
    <x v="261"/>
    <s v="P1031"/>
    <x v="76"/>
    <x v="3"/>
    <x v="1"/>
    <n v="164"/>
    <n v="100"/>
    <n v="94"/>
    <n v="170"/>
    <n v="0"/>
    <n v="4"/>
    <x v="10"/>
    <n v="61.44"/>
    <n v="88.17"/>
    <x v="8"/>
  </r>
  <r>
    <x v="261"/>
    <s v="P1033"/>
    <x v="27"/>
    <x v="1"/>
    <x v="0"/>
    <n v="435"/>
    <n v="199"/>
    <n v="202"/>
    <n v="432"/>
    <n v="0"/>
    <n v="7"/>
    <x v="2"/>
    <n v="13.77"/>
    <n v="15.86"/>
    <x v="8"/>
  </r>
  <r>
    <x v="261"/>
    <s v="P1059"/>
    <x v="11"/>
    <x v="4"/>
    <x v="1"/>
    <n v="28"/>
    <n v="17"/>
    <n v="2"/>
    <n v="43"/>
    <n v="0"/>
    <n v="11"/>
    <x v="8"/>
    <n v="308.06"/>
    <n v="396.45"/>
    <x v="8"/>
  </r>
  <r>
    <x v="261"/>
    <s v="P1072"/>
    <x v="71"/>
    <x v="2"/>
    <x v="1"/>
    <n v="376"/>
    <n v="67"/>
    <n v="162"/>
    <n v="281"/>
    <n v="0"/>
    <n v="3"/>
    <x v="4"/>
    <n v="4.6399999999999997"/>
    <n v="6.76"/>
    <x v="8"/>
  </r>
  <r>
    <x v="261"/>
    <s v="P1080"/>
    <x v="79"/>
    <x v="2"/>
    <x v="2"/>
    <n v="285"/>
    <n v="181"/>
    <n v="155"/>
    <n v="311"/>
    <n v="0"/>
    <n v="3"/>
    <x v="3"/>
    <n v="8.52"/>
    <n v="10.09"/>
    <x v="8"/>
  </r>
  <r>
    <x v="262"/>
    <s v="P1021"/>
    <x v="77"/>
    <x v="3"/>
    <x v="1"/>
    <n v="193"/>
    <n v="121"/>
    <n v="119"/>
    <n v="195"/>
    <n v="0"/>
    <n v="13"/>
    <x v="12"/>
    <n v="37.409999999999997"/>
    <n v="56.66"/>
    <x v="8"/>
  </r>
  <r>
    <x v="262"/>
    <s v="P1047"/>
    <x v="55"/>
    <x v="1"/>
    <x v="2"/>
    <n v="402"/>
    <n v="219"/>
    <n v="209"/>
    <n v="412"/>
    <n v="0"/>
    <n v="7"/>
    <x v="11"/>
    <n v="23.67"/>
    <n v="35.49"/>
    <x v="8"/>
  </r>
  <r>
    <x v="262"/>
    <s v="P1074"/>
    <x v="6"/>
    <x v="2"/>
    <x v="2"/>
    <n v="377"/>
    <n v="173"/>
    <n v="150"/>
    <n v="400"/>
    <n v="0"/>
    <n v="10"/>
    <x v="4"/>
    <n v="8.7799999999999994"/>
    <n v="12.17"/>
    <x v="8"/>
  </r>
  <r>
    <x v="263"/>
    <s v="P1015"/>
    <x v="73"/>
    <x v="0"/>
    <x v="1"/>
    <n v="27"/>
    <n v="90"/>
    <n v="41"/>
    <n v="76"/>
    <n v="0"/>
    <n v="14"/>
    <x v="1"/>
    <n v="153.51"/>
    <n v="209.85"/>
    <x v="8"/>
  </r>
  <r>
    <x v="263"/>
    <s v="P1030"/>
    <x v="9"/>
    <x v="3"/>
    <x v="3"/>
    <n v="88"/>
    <n v="82"/>
    <n v="64"/>
    <n v="106"/>
    <n v="0"/>
    <n v="8"/>
    <x v="7"/>
    <n v="71.63"/>
    <n v="105.23"/>
    <x v="8"/>
  </r>
  <r>
    <x v="263"/>
    <s v="P1078"/>
    <x v="65"/>
    <x v="2"/>
    <x v="3"/>
    <n v="217"/>
    <n v="87"/>
    <n v="100"/>
    <n v="204"/>
    <n v="0"/>
    <n v="8"/>
    <x v="5"/>
    <n v="19.559999999999999"/>
    <n v="27.25"/>
    <x v="8"/>
  </r>
  <r>
    <x v="263"/>
    <s v="P1080"/>
    <x v="79"/>
    <x v="2"/>
    <x v="1"/>
    <n v="392"/>
    <n v="105"/>
    <n v="128"/>
    <n v="369"/>
    <n v="0"/>
    <n v="6"/>
    <x v="4"/>
    <n v="27.59"/>
    <n v="37.909999999999997"/>
    <x v="8"/>
  </r>
  <r>
    <x v="264"/>
    <s v="P1018"/>
    <x v="46"/>
    <x v="3"/>
    <x v="3"/>
    <n v="270"/>
    <n v="125"/>
    <n v="134"/>
    <n v="261"/>
    <n v="0"/>
    <n v="13"/>
    <x v="12"/>
    <n v="17.29"/>
    <n v="25.23"/>
    <x v="8"/>
  </r>
  <r>
    <x v="264"/>
    <s v="P1019"/>
    <x v="66"/>
    <x v="3"/>
    <x v="1"/>
    <n v="146"/>
    <n v="120"/>
    <n v="57"/>
    <n v="209"/>
    <n v="0"/>
    <n v="8"/>
    <x v="7"/>
    <n v="77.5"/>
    <n v="94.76"/>
    <x v="8"/>
  </r>
  <r>
    <x v="264"/>
    <s v="P1025"/>
    <x v="20"/>
    <x v="3"/>
    <x v="2"/>
    <n v="73"/>
    <n v="122"/>
    <n v="84"/>
    <n v="111"/>
    <n v="0"/>
    <n v="14"/>
    <x v="7"/>
    <n v="72.989999999999995"/>
    <n v="89.4"/>
    <x v="8"/>
  </r>
  <r>
    <x v="264"/>
    <s v="P1032"/>
    <x v="58"/>
    <x v="3"/>
    <x v="1"/>
    <n v="74"/>
    <n v="66"/>
    <n v="134"/>
    <n v="6"/>
    <n v="0"/>
    <n v="6"/>
    <x v="12"/>
    <n v="24.35"/>
    <n v="31"/>
    <x v="8"/>
  </r>
  <r>
    <x v="264"/>
    <s v="P1047"/>
    <x v="55"/>
    <x v="1"/>
    <x v="0"/>
    <n v="487"/>
    <n v="69"/>
    <n v="149"/>
    <n v="407"/>
    <n v="0"/>
    <n v="3"/>
    <x v="13"/>
    <n v="5.83"/>
    <n v="8.5399999999999991"/>
    <x v="8"/>
  </r>
  <r>
    <x v="264"/>
    <s v="P1076"/>
    <x v="7"/>
    <x v="2"/>
    <x v="0"/>
    <n v="84"/>
    <n v="88"/>
    <n v="93"/>
    <n v="79"/>
    <n v="0"/>
    <n v="7"/>
    <x v="4"/>
    <n v="13.28"/>
    <n v="15.3"/>
    <x v="8"/>
  </r>
  <r>
    <x v="264"/>
    <s v="P1080"/>
    <x v="79"/>
    <x v="2"/>
    <x v="0"/>
    <n v="87"/>
    <n v="70"/>
    <n v="113"/>
    <n v="44"/>
    <n v="0"/>
    <n v="3"/>
    <x v="5"/>
    <n v="19.399999999999999"/>
    <n v="28.29"/>
    <x v="8"/>
  </r>
  <r>
    <x v="265"/>
    <s v="P1001"/>
    <x v="34"/>
    <x v="0"/>
    <x v="2"/>
    <n v="61"/>
    <n v="43"/>
    <n v="70"/>
    <n v="34"/>
    <n v="0"/>
    <n v="3"/>
    <x v="0"/>
    <n v="95.93"/>
    <n v="138.87"/>
    <x v="8"/>
  </r>
  <r>
    <x v="265"/>
    <s v="P1011"/>
    <x v="37"/>
    <x v="0"/>
    <x v="1"/>
    <n v="92"/>
    <n v="62"/>
    <n v="34"/>
    <n v="120"/>
    <n v="0"/>
    <n v="13"/>
    <x v="6"/>
    <n v="61.39"/>
    <n v="80.03"/>
    <x v="8"/>
  </r>
  <r>
    <x v="265"/>
    <s v="P1038"/>
    <x v="4"/>
    <x v="1"/>
    <x v="0"/>
    <n v="286"/>
    <n v="67"/>
    <n v="189"/>
    <n v="164"/>
    <n v="0"/>
    <n v="4"/>
    <x v="11"/>
    <n v="7.3"/>
    <n v="9.24"/>
    <x v="8"/>
  </r>
  <r>
    <x v="265"/>
    <s v="P1046"/>
    <x v="49"/>
    <x v="1"/>
    <x v="0"/>
    <n v="222"/>
    <n v="132"/>
    <n v="126"/>
    <n v="228"/>
    <n v="0"/>
    <n v="6"/>
    <x v="2"/>
    <n v="3.52"/>
    <n v="4.28"/>
    <x v="8"/>
  </r>
  <r>
    <x v="265"/>
    <s v="P1061"/>
    <x v="22"/>
    <x v="4"/>
    <x v="1"/>
    <n v="25"/>
    <n v="6"/>
    <n v="4"/>
    <n v="27"/>
    <n v="0"/>
    <n v="6"/>
    <x v="8"/>
    <n v="230.96"/>
    <n v="320.43"/>
    <x v="8"/>
  </r>
  <r>
    <x v="265"/>
    <s v="P1061"/>
    <x v="22"/>
    <x v="4"/>
    <x v="1"/>
    <n v="70"/>
    <n v="20"/>
    <n v="10"/>
    <n v="80"/>
    <n v="0"/>
    <n v="7"/>
    <x v="14"/>
    <n v="204.12"/>
    <n v="292.60000000000002"/>
    <x v="8"/>
  </r>
  <r>
    <x v="265"/>
    <s v="P1075"/>
    <x v="44"/>
    <x v="2"/>
    <x v="0"/>
    <n v="306"/>
    <n v="40"/>
    <n v="17"/>
    <n v="329"/>
    <n v="0"/>
    <n v="10"/>
    <x v="4"/>
    <n v="18.5"/>
    <n v="26.16"/>
    <x v="8"/>
  </r>
  <r>
    <x v="265"/>
    <s v="P1078"/>
    <x v="65"/>
    <x v="2"/>
    <x v="0"/>
    <n v="372"/>
    <n v="147"/>
    <n v="59"/>
    <n v="460"/>
    <n v="0"/>
    <n v="2"/>
    <x v="4"/>
    <n v="13.22"/>
    <n v="18.57"/>
    <x v="8"/>
  </r>
  <r>
    <x v="266"/>
    <s v="P1002"/>
    <x v="18"/>
    <x v="0"/>
    <x v="3"/>
    <n v="147"/>
    <n v="64"/>
    <n v="20"/>
    <n v="191"/>
    <n v="0"/>
    <n v="12"/>
    <x v="0"/>
    <n v="58.3"/>
    <n v="87.17"/>
    <x v="8"/>
  </r>
  <r>
    <x v="266"/>
    <s v="P1008"/>
    <x v="0"/>
    <x v="0"/>
    <x v="1"/>
    <n v="133"/>
    <n v="76"/>
    <n v="23"/>
    <n v="186"/>
    <n v="0"/>
    <n v="4"/>
    <x v="6"/>
    <n v="134.52000000000001"/>
    <n v="203.61"/>
    <x v="8"/>
  </r>
  <r>
    <x v="266"/>
    <s v="P1013"/>
    <x v="2"/>
    <x v="0"/>
    <x v="2"/>
    <n v="26"/>
    <n v="87"/>
    <n v="54"/>
    <n v="59"/>
    <n v="0"/>
    <n v="2"/>
    <x v="0"/>
    <n v="74.08"/>
    <n v="89.94"/>
    <x v="8"/>
  </r>
  <r>
    <x v="266"/>
    <s v="P1015"/>
    <x v="73"/>
    <x v="0"/>
    <x v="3"/>
    <n v="77"/>
    <n v="53"/>
    <n v="10"/>
    <n v="120"/>
    <n v="0"/>
    <n v="13"/>
    <x v="1"/>
    <n v="45.12"/>
    <n v="61.85"/>
    <x v="8"/>
  </r>
  <r>
    <x v="267"/>
    <s v="P1011"/>
    <x v="37"/>
    <x v="0"/>
    <x v="1"/>
    <n v="34"/>
    <n v="74"/>
    <n v="59"/>
    <n v="49"/>
    <n v="0"/>
    <n v="8"/>
    <x v="1"/>
    <n v="84.44"/>
    <n v="116.08"/>
    <x v="8"/>
  </r>
  <r>
    <x v="267"/>
    <s v="P1038"/>
    <x v="4"/>
    <x v="1"/>
    <x v="3"/>
    <n v="182"/>
    <n v="67"/>
    <n v="212"/>
    <n v="37"/>
    <n v="0"/>
    <n v="5"/>
    <x v="13"/>
    <n v="24.9"/>
    <n v="29.82"/>
    <x v="8"/>
  </r>
  <r>
    <x v="267"/>
    <s v="P1070"/>
    <x v="13"/>
    <x v="2"/>
    <x v="0"/>
    <n v="120"/>
    <n v="55"/>
    <n v="85"/>
    <n v="90"/>
    <n v="0"/>
    <n v="10"/>
    <x v="4"/>
    <n v="8.26"/>
    <n v="11.71"/>
    <x v="8"/>
  </r>
  <r>
    <x v="267"/>
    <s v="P1078"/>
    <x v="65"/>
    <x v="2"/>
    <x v="3"/>
    <n v="93"/>
    <n v="81"/>
    <n v="126"/>
    <n v="48"/>
    <n v="0"/>
    <n v="13"/>
    <x v="4"/>
    <n v="19.899999999999999"/>
    <n v="29.34"/>
    <x v="8"/>
  </r>
  <r>
    <x v="267"/>
    <s v="P1079"/>
    <x v="8"/>
    <x v="2"/>
    <x v="0"/>
    <n v="188"/>
    <n v="31"/>
    <n v="72"/>
    <n v="147"/>
    <n v="0"/>
    <n v="4"/>
    <x v="4"/>
    <n v="7.76"/>
    <n v="11.87"/>
    <x v="8"/>
  </r>
  <r>
    <x v="268"/>
    <s v="P1016"/>
    <x v="35"/>
    <x v="0"/>
    <x v="0"/>
    <n v="128"/>
    <n v="44"/>
    <n v="19"/>
    <n v="153"/>
    <n v="0"/>
    <n v="14"/>
    <x v="0"/>
    <n v="80.209999999999994"/>
    <n v="123.08"/>
    <x v="8"/>
  </r>
  <r>
    <x v="268"/>
    <s v="P1020"/>
    <x v="23"/>
    <x v="3"/>
    <x v="1"/>
    <n v="63"/>
    <n v="34"/>
    <n v="97"/>
    <n v="0"/>
    <n v="1"/>
    <n v="7"/>
    <x v="12"/>
    <n v="58.21"/>
    <n v="83.62"/>
    <x v="8"/>
  </r>
  <r>
    <x v="268"/>
    <s v="P1031"/>
    <x v="76"/>
    <x v="3"/>
    <x v="1"/>
    <n v="167"/>
    <n v="49"/>
    <n v="54"/>
    <n v="162"/>
    <n v="0"/>
    <n v="8"/>
    <x v="12"/>
    <n v="75.569999999999993"/>
    <n v="107.37"/>
    <x v="8"/>
  </r>
  <r>
    <x v="268"/>
    <s v="P1055"/>
    <x v="51"/>
    <x v="4"/>
    <x v="2"/>
    <n v="27"/>
    <n v="20"/>
    <n v="4"/>
    <n v="43"/>
    <n v="0"/>
    <n v="11"/>
    <x v="9"/>
    <n v="171.82"/>
    <n v="237.91"/>
    <x v="8"/>
  </r>
  <r>
    <x v="268"/>
    <s v="P1072"/>
    <x v="71"/>
    <x v="2"/>
    <x v="3"/>
    <n v="344"/>
    <n v="30"/>
    <n v="133"/>
    <n v="241"/>
    <n v="0"/>
    <n v="4"/>
    <x v="5"/>
    <n v="14.11"/>
    <n v="21.5"/>
    <x v="8"/>
  </r>
  <r>
    <x v="268"/>
    <s v="P1080"/>
    <x v="79"/>
    <x v="2"/>
    <x v="3"/>
    <n v="107"/>
    <n v="58"/>
    <n v="111"/>
    <n v="54"/>
    <n v="0"/>
    <n v="11"/>
    <x v="4"/>
    <n v="27.98"/>
    <n v="35.01"/>
    <x v="8"/>
  </r>
  <r>
    <x v="269"/>
    <s v="P1007"/>
    <x v="70"/>
    <x v="0"/>
    <x v="0"/>
    <n v="42"/>
    <n v="55"/>
    <n v="76"/>
    <n v="21"/>
    <n v="0"/>
    <n v="9"/>
    <x v="0"/>
    <n v="204.53"/>
    <n v="299.5"/>
    <x v="8"/>
  </r>
  <r>
    <x v="269"/>
    <s v="P1038"/>
    <x v="4"/>
    <x v="1"/>
    <x v="0"/>
    <n v="191"/>
    <n v="185"/>
    <n v="141"/>
    <n v="235"/>
    <n v="0"/>
    <n v="1"/>
    <x v="11"/>
    <n v="9.24"/>
    <n v="13.12"/>
    <x v="8"/>
  </r>
  <r>
    <x v="269"/>
    <s v="P1056"/>
    <x v="56"/>
    <x v="4"/>
    <x v="1"/>
    <n v="17"/>
    <n v="24"/>
    <n v="5"/>
    <n v="36"/>
    <n v="0"/>
    <n v="4"/>
    <x v="14"/>
    <n v="222.59"/>
    <n v="265.31"/>
    <x v="8"/>
  </r>
  <r>
    <x v="270"/>
    <s v="P1009"/>
    <x v="1"/>
    <x v="0"/>
    <x v="1"/>
    <n v="25"/>
    <n v="52"/>
    <n v="39"/>
    <n v="38"/>
    <n v="0"/>
    <n v="3"/>
    <x v="1"/>
    <n v="68.77"/>
    <n v="91.08"/>
    <x v="8"/>
  </r>
  <r>
    <x v="270"/>
    <s v="P1014"/>
    <x v="28"/>
    <x v="0"/>
    <x v="0"/>
    <n v="176"/>
    <n v="67"/>
    <n v="74"/>
    <n v="169"/>
    <n v="0"/>
    <n v="7"/>
    <x v="1"/>
    <n v="109.96"/>
    <n v="147.87"/>
    <x v="8"/>
  </r>
  <r>
    <x v="270"/>
    <s v="P1039"/>
    <x v="30"/>
    <x v="1"/>
    <x v="1"/>
    <n v="323"/>
    <n v="220"/>
    <n v="104"/>
    <n v="439"/>
    <n v="0"/>
    <n v="3"/>
    <x v="11"/>
    <n v="6.63"/>
    <n v="8.25"/>
    <x v="8"/>
  </r>
  <r>
    <x v="270"/>
    <s v="P1055"/>
    <x v="51"/>
    <x v="4"/>
    <x v="2"/>
    <n v="51"/>
    <n v="24"/>
    <n v="17"/>
    <n v="58"/>
    <n v="0"/>
    <n v="13"/>
    <x v="9"/>
    <n v="304.10000000000002"/>
    <n v="440.75"/>
    <x v="8"/>
  </r>
  <r>
    <x v="270"/>
    <s v="P1056"/>
    <x v="56"/>
    <x v="4"/>
    <x v="1"/>
    <n v="38"/>
    <n v="23"/>
    <n v="16"/>
    <n v="45"/>
    <n v="0"/>
    <n v="4"/>
    <x v="14"/>
    <n v="314.68"/>
    <n v="420.26"/>
    <x v="8"/>
  </r>
  <r>
    <x v="270"/>
    <s v="P1062"/>
    <x v="68"/>
    <x v="4"/>
    <x v="1"/>
    <n v="21"/>
    <n v="11"/>
    <n v="5"/>
    <n v="27"/>
    <n v="0"/>
    <n v="13"/>
    <x v="14"/>
    <n v="87.48"/>
    <n v="111.43"/>
    <x v="8"/>
  </r>
  <r>
    <x v="270"/>
    <s v="P1065"/>
    <x v="25"/>
    <x v="2"/>
    <x v="1"/>
    <n v="105"/>
    <n v="57"/>
    <n v="40"/>
    <n v="122"/>
    <n v="0"/>
    <n v="11"/>
    <x v="5"/>
    <n v="15.86"/>
    <n v="21.7"/>
    <x v="8"/>
  </r>
  <r>
    <x v="271"/>
    <s v="P1002"/>
    <x v="18"/>
    <x v="0"/>
    <x v="2"/>
    <n v="22"/>
    <n v="25"/>
    <n v="34"/>
    <n v="13"/>
    <n v="0"/>
    <n v="14"/>
    <x v="1"/>
    <n v="39.56"/>
    <n v="60.91"/>
    <x v="9"/>
  </r>
  <r>
    <x v="271"/>
    <s v="P1005"/>
    <x v="62"/>
    <x v="0"/>
    <x v="1"/>
    <n v="168"/>
    <n v="10"/>
    <n v="62"/>
    <n v="116"/>
    <n v="0"/>
    <n v="8"/>
    <x v="6"/>
    <n v="204.73"/>
    <n v="303.32"/>
    <x v="9"/>
  </r>
  <r>
    <x v="271"/>
    <s v="P1029"/>
    <x v="63"/>
    <x v="3"/>
    <x v="3"/>
    <n v="247"/>
    <n v="64"/>
    <n v="89"/>
    <n v="222"/>
    <n v="0"/>
    <n v="8"/>
    <x v="12"/>
    <n v="77.349999999999994"/>
    <n v="99.67"/>
    <x v="9"/>
  </r>
  <r>
    <x v="271"/>
    <s v="P1061"/>
    <x v="22"/>
    <x v="4"/>
    <x v="3"/>
    <n v="43"/>
    <n v="8"/>
    <n v="3"/>
    <n v="48"/>
    <n v="0"/>
    <n v="2"/>
    <x v="8"/>
    <n v="320.37"/>
    <n v="371.14"/>
    <x v="9"/>
  </r>
  <r>
    <x v="271"/>
    <s v="P1078"/>
    <x v="65"/>
    <x v="2"/>
    <x v="0"/>
    <n v="335"/>
    <n v="54"/>
    <n v="33"/>
    <n v="356"/>
    <n v="0"/>
    <n v="6"/>
    <x v="3"/>
    <n v="10.96"/>
    <n v="12.69"/>
    <x v="9"/>
  </r>
  <r>
    <x v="272"/>
    <s v="P1011"/>
    <x v="37"/>
    <x v="0"/>
    <x v="0"/>
    <n v="108"/>
    <n v="25"/>
    <n v="23"/>
    <n v="110"/>
    <n v="0"/>
    <n v="8"/>
    <x v="1"/>
    <n v="103.08"/>
    <n v="149.46"/>
    <x v="9"/>
  </r>
  <r>
    <x v="272"/>
    <s v="P1038"/>
    <x v="4"/>
    <x v="1"/>
    <x v="0"/>
    <n v="313"/>
    <n v="228"/>
    <n v="63"/>
    <n v="478"/>
    <n v="0"/>
    <n v="6"/>
    <x v="2"/>
    <n v="8.01"/>
    <n v="12.37"/>
    <x v="9"/>
  </r>
  <r>
    <x v="272"/>
    <s v="P1043"/>
    <x v="21"/>
    <x v="1"/>
    <x v="3"/>
    <n v="292"/>
    <n v="162"/>
    <n v="180"/>
    <n v="274"/>
    <n v="0"/>
    <n v="2"/>
    <x v="2"/>
    <n v="12.88"/>
    <n v="17.489999999999998"/>
    <x v="9"/>
  </r>
  <r>
    <x v="272"/>
    <s v="P1061"/>
    <x v="22"/>
    <x v="4"/>
    <x v="0"/>
    <n v="17"/>
    <n v="25"/>
    <n v="10"/>
    <n v="32"/>
    <n v="0"/>
    <n v="8"/>
    <x v="14"/>
    <n v="143.82"/>
    <n v="185.74"/>
    <x v="9"/>
  </r>
  <r>
    <x v="273"/>
    <s v="P1035"/>
    <x v="42"/>
    <x v="1"/>
    <x v="3"/>
    <n v="257"/>
    <n v="207"/>
    <n v="145"/>
    <n v="319"/>
    <n v="0"/>
    <n v="7"/>
    <x v="2"/>
    <n v="8.58"/>
    <n v="11.33"/>
    <x v="9"/>
  </r>
  <r>
    <x v="274"/>
    <s v="P1017"/>
    <x v="45"/>
    <x v="3"/>
    <x v="0"/>
    <n v="102"/>
    <n v="68"/>
    <n v="85"/>
    <n v="85"/>
    <n v="0"/>
    <n v="14"/>
    <x v="10"/>
    <n v="85.66"/>
    <n v="115.51"/>
    <x v="9"/>
  </r>
  <r>
    <x v="274"/>
    <s v="P1019"/>
    <x v="66"/>
    <x v="3"/>
    <x v="0"/>
    <n v="68"/>
    <n v="135"/>
    <n v="20"/>
    <n v="183"/>
    <n v="0"/>
    <n v="2"/>
    <x v="12"/>
    <n v="89.85"/>
    <n v="106.02"/>
    <x v="9"/>
  </r>
  <r>
    <x v="274"/>
    <s v="P1029"/>
    <x v="63"/>
    <x v="3"/>
    <x v="0"/>
    <n v="172"/>
    <n v="124"/>
    <n v="37"/>
    <n v="259"/>
    <n v="0"/>
    <n v="11"/>
    <x v="12"/>
    <n v="55.91"/>
    <n v="65.38"/>
    <x v="9"/>
  </r>
  <r>
    <x v="274"/>
    <s v="P1049"/>
    <x v="10"/>
    <x v="4"/>
    <x v="0"/>
    <n v="52"/>
    <n v="14"/>
    <n v="11"/>
    <n v="55"/>
    <n v="0"/>
    <n v="8"/>
    <x v="8"/>
    <n v="316.43"/>
    <n v="372.92"/>
    <x v="9"/>
  </r>
  <r>
    <x v="274"/>
    <s v="P1060"/>
    <x v="16"/>
    <x v="4"/>
    <x v="1"/>
    <n v="30"/>
    <n v="15"/>
    <n v="4"/>
    <n v="41"/>
    <n v="0"/>
    <n v="8"/>
    <x v="8"/>
    <n v="179.81"/>
    <n v="242.57"/>
    <x v="9"/>
  </r>
  <r>
    <x v="274"/>
    <s v="P1066"/>
    <x v="69"/>
    <x v="2"/>
    <x v="1"/>
    <n v="78"/>
    <n v="99"/>
    <n v="134"/>
    <n v="43"/>
    <n v="0"/>
    <n v="6"/>
    <x v="3"/>
    <n v="16.309999999999999"/>
    <n v="22.39"/>
    <x v="9"/>
  </r>
  <r>
    <x v="274"/>
    <s v="P1070"/>
    <x v="13"/>
    <x v="2"/>
    <x v="3"/>
    <n v="365"/>
    <n v="169"/>
    <n v="109"/>
    <n v="425"/>
    <n v="0"/>
    <n v="2"/>
    <x v="4"/>
    <n v="26.81"/>
    <n v="41.47"/>
    <x v="9"/>
  </r>
  <r>
    <x v="275"/>
    <s v="P1003"/>
    <x v="64"/>
    <x v="0"/>
    <x v="0"/>
    <n v="30"/>
    <n v="17"/>
    <n v="47"/>
    <n v="0"/>
    <n v="1"/>
    <n v="7"/>
    <x v="1"/>
    <n v="169.86"/>
    <n v="213.48"/>
    <x v="9"/>
  </r>
  <r>
    <x v="275"/>
    <s v="P1029"/>
    <x v="63"/>
    <x v="3"/>
    <x v="1"/>
    <n v="155"/>
    <n v="127"/>
    <n v="62"/>
    <n v="220"/>
    <n v="0"/>
    <n v="8"/>
    <x v="10"/>
    <n v="59.36"/>
    <n v="74.88"/>
    <x v="9"/>
  </r>
  <r>
    <x v="275"/>
    <s v="P1059"/>
    <x v="11"/>
    <x v="4"/>
    <x v="0"/>
    <n v="17"/>
    <n v="21"/>
    <n v="10"/>
    <n v="28"/>
    <n v="0"/>
    <n v="14"/>
    <x v="9"/>
    <n v="279.77999999999997"/>
    <n v="372.47"/>
    <x v="9"/>
  </r>
  <r>
    <x v="276"/>
    <s v="P1003"/>
    <x v="64"/>
    <x v="0"/>
    <x v="3"/>
    <n v="63"/>
    <n v="14"/>
    <n v="31"/>
    <n v="46"/>
    <n v="0"/>
    <n v="5"/>
    <x v="6"/>
    <n v="147.21"/>
    <n v="186.26"/>
    <x v="9"/>
  </r>
  <r>
    <x v="276"/>
    <s v="P1040"/>
    <x v="67"/>
    <x v="1"/>
    <x v="0"/>
    <n v="480"/>
    <n v="182"/>
    <n v="125"/>
    <n v="537"/>
    <n v="0"/>
    <n v="7"/>
    <x v="11"/>
    <n v="3.03"/>
    <n v="3.64"/>
    <x v="9"/>
  </r>
  <r>
    <x v="277"/>
    <s v="P1002"/>
    <x v="18"/>
    <x v="0"/>
    <x v="2"/>
    <n v="145"/>
    <n v="30"/>
    <n v="80"/>
    <n v="95"/>
    <n v="0"/>
    <n v="3"/>
    <x v="6"/>
    <n v="83.35"/>
    <n v="120.29"/>
    <x v="9"/>
  </r>
  <r>
    <x v="277"/>
    <s v="P1008"/>
    <x v="0"/>
    <x v="0"/>
    <x v="3"/>
    <n v="57"/>
    <n v="38"/>
    <n v="9"/>
    <n v="86"/>
    <n v="0"/>
    <n v="2"/>
    <x v="1"/>
    <n v="53.06"/>
    <n v="75.12"/>
    <x v="9"/>
  </r>
  <r>
    <x v="277"/>
    <s v="P1016"/>
    <x v="35"/>
    <x v="0"/>
    <x v="2"/>
    <n v="166"/>
    <n v="75"/>
    <n v="34"/>
    <n v="207"/>
    <n v="0"/>
    <n v="6"/>
    <x v="6"/>
    <n v="18.100000000000001"/>
    <n v="27.8"/>
    <x v="9"/>
  </r>
  <r>
    <x v="277"/>
    <s v="P1053"/>
    <x v="39"/>
    <x v="4"/>
    <x v="1"/>
    <n v="45"/>
    <n v="14"/>
    <n v="6"/>
    <n v="53"/>
    <n v="0"/>
    <n v="11"/>
    <x v="8"/>
    <n v="199.78"/>
    <n v="251.97"/>
    <x v="9"/>
  </r>
  <r>
    <x v="277"/>
    <s v="P1065"/>
    <x v="25"/>
    <x v="2"/>
    <x v="0"/>
    <n v="85"/>
    <n v="168"/>
    <n v="31"/>
    <n v="222"/>
    <n v="0"/>
    <n v="9"/>
    <x v="4"/>
    <n v="26.75"/>
    <n v="31.88"/>
    <x v="9"/>
  </r>
  <r>
    <x v="277"/>
    <s v="P1071"/>
    <x v="40"/>
    <x v="2"/>
    <x v="3"/>
    <n v="178"/>
    <n v="219"/>
    <n v="128"/>
    <n v="269"/>
    <n v="0"/>
    <n v="11"/>
    <x v="5"/>
    <n v="24.16"/>
    <n v="30.61"/>
    <x v="9"/>
  </r>
  <r>
    <x v="277"/>
    <s v="P1079"/>
    <x v="8"/>
    <x v="2"/>
    <x v="0"/>
    <n v="331"/>
    <n v="42"/>
    <n v="34"/>
    <n v="339"/>
    <n v="0"/>
    <n v="3"/>
    <x v="5"/>
    <n v="27.1"/>
    <n v="40.04"/>
    <x v="9"/>
  </r>
  <r>
    <x v="278"/>
    <s v="P1015"/>
    <x v="73"/>
    <x v="0"/>
    <x v="1"/>
    <n v="43"/>
    <n v="48"/>
    <n v="72"/>
    <n v="19"/>
    <n v="0"/>
    <n v="14"/>
    <x v="6"/>
    <n v="41.35"/>
    <n v="47.99"/>
    <x v="9"/>
  </r>
  <r>
    <x v="278"/>
    <s v="P1028"/>
    <x v="29"/>
    <x v="3"/>
    <x v="1"/>
    <n v="222"/>
    <n v="72"/>
    <n v="59"/>
    <n v="235"/>
    <n v="0"/>
    <n v="9"/>
    <x v="12"/>
    <n v="65.63"/>
    <n v="87.36"/>
    <x v="9"/>
  </r>
  <r>
    <x v="278"/>
    <s v="P1049"/>
    <x v="10"/>
    <x v="4"/>
    <x v="0"/>
    <n v="17"/>
    <n v="20"/>
    <n v="14"/>
    <n v="23"/>
    <n v="0"/>
    <n v="11"/>
    <x v="14"/>
    <n v="163.94"/>
    <n v="202.05"/>
    <x v="9"/>
  </r>
  <r>
    <x v="278"/>
    <s v="P1075"/>
    <x v="44"/>
    <x v="2"/>
    <x v="3"/>
    <n v="273"/>
    <n v="113"/>
    <n v="103"/>
    <n v="283"/>
    <n v="0"/>
    <n v="13"/>
    <x v="5"/>
    <n v="2.12"/>
    <n v="2.86"/>
    <x v="9"/>
  </r>
  <r>
    <x v="279"/>
    <s v="P1005"/>
    <x v="62"/>
    <x v="0"/>
    <x v="2"/>
    <n v="34"/>
    <n v="12"/>
    <n v="46"/>
    <n v="0"/>
    <n v="1"/>
    <n v="2"/>
    <x v="0"/>
    <n v="121.21"/>
    <n v="175.66"/>
    <x v="9"/>
  </r>
  <r>
    <x v="279"/>
    <s v="P1009"/>
    <x v="1"/>
    <x v="0"/>
    <x v="1"/>
    <n v="176"/>
    <n v="21"/>
    <n v="21"/>
    <n v="176"/>
    <n v="0"/>
    <n v="5"/>
    <x v="1"/>
    <n v="36.76"/>
    <n v="52.4"/>
    <x v="9"/>
  </r>
  <r>
    <x v="279"/>
    <s v="P1010"/>
    <x v="47"/>
    <x v="0"/>
    <x v="3"/>
    <n v="85"/>
    <n v="34"/>
    <n v="77"/>
    <n v="42"/>
    <n v="0"/>
    <n v="6"/>
    <x v="0"/>
    <n v="142.05000000000001"/>
    <n v="167.76"/>
    <x v="9"/>
  </r>
  <r>
    <x v="279"/>
    <s v="P1019"/>
    <x v="66"/>
    <x v="3"/>
    <x v="3"/>
    <n v="178"/>
    <n v="144"/>
    <n v="82"/>
    <n v="240"/>
    <n v="0"/>
    <n v="5"/>
    <x v="12"/>
    <n v="61.23"/>
    <n v="87.51"/>
    <x v="9"/>
  </r>
  <r>
    <x v="279"/>
    <s v="P1026"/>
    <x v="14"/>
    <x v="3"/>
    <x v="2"/>
    <n v="173"/>
    <n v="76"/>
    <n v="101"/>
    <n v="148"/>
    <n v="0"/>
    <n v="2"/>
    <x v="10"/>
    <n v="56.48"/>
    <n v="72.06"/>
    <x v="9"/>
  </r>
  <r>
    <x v="279"/>
    <s v="P1036"/>
    <x v="75"/>
    <x v="1"/>
    <x v="3"/>
    <n v="295"/>
    <n v="151"/>
    <n v="66"/>
    <n v="380"/>
    <n v="0"/>
    <n v="4"/>
    <x v="2"/>
    <n v="4.96"/>
    <n v="7.13"/>
    <x v="9"/>
  </r>
  <r>
    <x v="279"/>
    <s v="P1063"/>
    <x v="12"/>
    <x v="4"/>
    <x v="2"/>
    <n v="26"/>
    <n v="23"/>
    <n v="1"/>
    <n v="48"/>
    <n v="0"/>
    <n v="4"/>
    <x v="14"/>
    <n v="25.44"/>
    <n v="34.31"/>
    <x v="9"/>
  </r>
  <r>
    <x v="280"/>
    <s v="P1003"/>
    <x v="64"/>
    <x v="0"/>
    <x v="2"/>
    <n v="40"/>
    <n v="60"/>
    <n v="42"/>
    <n v="58"/>
    <n v="0"/>
    <n v="5"/>
    <x v="6"/>
    <n v="176.7"/>
    <n v="248.41"/>
    <x v="9"/>
  </r>
  <r>
    <x v="280"/>
    <s v="P1033"/>
    <x v="27"/>
    <x v="1"/>
    <x v="3"/>
    <n v="446"/>
    <n v="121"/>
    <n v="85"/>
    <n v="482"/>
    <n v="0"/>
    <n v="2"/>
    <x v="13"/>
    <n v="14.58"/>
    <n v="19.54"/>
    <x v="9"/>
  </r>
  <r>
    <x v="280"/>
    <s v="P1036"/>
    <x v="75"/>
    <x v="1"/>
    <x v="2"/>
    <n v="165"/>
    <n v="216"/>
    <n v="36"/>
    <n v="345"/>
    <n v="0"/>
    <n v="2"/>
    <x v="2"/>
    <n v="3.88"/>
    <n v="5.17"/>
    <x v="9"/>
  </r>
  <r>
    <x v="280"/>
    <s v="P1036"/>
    <x v="75"/>
    <x v="1"/>
    <x v="0"/>
    <n v="167"/>
    <n v="250"/>
    <n v="132"/>
    <n v="285"/>
    <n v="0"/>
    <n v="5"/>
    <x v="13"/>
    <n v="3.14"/>
    <n v="4.33"/>
    <x v="9"/>
  </r>
  <r>
    <x v="280"/>
    <s v="P1066"/>
    <x v="69"/>
    <x v="2"/>
    <x v="0"/>
    <n v="163"/>
    <n v="44"/>
    <n v="110"/>
    <n v="97"/>
    <n v="0"/>
    <n v="8"/>
    <x v="4"/>
    <n v="14.39"/>
    <n v="21.85"/>
    <x v="9"/>
  </r>
  <r>
    <x v="280"/>
    <s v="P1070"/>
    <x v="13"/>
    <x v="2"/>
    <x v="3"/>
    <n v="165"/>
    <n v="114"/>
    <n v="135"/>
    <n v="144"/>
    <n v="0"/>
    <n v="5"/>
    <x v="4"/>
    <n v="17.899999999999999"/>
    <n v="21.47"/>
    <x v="9"/>
  </r>
  <r>
    <x v="281"/>
    <s v="P1041"/>
    <x v="38"/>
    <x v="1"/>
    <x v="1"/>
    <n v="125"/>
    <n v="237"/>
    <n v="185"/>
    <n v="177"/>
    <n v="0"/>
    <n v="1"/>
    <x v="13"/>
    <n v="24.33"/>
    <n v="37.549999999999997"/>
    <x v="9"/>
  </r>
  <r>
    <x v="281"/>
    <s v="P1043"/>
    <x v="21"/>
    <x v="1"/>
    <x v="3"/>
    <n v="467"/>
    <n v="98"/>
    <n v="176"/>
    <n v="389"/>
    <n v="0"/>
    <n v="3"/>
    <x v="11"/>
    <n v="18.239999999999998"/>
    <n v="24.87"/>
    <x v="9"/>
  </r>
  <r>
    <x v="281"/>
    <s v="P1044"/>
    <x v="48"/>
    <x v="1"/>
    <x v="2"/>
    <n v="109"/>
    <n v="117"/>
    <n v="103"/>
    <n v="123"/>
    <n v="0"/>
    <n v="1"/>
    <x v="2"/>
    <n v="2.97"/>
    <n v="4.29"/>
    <x v="9"/>
  </r>
  <r>
    <x v="281"/>
    <s v="P1061"/>
    <x v="22"/>
    <x v="4"/>
    <x v="0"/>
    <n v="58"/>
    <n v="11"/>
    <n v="7"/>
    <n v="62"/>
    <n v="0"/>
    <n v="4"/>
    <x v="8"/>
    <n v="202.67"/>
    <n v="290.57"/>
    <x v="9"/>
  </r>
  <r>
    <x v="281"/>
    <s v="P1072"/>
    <x v="71"/>
    <x v="2"/>
    <x v="0"/>
    <n v="215"/>
    <n v="76"/>
    <n v="162"/>
    <n v="129"/>
    <n v="0"/>
    <n v="13"/>
    <x v="5"/>
    <n v="29.76"/>
    <n v="35.090000000000003"/>
    <x v="9"/>
  </r>
  <r>
    <x v="281"/>
    <s v="P1080"/>
    <x v="79"/>
    <x v="2"/>
    <x v="3"/>
    <n v="105"/>
    <n v="82"/>
    <n v="102"/>
    <n v="85"/>
    <n v="0"/>
    <n v="10"/>
    <x v="5"/>
    <n v="29.28"/>
    <n v="43.43"/>
    <x v="9"/>
  </r>
  <r>
    <x v="282"/>
    <s v="P1007"/>
    <x v="70"/>
    <x v="0"/>
    <x v="0"/>
    <n v="94"/>
    <n v="25"/>
    <n v="22"/>
    <n v="97"/>
    <n v="0"/>
    <n v="4"/>
    <x v="0"/>
    <n v="20.87"/>
    <n v="28.87"/>
    <x v="9"/>
  </r>
  <r>
    <x v="282"/>
    <s v="P1011"/>
    <x v="37"/>
    <x v="0"/>
    <x v="3"/>
    <n v="159"/>
    <n v="41"/>
    <n v="60"/>
    <n v="140"/>
    <n v="0"/>
    <n v="9"/>
    <x v="6"/>
    <n v="150.57"/>
    <n v="190.58"/>
    <x v="9"/>
  </r>
  <r>
    <x v="282"/>
    <s v="P1012"/>
    <x v="41"/>
    <x v="0"/>
    <x v="3"/>
    <n v="150"/>
    <n v="32"/>
    <n v="72"/>
    <n v="110"/>
    <n v="0"/>
    <n v="6"/>
    <x v="1"/>
    <n v="185.88"/>
    <n v="228.27"/>
    <x v="9"/>
  </r>
  <r>
    <x v="282"/>
    <s v="P1036"/>
    <x v="75"/>
    <x v="1"/>
    <x v="1"/>
    <n v="245"/>
    <n v="239"/>
    <n v="177"/>
    <n v="307"/>
    <n v="0"/>
    <n v="1"/>
    <x v="2"/>
    <n v="5.45"/>
    <n v="6.84"/>
    <x v="9"/>
  </r>
  <r>
    <x v="282"/>
    <s v="P1049"/>
    <x v="10"/>
    <x v="4"/>
    <x v="1"/>
    <n v="28"/>
    <n v="25"/>
    <n v="6"/>
    <n v="47"/>
    <n v="0"/>
    <n v="13"/>
    <x v="8"/>
    <n v="300.64"/>
    <n v="459.64"/>
    <x v="9"/>
  </r>
  <r>
    <x v="282"/>
    <s v="P1055"/>
    <x v="51"/>
    <x v="4"/>
    <x v="3"/>
    <n v="73"/>
    <n v="23"/>
    <n v="16"/>
    <n v="80"/>
    <n v="0"/>
    <n v="3"/>
    <x v="9"/>
    <n v="168.89"/>
    <n v="258.33"/>
    <x v="9"/>
  </r>
  <r>
    <x v="282"/>
    <s v="P1055"/>
    <x v="51"/>
    <x v="4"/>
    <x v="0"/>
    <n v="44"/>
    <n v="24"/>
    <n v="10"/>
    <n v="58"/>
    <n v="0"/>
    <n v="4"/>
    <x v="9"/>
    <n v="229.93"/>
    <n v="333.36"/>
    <x v="9"/>
  </r>
  <r>
    <x v="282"/>
    <s v="P1060"/>
    <x v="16"/>
    <x v="4"/>
    <x v="0"/>
    <n v="69"/>
    <n v="2"/>
    <n v="17"/>
    <n v="54"/>
    <n v="0"/>
    <n v="10"/>
    <x v="14"/>
    <n v="144.49"/>
    <n v="200.33"/>
    <x v="9"/>
  </r>
  <r>
    <x v="282"/>
    <s v="P1070"/>
    <x v="13"/>
    <x v="2"/>
    <x v="1"/>
    <n v="97"/>
    <n v="216"/>
    <n v="151"/>
    <n v="162"/>
    <n v="0"/>
    <n v="12"/>
    <x v="3"/>
    <n v="21.83"/>
    <n v="26.19"/>
    <x v="9"/>
  </r>
  <r>
    <x v="283"/>
    <s v="P1006"/>
    <x v="19"/>
    <x v="0"/>
    <x v="0"/>
    <n v="74"/>
    <n v="61"/>
    <n v="48"/>
    <n v="87"/>
    <n v="0"/>
    <n v="14"/>
    <x v="0"/>
    <n v="193.28"/>
    <n v="258.77999999999997"/>
    <x v="9"/>
  </r>
  <r>
    <x v="283"/>
    <s v="P1008"/>
    <x v="0"/>
    <x v="0"/>
    <x v="0"/>
    <n v="119"/>
    <n v="16"/>
    <n v="50"/>
    <n v="85"/>
    <n v="0"/>
    <n v="5"/>
    <x v="0"/>
    <n v="180.04"/>
    <n v="267.89999999999998"/>
    <x v="9"/>
  </r>
  <r>
    <x v="283"/>
    <s v="P1025"/>
    <x v="20"/>
    <x v="3"/>
    <x v="0"/>
    <n v="111"/>
    <n v="148"/>
    <n v="96"/>
    <n v="163"/>
    <n v="0"/>
    <n v="12"/>
    <x v="10"/>
    <n v="76.040000000000006"/>
    <n v="117.16"/>
    <x v="9"/>
  </r>
  <r>
    <x v="283"/>
    <s v="P1033"/>
    <x v="27"/>
    <x v="1"/>
    <x v="3"/>
    <n v="350"/>
    <n v="139"/>
    <n v="51"/>
    <n v="438"/>
    <n v="0"/>
    <n v="4"/>
    <x v="13"/>
    <n v="10.84"/>
    <n v="12.58"/>
    <x v="9"/>
  </r>
  <r>
    <x v="283"/>
    <s v="P1044"/>
    <x v="48"/>
    <x v="1"/>
    <x v="2"/>
    <n v="326"/>
    <n v="99"/>
    <n v="214"/>
    <n v="211"/>
    <n v="0"/>
    <n v="1"/>
    <x v="2"/>
    <n v="24.1"/>
    <n v="30.8"/>
    <x v="9"/>
  </r>
  <r>
    <x v="283"/>
    <s v="P1049"/>
    <x v="10"/>
    <x v="4"/>
    <x v="3"/>
    <n v="66"/>
    <n v="6"/>
    <n v="7"/>
    <n v="65"/>
    <n v="0"/>
    <n v="10"/>
    <x v="14"/>
    <n v="52.99"/>
    <n v="72.790000000000006"/>
    <x v="9"/>
  </r>
  <r>
    <x v="283"/>
    <s v="P1052"/>
    <x v="60"/>
    <x v="4"/>
    <x v="0"/>
    <n v="68"/>
    <n v="15"/>
    <n v="9"/>
    <n v="74"/>
    <n v="0"/>
    <n v="5"/>
    <x v="8"/>
    <n v="45.96"/>
    <n v="68.98"/>
    <x v="9"/>
  </r>
  <r>
    <x v="284"/>
    <s v="P1015"/>
    <x v="73"/>
    <x v="0"/>
    <x v="0"/>
    <n v="168"/>
    <n v="25"/>
    <n v="24"/>
    <n v="169"/>
    <n v="0"/>
    <n v="12"/>
    <x v="0"/>
    <n v="90.41"/>
    <n v="119"/>
    <x v="9"/>
  </r>
  <r>
    <x v="284"/>
    <s v="P1026"/>
    <x v="14"/>
    <x v="3"/>
    <x v="1"/>
    <n v="112"/>
    <n v="71"/>
    <n v="137"/>
    <n v="46"/>
    <n v="0"/>
    <n v="13"/>
    <x v="12"/>
    <n v="45.09"/>
    <n v="52.63"/>
    <x v="9"/>
  </r>
  <r>
    <x v="284"/>
    <s v="P1054"/>
    <x v="43"/>
    <x v="4"/>
    <x v="0"/>
    <n v="34"/>
    <n v="17"/>
    <n v="18"/>
    <n v="33"/>
    <n v="0"/>
    <n v="8"/>
    <x v="14"/>
    <n v="229.39"/>
    <n v="274.62"/>
    <x v="9"/>
  </r>
  <r>
    <x v="285"/>
    <s v="P1012"/>
    <x v="41"/>
    <x v="0"/>
    <x v="2"/>
    <n v="36"/>
    <n v="77"/>
    <n v="7"/>
    <n v="106"/>
    <n v="0"/>
    <n v="8"/>
    <x v="6"/>
    <n v="208.86"/>
    <n v="274.35000000000002"/>
    <x v="9"/>
  </r>
  <r>
    <x v="285"/>
    <s v="P1014"/>
    <x v="28"/>
    <x v="0"/>
    <x v="1"/>
    <n v="162"/>
    <n v="16"/>
    <n v="44"/>
    <n v="134"/>
    <n v="0"/>
    <n v="13"/>
    <x v="0"/>
    <n v="153.66"/>
    <n v="195.21"/>
    <x v="9"/>
  </r>
  <r>
    <x v="285"/>
    <s v="P1014"/>
    <x v="28"/>
    <x v="0"/>
    <x v="1"/>
    <n v="125"/>
    <n v="84"/>
    <n v="78"/>
    <n v="131"/>
    <n v="0"/>
    <n v="14"/>
    <x v="0"/>
    <n v="179.33"/>
    <n v="263.02"/>
    <x v="9"/>
  </r>
  <r>
    <x v="285"/>
    <s v="P1047"/>
    <x v="55"/>
    <x v="1"/>
    <x v="3"/>
    <n v="89"/>
    <n v="119"/>
    <n v="208"/>
    <n v="0"/>
    <n v="1"/>
    <n v="6"/>
    <x v="11"/>
    <n v="7.15"/>
    <n v="10.89"/>
    <x v="9"/>
  </r>
  <r>
    <x v="285"/>
    <s v="P1060"/>
    <x v="16"/>
    <x v="4"/>
    <x v="1"/>
    <n v="10"/>
    <n v="5"/>
    <n v="12"/>
    <n v="3"/>
    <n v="0"/>
    <n v="13"/>
    <x v="8"/>
    <n v="169.07"/>
    <n v="231.85"/>
    <x v="9"/>
  </r>
  <r>
    <x v="285"/>
    <s v="P1060"/>
    <x v="16"/>
    <x v="4"/>
    <x v="2"/>
    <n v="45"/>
    <n v="2"/>
    <n v="20"/>
    <n v="27"/>
    <n v="0"/>
    <n v="14"/>
    <x v="8"/>
    <n v="348.92"/>
    <n v="506.04"/>
    <x v="9"/>
  </r>
  <r>
    <x v="285"/>
    <s v="P1062"/>
    <x v="68"/>
    <x v="4"/>
    <x v="2"/>
    <n v="11"/>
    <n v="7"/>
    <n v="15"/>
    <n v="3"/>
    <n v="0"/>
    <n v="4"/>
    <x v="14"/>
    <n v="220.64"/>
    <n v="315.29000000000002"/>
    <x v="9"/>
  </r>
  <r>
    <x v="285"/>
    <s v="P1064"/>
    <x v="32"/>
    <x v="4"/>
    <x v="0"/>
    <n v="67"/>
    <n v="6"/>
    <n v="16"/>
    <n v="57"/>
    <n v="0"/>
    <n v="14"/>
    <x v="9"/>
    <n v="138.82"/>
    <n v="197.26"/>
    <x v="9"/>
  </r>
  <r>
    <x v="285"/>
    <s v="P1070"/>
    <x v="13"/>
    <x v="2"/>
    <x v="1"/>
    <n v="85"/>
    <n v="111"/>
    <n v="97"/>
    <n v="99"/>
    <n v="0"/>
    <n v="4"/>
    <x v="4"/>
    <n v="26.67"/>
    <n v="33.03"/>
    <x v="9"/>
  </r>
  <r>
    <x v="285"/>
    <s v="P1080"/>
    <x v="79"/>
    <x v="2"/>
    <x v="0"/>
    <n v="99"/>
    <n v="156"/>
    <n v="47"/>
    <n v="208"/>
    <n v="0"/>
    <n v="5"/>
    <x v="4"/>
    <n v="17.03"/>
    <n v="19.75"/>
    <x v="9"/>
  </r>
  <r>
    <x v="286"/>
    <s v="P1004"/>
    <x v="57"/>
    <x v="0"/>
    <x v="0"/>
    <n v="97"/>
    <n v="57"/>
    <n v="27"/>
    <n v="127"/>
    <n v="0"/>
    <n v="5"/>
    <x v="6"/>
    <n v="17.93"/>
    <n v="24.93"/>
    <x v="9"/>
  </r>
  <r>
    <x v="286"/>
    <s v="P1017"/>
    <x v="45"/>
    <x v="3"/>
    <x v="1"/>
    <n v="188"/>
    <n v="103"/>
    <n v="125"/>
    <n v="166"/>
    <n v="0"/>
    <n v="7"/>
    <x v="7"/>
    <n v="22.21"/>
    <n v="29.86"/>
    <x v="9"/>
  </r>
  <r>
    <x v="286"/>
    <s v="P1026"/>
    <x v="14"/>
    <x v="3"/>
    <x v="0"/>
    <n v="117"/>
    <n v="99"/>
    <n v="111"/>
    <n v="105"/>
    <n v="0"/>
    <n v="11"/>
    <x v="7"/>
    <n v="87.86"/>
    <n v="103.13"/>
    <x v="9"/>
  </r>
  <r>
    <x v="286"/>
    <s v="P1033"/>
    <x v="27"/>
    <x v="1"/>
    <x v="0"/>
    <n v="354"/>
    <n v="220"/>
    <n v="122"/>
    <n v="452"/>
    <n v="0"/>
    <n v="5"/>
    <x v="11"/>
    <n v="20.53"/>
    <n v="26.39"/>
    <x v="9"/>
  </r>
  <r>
    <x v="286"/>
    <s v="P1034"/>
    <x v="3"/>
    <x v="1"/>
    <x v="3"/>
    <n v="414"/>
    <n v="47"/>
    <n v="173"/>
    <n v="288"/>
    <n v="0"/>
    <n v="4"/>
    <x v="11"/>
    <n v="4.5999999999999996"/>
    <n v="6.89"/>
    <x v="9"/>
  </r>
  <r>
    <x v="286"/>
    <s v="P1048"/>
    <x v="74"/>
    <x v="1"/>
    <x v="3"/>
    <n v="372"/>
    <n v="93"/>
    <n v="122"/>
    <n v="343"/>
    <n v="0"/>
    <n v="5"/>
    <x v="13"/>
    <n v="2.67"/>
    <n v="3.25"/>
    <x v="9"/>
  </r>
  <r>
    <x v="286"/>
    <s v="P1053"/>
    <x v="39"/>
    <x v="4"/>
    <x v="2"/>
    <n v="28"/>
    <n v="14"/>
    <n v="7"/>
    <n v="35"/>
    <n v="0"/>
    <n v="8"/>
    <x v="14"/>
    <n v="332.6"/>
    <n v="501.24"/>
    <x v="9"/>
  </r>
  <r>
    <x v="286"/>
    <s v="P1055"/>
    <x v="51"/>
    <x v="4"/>
    <x v="2"/>
    <n v="74"/>
    <n v="11"/>
    <n v="9"/>
    <n v="76"/>
    <n v="0"/>
    <n v="13"/>
    <x v="8"/>
    <n v="267.97000000000003"/>
    <n v="415.33"/>
    <x v="9"/>
  </r>
  <r>
    <x v="286"/>
    <s v="P1060"/>
    <x v="16"/>
    <x v="4"/>
    <x v="0"/>
    <n v="53"/>
    <n v="23"/>
    <n v="6"/>
    <n v="70"/>
    <n v="0"/>
    <n v="4"/>
    <x v="9"/>
    <n v="134.77000000000001"/>
    <n v="177.54"/>
    <x v="9"/>
  </r>
  <r>
    <x v="286"/>
    <s v="P1067"/>
    <x v="5"/>
    <x v="2"/>
    <x v="0"/>
    <n v="208"/>
    <n v="185"/>
    <n v="62"/>
    <n v="331"/>
    <n v="0"/>
    <n v="5"/>
    <x v="3"/>
    <n v="2.56"/>
    <n v="2.97"/>
    <x v="9"/>
  </r>
  <r>
    <x v="286"/>
    <s v="P1073"/>
    <x v="78"/>
    <x v="2"/>
    <x v="0"/>
    <n v="97"/>
    <n v="192"/>
    <n v="108"/>
    <n v="181"/>
    <n v="0"/>
    <n v="6"/>
    <x v="3"/>
    <n v="23.65"/>
    <n v="35.15"/>
    <x v="9"/>
  </r>
  <r>
    <x v="287"/>
    <s v="P1009"/>
    <x v="1"/>
    <x v="0"/>
    <x v="1"/>
    <n v="168"/>
    <n v="88"/>
    <n v="26"/>
    <n v="230"/>
    <n v="0"/>
    <n v="7"/>
    <x v="1"/>
    <n v="198.66"/>
    <n v="291.55"/>
    <x v="9"/>
  </r>
  <r>
    <x v="287"/>
    <s v="P1046"/>
    <x v="49"/>
    <x v="1"/>
    <x v="1"/>
    <n v="299"/>
    <n v="92"/>
    <n v="214"/>
    <n v="177"/>
    <n v="0"/>
    <n v="4"/>
    <x v="2"/>
    <n v="13.29"/>
    <n v="17.440000000000001"/>
    <x v="9"/>
  </r>
  <r>
    <x v="288"/>
    <s v="P1017"/>
    <x v="45"/>
    <x v="3"/>
    <x v="0"/>
    <n v="116"/>
    <n v="51"/>
    <n v="56"/>
    <n v="111"/>
    <n v="0"/>
    <n v="9"/>
    <x v="12"/>
    <n v="51.28"/>
    <n v="69.59"/>
    <x v="9"/>
  </r>
  <r>
    <x v="288"/>
    <s v="P1029"/>
    <x v="63"/>
    <x v="3"/>
    <x v="0"/>
    <n v="154"/>
    <n v="25"/>
    <n v="27"/>
    <n v="152"/>
    <n v="0"/>
    <n v="11"/>
    <x v="10"/>
    <n v="44.25"/>
    <n v="56.8"/>
    <x v="9"/>
  </r>
  <r>
    <x v="288"/>
    <s v="P1045"/>
    <x v="15"/>
    <x v="1"/>
    <x v="0"/>
    <n v="256"/>
    <n v="208"/>
    <n v="102"/>
    <n v="362"/>
    <n v="0"/>
    <n v="6"/>
    <x v="13"/>
    <n v="13.29"/>
    <n v="17.62"/>
    <x v="9"/>
  </r>
  <r>
    <x v="288"/>
    <s v="P1048"/>
    <x v="74"/>
    <x v="1"/>
    <x v="3"/>
    <n v="117"/>
    <n v="226"/>
    <n v="148"/>
    <n v="195"/>
    <n v="0"/>
    <n v="4"/>
    <x v="11"/>
    <n v="24.55"/>
    <n v="31.67"/>
    <x v="9"/>
  </r>
  <r>
    <x v="289"/>
    <s v="P1023"/>
    <x v="24"/>
    <x v="3"/>
    <x v="0"/>
    <n v="175"/>
    <n v="23"/>
    <n v="111"/>
    <n v="87"/>
    <n v="0"/>
    <n v="13"/>
    <x v="10"/>
    <n v="79.010000000000005"/>
    <n v="96.3"/>
    <x v="9"/>
  </r>
  <r>
    <x v="289"/>
    <s v="P1029"/>
    <x v="63"/>
    <x v="3"/>
    <x v="0"/>
    <n v="73"/>
    <n v="122"/>
    <n v="19"/>
    <n v="176"/>
    <n v="0"/>
    <n v="5"/>
    <x v="10"/>
    <n v="88.44"/>
    <n v="134.47999999999999"/>
    <x v="9"/>
  </r>
  <r>
    <x v="289"/>
    <s v="P1038"/>
    <x v="4"/>
    <x v="1"/>
    <x v="2"/>
    <n v="389"/>
    <n v="75"/>
    <n v="202"/>
    <n v="262"/>
    <n v="0"/>
    <n v="1"/>
    <x v="2"/>
    <n v="13.84"/>
    <n v="18.760000000000002"/>
    <x v="9"/>
  </r>
  <r>
    <x v="289"/>
    <s v="P1065"/>
    <x v="25"/>
    <x v="2"/>
    <x v="3"/>
    <n v="134"/>
    <n v="171"/>
    <n v="80"/>
    <n v="225"/>
    <n v="0"/>
    <n v="9"/>
    <x v="5"/>
    <n v="4.7300000000000004"/>
    <n v="6.53"/>
    <x v="9"/>
  </r>
  <r>
    <x v="290"/>
    <s v="P1015"/>
    <x v="73"/>
    <x v="0"/>
    <x v="0"/>
    <n v="108"/>
    <n v="68"/>
    <n v="41"/>
    <n v="135"/>
    <n v="0"/>
    <n v="10"/>
    <x v="6"/>
    <n v="184.75"/>
    <n v="224.1"/>
    <x v="9"/>
  </r>
  <r>
    <x v="290"/>
    <s v="P1018"/>
    <x v="46"/>
    <x v="3"/>
    <x v="2"/>
    <n v="164"/>
    <n v="132"/>
    <n v="116"/>
    <n v="180"/>
    <n v="0"/>
    <n v="8"/>
    <x v="12"/>
    <n v="17.55"/>
    <n v="24.37"/>
    <x v="9"/>
  </r>
  <r>
    <x v="290"/>
    <s v="P1018"/>
    <x v="46"/>
    <x v="3"/>
    <x v="1"/>
    <n v="89"/>
    <n v="60"/>
    <n v="23"/>
    <n v="126"/>
    <n v="0"/>
    <n v="6"/>
    <x v="7"/>
    <n v="16.57"/>
    <n v="22.03"/>
    <x v="9"/>
  </r>
  <r>
    <x v="290"/>
    <s v="P1026"/>
    <x v="14"/>
    <x v="3"/>
    <x v="1"/>
    <n v="228"/>
    <n v="139"/>
    <n v="114"/>
    <n v="253"/>
    <n v="0"/>
    <n v="3"/>
    <x v="10"/>
    <n v="45.81"/>
    <n v="58.38"/>
    <x v="9"/>
  </r>
  <r>
    <x v="290"/>
    <s v="P1027"/>
    <x v="26"/>
    <x v="3"/>
    <x v="3"/>
    <n v="231"/>
    <n v="24"/>
    <n v="109"/>
    <n v="146"/>
    <n v="0"/>
    <n v="7"/>
    <x v="12"/>
    <n v="59.76"/>
    <n v="69.92"/>
    <x v="9"/>
  </r>
  <r>
    <x v="290"/>
    <s v="P1041"/>
    <x v="38"/>
    <x v="1"/>
    <x v="1"/>
    <n v="200"/>
    <n v="180"/>
    <n v="84"/>
    <n v="296"/>
    <n v="0"/>
    <n v="4"/>
    <x v="2"/>
    <n v="10.27"/>
    <n v="12.15"/>
    <x v="9"/>
  </r>
  <r>
    <x v="290"/>
    <s v="P1046"/>
    <x v="49"/>
    <x v="1"/>
    <x v="2"/>
    <n v="210"/>
    <n v="199"/>
    <n v="167"/>
    <n v="242"/>
    <n v="0"/>
    <n v="2"/>
    <x v="13"/>
    <n v="11.44"/>
    <n v="14.21"/>
    <x v="9"/>
  </r>
  <r>
    <x v="290"/>
    <s v="P1052"/>
    <x v="60"/>
    <x v="4"/>
    <x v="3"/>
    <n v="57"/>
    <n v="22"/>
    <n v="3"/>
    <n v="76"/>
    <n v="0"/>
    <n v="11"/>
    <x v="8"/>
    <n v="300.13"/>
    <n v="352.82"/>
    <x v="9"/>
  </r>
  <r>
    <x v="290"/>
    <s v="P1062"/>
    <x v="68"/>
    <x v="4"/>
    <x v="3"/>
    <n v="72"/>
    <n v="16"/>
    <n v="1"/>
    <n v="87"/>
    <n v="0"/>
    <n v="4"/>
    <x v="9"/>
    <n v="221.85"/>
    <n v="316.52"/>
    <x v="9"/>
  </r>
  <r>
    <x v="290"/>
    <s v="P1066"/>
    <x v="69"/>
    <x v="2"/>
    <x v="1"/>
    <n v="231"/>
    <n v="43"/>
    <n v="166"/>
    <n v="108"/>
    <n v="0"/>
    <n v="8"/>
    <x v="4"/>
    <n v="10.8"/>
    <n v="14.1"/>
    <x v="9"/>
  </r>
  <r>
    <x v="291"/>
    <s v="P1002"/>
    <x v="18"/>
    <x v="0"/>
    <x v="2"/>
    <n v="150"/>
    <n v="64"/>
    <n v="18"/>
    <n v="196"/>
    <n v="0"/>
    <n v="11"/>
    <x v="6"/>
    <n v="169.5"/>
    <n v="260.56"/>
    <x v="9"/>
  </r>
  <r>
    <x v="291"/>
    <s v="P1008"/>
    <x v="0"/>
    <x v="0"/>
    <x v="2"/>
    <n v="40"/>
    <n v="89"/>
    <n v="60"/>
    <n v="69"/>
    <n v="0"/>
    <n v="8"/>
    <x v="6"/>
    <n v="25.35"/>
    <n v="34.700000000000003"/>
    <x v="9"/>
  </r>
  <r>
    <x v="291"/>
    <s v="P1026"/>
    <x v="14"/>
    <x v="3"/>
    <x v="1"/>
    <n v="250"/>
    <n v="59"/>
    <n v="35"/>
    <n v="274"/>
    <n v="0"/>
    <n v="12"/>
    <x v="12"/>
    <n v="45.34"/>
    <n v="61.54"/>
    <x v="9"/>
  </r>
  <r>
    <x v="291"/>
    <s v="P1054"/>
    <x v="43"/>
    <x v="4"/>
    <x v="0"/>
    <n v="43"/>
    <n v="12"/>
    <n v="10"/>
    <n v="45"/>
    <n v="0"/>
    <n v="7"/>
    <x v="8"/>
    <n v="94.96"/>
    <n v="140.01"/>
    <x v="9"/>
  </r>
  <r>
    <x v="291"/>
    <s v="P1058"/>
    <x v="52"/>
    <x v="4"/>
    <x v="2"/>
    <n v="35"/>
    <n v="13"/>
    <n v="5"/>
    <n v="43"/>
    <n v="0"/>
    <n v="3"/>
    <x v="14"/>
    <n v="196.15"/>
    <n v="244.88"/>
    <x v="9"/>
  </r>
  <r>
    <x v="291"/>
    <s v="P1060"/>
    <x v="16"/>
    <x v="4"/>
    <x v="1"/>
    <n v="31"/>
    <n v="23"/>
    <n v="11"/>
    <n v="43"/>
    <n v="0"/>
    <n v="4"/>
    <x v="14"/>
    <n v="250.07"/>
    <n v="301.02999999999997"/>
    <x v="9"/>
  </r>
  <r>
    <x v="292"/>
    <s v="P1005"/>
    <x v="62"/>
    <x v="0"/>
    <x v="0"/>
    <n v="173"/>
    <n v="57"/>
    <n v="44"/>
    <n v="186"/>
    <n v="0"/>
    <n v="2"/>
    <x v="0"/>
    <n v="216.11"/>
    <n v="301.58"/>
    <x v="9"/>
  </r>
  <r>
    <x v="292"/>
    <s v="P1013"/>
    <x v="2"/>
    <x v="0"/>
    <x v="1"/>
    <n v="65"/>
    <n v="45"/>
    <n v="62"/>
    <n v="48"/>
    <n v="0"/>
    <n v="13"/>
    <x v="1"/>
    <n v="29.58"/>
    <n v="38.11"/>
    <x v="9"/>
  </r>
  <r>
    <x v="292"/>
    <s v="P1016"/>
    <x v="35"/>
    <x v="0"/>
    <x v="3"/>
    <n v="175"/>
    <n v="53"/>
    <n v="45"/>
    <n v="183"/>
    <n v="0"/>
    <n v="8"/>
    <x v="6"/>
    <n v="80.37"/>
    <n v="111.14"/>
    <x v="9"/>
  </r>
  <r>
    <x v="292"/>
    <s v="P1027"/>
    <x v="26"/>
    <x v="3"/>
    <x v="3"/>
    <n v="256"/>
    <n v="139"/>
    <n v="83"/>
    <n v="312"/>
    <n v="0"/>
    <n v="12"/>
    <x v="7"/>
    <n v="58.18"/>
    <n v="75.599999999999994"/>
    <x v="9"/>
  </r>
  <r>
    <x v="292"/>
    <s v="P1049"/>
    <x v="10"/>
    <x v="4"/>
    <x v="0"/>
    <n v="62"/>
    <n v="6"/>
    <n v="1"/>
    <n v="67"/>
    <n v="0"/>
    <n v="9"/>
    <x v="9"/>
    <n v="335.18"/>
    <n v="449.62"/>
    <x v="9"/>
  </r>
  <r>
    <x v="292"/>
    <s v="P1056"/>
    <x v="56"/>
    <x v="4"/>
    <x v="2"/>
    <n v="49"/>
    <n v="8"/>
    <n v="2"/>
    <n v="55"/>
    <n v="0"/>
    <n v="6"/>
    <x v="8"/>
    <n v="217.21"/>
    <n v="324.36"/>
    <x v="9"/>
  </r>
  <r>
    <x v="293"/>
    <s v="P1017"/>
    <x v="45"/>
    <x v="3"/>
    <x v="1"/>
    <n v="276"/>
    <n v="90"/>
    <n v="119"/>
    <n v="247"/>
    <n v="0"/>
    <n v="8"/>
    <x v="12"/>
    <n v="25.85"/>
    <n v="39.72"/>
    <x v="9"/>
  </r>
  <r>
    <x v="293"/>
    <s v="P1037"/>
    <x v="59"/>
    <x v="1"/>
    <x v="2"/>
    <n v="214"/>
    <n v="97"/>
    <n v="124"/>
    <n v="187"/>
    <n v="0"/>
    <n v="2"/>
    <x v="11"/>
    <n v="14.15"/>
    <n v="21.76"/>
    <x v="9"/>
  </r>
  <r>
    <x v="293"/>
    <s v="P1040"/>
    <x v="67"/>
    <x v="1"/>
    <x v="1"/>
    <n v="500"/>
    <n v="171"/>
    <n v="111"/>
    <n v="560"/>
    <n v="0"/>
    <n v="6"/>
    <x v="13"/>
    <n v="24.26"/>
    <n v="36.270000000000003"/>
    <x v="9"/>
  </r>
  <r>
    <x v="293"/>
    <s v="P1042"/>
    <x v="61"/>
    <x v="1"/>
    <x v="1"/>
    <n v="423"/>
    <n v="188"/>
    <n v="90"/>
    <n v="521"/>
    <n v="0"/>
    <n v="1"/>
    <x v="2"/>
    <n v="9.4600000000000009"/>
    <n v="11.3"/>
    <x v="9"/>
  </r>
  <r>
    <x v="293"/>
    <s v="P1060"/>
    <x v="16"/>
    <x v="4"/>
    <x v="0"/>
    <n v="10"/>
    <n v="14"/>
    <n v="19"/>
    <n v="5"/>
    <n v="0"/>
    <n v="9"/>
    <x v="14"/>
    <n v="59.24"/>
    <n v="68.97"/>
    <x v="9"/>
  </r>
  <r>
    <x v="293"/>
    <s v="P1071"/>
    <x v="40"/>
    <x v="2"/>
    <x v="3"/>
    <n v="81"/>
    <n v="134"/>
    <n v="102"/>
    <n v="113"/>
    <n v="0"/>
    <n v="10"/>
    <x v="4"/>
    <n v="11.77"/>
    <n v="15.9"/>
    <x v="9"/>
  </r>
  <r>
    <x v="294"/>
    <s v="P1048"/>
    <x v="74"/>
    <x v="1"/>
    <x v="1"/>
    <n v="335"/>
    <n v="246"/>
    <n v="120"/>
    <n v="461"/>
    <n v="0"/>
    <n v="5"/>
    <x v="2"/>
    <n v="17.7"/>
    <n v="26.36"/>
    <x v="9"/>
  </r>
  <r>
    <x v="294"/>
    <s v="P1075"/>
    <x v="44"/>
    <x v="2"/>
    <x v="0"/>
    <n v="215"/>
    <n v="187"/>
    <n v="51"/>
    <n v="351"/>
    <n v="0"/>
    <n v="8"/>
    <x v="4"/>
    <n v="4.05"/>
    <n v="5.77"/>
    <x v="9"/>
  </r>
  <r>
    <x v="295"/>
    <s v="P1041"/>
    <x v="38"/>
    <x v="1"/>
    <x v="0"/>
    <n v="465"/>
    <n v="55"/>
    <n v="156"/>
    <n v="364"/>
    <n v="0"/>
    <n v="1"/>
    <x v="2"/>
    <n v="22"/>
    <n v="31.73"/>
    <x v="9"/>
  </r>
  <r>
    <x v="295"/>
    <s v="P1072"/>
    <x v="71"/>
    <x v="2"/>
    <x v="1"/>
    <n v="172"/>
    <n v="114"/>
    <n v="67"/>
    <n v="219"/>
    <n v="0"/>
    <n v="3"/>
    <x v="5"/>
    <n v="25.43"/>
    <n v="33.979999999999997"/>
    <x v="9"/>
  </r>
  <r>
    <x v="296"/>
    <s v="P1019"/>
    <x v="66"/>
    <x v="3"/>
    <x v="2"/>
    <n v="295"/>
    <n v="121"/>
    <n v="115"/>
    <n v="301"/>
    <n v="0"/>
    <n v="14"/>
    <x v="7"/>
    <n v="49.95"/>
    <n v="60.62"/>
    <x v="9"/>
  </r>
  <r>
    <x v="296"/>
    <s v="P1052"/>
    <x v="60"/>
    <x v="4"/>
    <x v="3"/>
    <n v="41"/>
    <n v="15"/>
    <n v="20"/>
    <n v="36"/>
    <n v="0"/>
    <n v="8"/>
    <x v="8"/>
    <n v="164.62"/>
    <n v="238.08"/>
    <x v="9"/>
  </r>
  <r>
    <x v="297"/>
    <s v="P1015"/>
    <x v="73"/>
    <x v="0"/>
    <x v="1"/>
    <n v="32"/>
    <n v="33"/>
    <n v="15"/>
    <n v="50"/>
    <n v="0"/>
    <n v="5"/>
    <x v="0"/>
    <n v="61.07"/>
    <n v="75"/>
    <x v="9"/>
  </r>
  <r>
    <x v="297"/>
    <s v="P1023"/>
    <x v="24"/>
    <x v="3"/>
    <x v="0"/>
    <n v="73"/>
    <n v="54"/>
    <n v="127"/>
    <n v="0"/>
    <n v="1"/>
    <n v="11"/>
    <x v="7"/>
    <n v="88.74"/>
    <n v="125.71"/>
    <x v="9"/>
  </r>
  <r>
    <x v="297"/>
    <s v="P1046"/>
    <x v="49"/>
    <x v="1"/>
    <x v="1"/>
    <n v="443"/>
    <n v="150"/>
    <n v="167"/>
    <n v="426"/>
    <n v="0"/>
    <n v="3"/>
    <x v="2"/>
    <n v="16.82"/>
    <n v="23.72"/>
    <x v="9"/>
  </r>
  <r>
    <x v="298"/>
    <s v="P1005"/>
    <x v="62"/>
    <x v="0"/>
    <x v="3"/>
    <n v="136"/>
    <n v="26"/>
    <n v="32"/>
    <n v="130"/>
    <n v="0"/>
    <n v="10"/>
    <x v="0"/>
    <n v="52.46"/>
    <n v="67.02"/>
    <x v="9"/>
  </r>
  <r>
    <x v="298"/>
    <s v="P1005"/>
    <x v="62"/>
    <x v="0"/>
    <x v="0"/>
    <n v="92"/>
    <n v="86"/>
    <n v="33"/>
    <n v="145"/>
    <n v="0"/>
    <n v="4"/>
    <x v="1"/>
    <n v="68.38"/>
    <n v="101.57"/>
    <x v="9"/>
  </r>
  <r>
    <x v="298"/>
    <s v="P1006"/>
    <x v="19"/>
    <x v="0"/>
    <x v="0"/>
    <n v="119"/>
    <n v="72"/>
    <n v="53"/>
    <n v="138"/>
    <n v="0"/>
    <n v="4"/>
    <x v="0"/>
    <n v="76.63"/>
    <n v="105.84"/>
    <x v="9"/>
  </r>
  <r>
    <x v="298"/>
    <s v="P1029"/>
    <x v="63"/>
    <x v="3"/>
    <x v="1"/>
    <n v="275"/>
    <n v="95"/>
    <n v="101"/>
    <n v="269"/>
    <n v="0"/>
    <n v="10"/>
    <x v="10"/>
    <n v="75.930000000000007"/>
    <n v="97.13"/>
    <x v="9"/>
  </r>
  <r>
    <x v="298"/>
    <s v="P1030"/>
    <x v="9"/>
    <x v="3"/>
    <x v="1"/>
    <n v="88"/>
    <n v="72"/>
    <n v="49"/>
    <n v="111"/>
    <n v="0"/>
    <n v="12"/>
    <x v="12"/>
    <n v="43.02"/>
    <n v="59.02"/>
    <x v="9"/>
  </r>
  <r>
    <x v="298"/>
    <s v="P1035"/>
    <x v="42"/>
    <x v="1"/>
    <x v="1"/>
    <n v="165"/>
    <n v="189"/>
    <n v="108"/>
    <n v="246"/>
    <n v="0"/>
    <n v="6"/>
    <x v="2"/>
    <n v="14.41"/>
    <n v="20.77"/>
    <x v="9"/>
  </r>
  <r>
    <x v="298"/>
    <s v="P1048"/>
    <x v="74"/>
    <x v="1"/>
    <x v="1"/>
    <n v="102"/>
    <n v="238"/>
    <n v="92"/>
    <n v="248"/>
    <n v="0"/>
    <n v="3"/>
    <x v="2"/>
    <n v="18.739999999999998"/>
    <n v="22.1"/>
    <x v="9"/>
  </r>
  <r>
    <x v="298"/>
    <s v="P1048"/>
    <x v="74"/>
    <x v="1"/>
    <x v="2"/>
    <n v="192"/>
    <n v="69"/>
    <n v="147"/>
    <n v="114"/>
    <n v="0"/>
    <n v="6"/>
    <x v="11"/>
    <n v="2.4700000000000002"/>
    <n v="3.5"/>
    <x v="9"/>
  </r>
  <r>
    <x v="299"/>
    <s v="P1003"/>
    <x v="64"/>
    <x v="0"/>
    <x v="0"/>
    <n v="73"/>
    <n v="13"/>
    <n v="13"/>
    <n v="73"/>
    <n v="0"/>
    <n v="6"/>
    <x v="6"/>
    <n v="81.97"/>
    <n v="108.6"/>
    <x v="9"/>
  </r>
  <r>
    <x v="299"/>
    <s v="P1005"/>
    <x v="62"/>
    <x v="0"/>
    <x v="3"/>
    <n v="124"/>
    <n v="76"/>
    <n v="14"/>
    <n v="186"/>
    <n v="0"/>
    <n v="2"/>
    <x v="0"/>
    <n v="183.27"/>
    <n v="228.09"/>
    <x v="9"/>
  </r>
  <r>
    <x v="299"/>
    <s v="P1040"/>
    <x v="67"/>
    <x v="1"/>
    <x v="2"/>
    <n v="490"/>
    <n v="66"/>
    <n v="98"/>
    <n v="458"/>
    <n v="0"/>
    <n v="7"/>
    <x v="11"/>
    <n v="19.28"/>
    <n v="23.19"/>
    <x v="9"/>
  </r>
  <r>
    <x v="299"/>
    <s v="P1041"/>
    <x v="38"/>
    <x v="1"/>
    <x v="1"/>
    <n v="95"/>
    <n v="61"/>
    <n v="76"/>
    <n v="80"/>
    <n v="0"/>
    <n v="6"/>
    <x v="13"/>
    <n v="5.96"/>
    <n v="8.65"/>
    <x v="9"/>
  </r>
  <r>
    <x v="299"/>
    <s v="P1047"/>
    <x v="55"/>
    <x v="1"/>
    <x v="2"/>
    <n v="388"/>
    <n v="167"/>
    <n v="198"/>
    <n v="357"/>
    <n v="0"/>
    <n v="4"/>
    <x v="11"/>
    <n v="17.07"/>
    <n v="19.690000000000001"/>
    <x v="9"/>
  </r>
  <r>
    <x v="299"/>
    <s v="P1060"/>
    <x v="16"/>
    <x v="4"/>
    <x v="2"/>
    <n v="38"/>
    <n v="20"/>
    <n v="4"/>
    <n v="54"/>
    <n v="0"/>
    <n v="8"/>
    <x v="8"/>
    <n v="228.11"/>
    <n v="271.14"/>
    <x v="9"/>
  </r>
  <r>
    <x v="299"/>
    <s v="P1076"/>
    <x v="7"/>
    <x v="2"/>
    <x v="0"/>
    <n v="159"/>
    <n v="88"/>
    <n v="16"/>
    <n v="231"/>
    <n v="0"/>
    <n v="14"/>
    <x v="3"/>
    <n v="6.05"/>
    <n v="7.24"/>
    <x v="9"/>
  </r>
  <r>
    <x v="300"/>
    <s v="P1001"/>
    <x v="34"/>
    <x v="0"/>
    <x v="0"/>
    <n v="121"/>
    <n v="90"/>
    <n v="48"/>
    <n v="163"/>
    <n v="0"/>
    <n v="5"/>
    <x v="0"/>
    <n v="170.69"/>
    <n v="256.79000000000002"/>
    <x v="9"/>
  </r>
  <r>
    <x v="300"/>
    <s v="P1012"/>
    <x v="41"/>
    <x v="0"/>
    <x v="0"/>
    <n v="27"/>
    <n v="25"/>
    <n v="52"/>
    <n v="0"/>
    <n v="1"/>
    <n v="14"/>
    <x v="1"/>
    <n v="209.12"/>
    <n v="260.62"/>
    <x v="9"/>
  </r>
  <r>
    <x v="300"/>
    <s v="P1013"/>
    <x v="2"/>
    <x v="0"/>
    <x v="0"/>
    <n v="23"/>
    <n v="12"/>
    <n v="35"/>
    <n v="0"/>
    <n v="1"/>
    <n v="10"/>
    <x v="1"/>
    <n v="15.15"/>
    <n v="23.1"/>
    <x v="9"/>
  </r>
  <r>
    <x v="300"/>
    <s v="P1034"/>
    <x v="3"/>
    <x v="1"/>
    <x v="2"/>
    <n v="285"/>
    <n v="118"/>
    <n v="98"/>
    <n v="305"/>
    <n v="0"/>
    <n v="6"/>
    <x v="11"/>
    <n v="10.050000000000001"/>
    <n v="15.02"/>
    <x v="9"/>
  </r>
  <r>
    <x v="300"/>
    <s v="P1037"/>
    <x v="59"/>
    <x v="1"/>
    <x v="0"/>
    <n v="113"/>
    <n v="144"/>
    <n v="191"/>
    <n v="66"/>
    <n v="0"/>
    <n v="3"/>
    <x v="2"/>
    <n v="21.84"/>
    <n v="32.58"/>
    <x v="9"/>
  </r>
  <r>
    <x v="300"/>
    <s v="P1042"/>
    <x v="61"/>
    <x v="1"/>
    <x v="3"/>
    <n v="380"/>
    <n v="116"/>
    <n v="28"/>
    <n v="468"/>
    <n v="0"/>
    <n v="7"/>
    <x v="11"/>
    <n v="9.2799999999999994"/>
    <n v="10.8"/>
    <x v="9"/>
  </r>
  <r>
    <x v="300"/>
    <s v="P1044"/>
    <x v="48"/>
    <x v="1"/>
    <x v="2"/>
    <n v="430"/>
    <n v="83"/>
    <n v="178"/>
    <n v="335"/>
    <n v="0"/>
    <n v="2"/>
    <x v="2"/>
    <n v="21.01"/>
    <n v="28.85"/>
    <x v="9"/>
  </r>
  <r>
    <x v="300"/>
    <s v="P1051"/>
    <x v="31"/>
    <x v="4"/>
    <x v="0"/>
    <n v="59"/>
    <n v="14"/>
    <n v="15"/>
    <n v="58"/>
    <n v="0"/>
    <n v="6"/>
    <x v="9"/>
    <n v="130.04"/>
    <n v="198.19"/>
    <x v="9"/>
  </r>
  <r>
    <x v="300"/>
    <s v="P1075"/>
    <x v="44"/>
    <x v="2"/>
    <x v="1"/>
    <n v="306"/>
    <n v="41"/>
    <n v="113"/>
    <n v="234"/>
    <n v="0"/>
    <n v="6"/>
    <x v="3"/>
    <n v="23.1"/>
    <n v="35.22"/>
    <x v="9"/>
  </r>
  <r>
    <x v="300"/>
    <s v="P1080"/>
    <x v="79"/>
    <x v="2"/>
    <x v="2"/>
    <n v="276"/>
    <n v="183"/>
    <n v="168"/>
    <n v="291"/>
    <n v="0"/>
    <n v="13"/>
    <x v="4"/>
    <n v="19.100000000000001"/>
    <n v="28.3"/>
    <x v="9"/>
  </r>
  <r>
    <x v="301"/>
    <s v="P1007"/>
    <x v="70"/>
    <x v="0"/>
    <x v="1"/>
    <n v="123"/>
    <n v="67"/>
    <n v="80"/>
    <n v="110"/>
    <n v="0"/>
    <n v="12"/>
    <x v="1"/>
    <n v="132.94999999999999"/>
    <n v="156.94999999999999"/>
    <x v="9"/>
  </r>
  <r>
    <x v="301"/>
    <s v="P1012"/>
    <x v="41"/>
    <x v="0"/>
    <x v="0"/>
    <n v="58"/>
    <n v="11"/>
    <n v="43"/>
    <n v="26"/>
    <n v="0"/>
    <n v="7"/>
    <x v="0"/>
    <n v="59.02"/>
    <n v="80.069999999999993"/>
    <x v="9"/>
  </r>
  <r>
    <x v="301"/>
    <s v="P1038"/>
    <x v="4"/>
    <x v="1"/>
    <x v="2"/>
    <n v="278"/>
    <n v="145"/>
    <n v="204"/>
    <n v="219"/>
    <n v="0"/>
    <n v="2"/>
    <x v="13"/>
    <n v="21.49"/>
    <n v="27.42"/>
    <x v="9"/>
  </r>
  <r>
    <x v="301"/>
    <s v="P1039"/>
    <x v="30"/>
    <x v="1"/>
    <x v="0"/>
    <n v="92"/>
    <n v="103"/>
    <n v="195"/>
    <n v="0"/>
    <n v="1"/>
    <n v="3"/>
    <x v="2"/>
    <n v="23.91"/>
    <n v="29.66"/>
    <x v="9"/>
  </r>
  <r>
    <x v="301"/>
    <s v="P1040"/>
    <x v="67"/>
    <x v="1"/>
    <x v="2"/>
    <n v="271"/>
    <n v="56"/>
    <n v="139"/>
    <n v="188"/>
    <n v="0"/>
    <n v="1"/>
    <x v="11"/>
    <n v="23.69"/>
    <n v="34.909999999999997"/>
    <x v="9"/>
  </r>
  <r>
    <x v="301"/>
    <s v="P1063"/>
    <x v="12"/>
    <x v="4"/>
    <x v="3"/>
    <n v="17"/>
    <n v="10"/>
    <n v="16"/>
    <n v="11"/>
    <n v="0"/>
    <n v="4"/>
    <x v="8"/>
    <n v="217.99"/>
    <n v="253.55"/>
    <x v="9"/>
  </r>
  <r>
    <x v="302"/>
    <s v="P1005"/>
    <x v="62"/>
    <x v="0"/>
    <x v="0"/>
    <n v="77"/>
    <n v="44"/>
    <n v="20"/>
    <n v="101"/>
    <n v="0"/>
    <n v="9"/>
    <x v="0"/>
    <n v="167.29"/>
    <n v="238.26"/>
    <x v="10"/>
  </r>
  <r>
    <x v="302"/>
    <s v="P1017"/>
    <x v="45"/>
    <x v="3"/>
    <x v="2"/>
    <n v="126"/>
    <n v="133"/>
    <n v="115"/>
    <n v="144"/>
    <n v="0"/>
    <n v="9"/>
    <x v="12"/>
    <n v="11.19"/>
    <n v="14.62"/>
    <x v="10"/>
  </r>
  <r>
    <x v="302"/>
    <s v="P1019"/>
    <x v="66"/>
    <x v="3"/>
    <x v="3"/>
    <n v="80"/>
    <n v="141"/>
    <n v="47"/>
    <n v="174"/>
    <n v="0"/>
    <n v="9"/>
    <x v="7"/>
    <n v="48.77"/>
    <n v="57.92"/>
    <x v="10"/>
  </r>
  <r>
    <x v="302"/>
    <s v="P1023"/>
    <x v="24"/>
    <x v="3"/>
    <x v="1"/>
    <n v="212"/>
    <n v="42"/>
    <n v="68"/>
    <n v="186"/>
    <n v="0"/>
    <n v="2"/>
    <x v="7"/>
    <n v="25.65"/>
    <n v="30.17"/>
    <x v="10"/>
  </r>
  <r>
    <x v="302"/>
    <s v="P1035"/>
    <x v="42"/>
    <x v="1"/>
    <x v="2"/>
    <n v="233"/>
    <n v="141"/>
    <n v="44"/>
    <n v="330"/>
    <n v="0"/>
    <n v="4"/>
    <x v="2"/>
    <n v="9.89"/>
    <n v="12.1"/>
    <x v="10"/>
  </r>
  <r>
    <x v="302"/>
    <s v="P1041"/>
    <x v="38"/>
    <x v="1"/>
    <x v="2"/>
    <n v="372"/>
    <n v="217"/>
    <n v="181"/>
    <n v="408"/>
    <n v="0"/>
    <n v="3"/>
    <x v="2"/>
    <n v="16.309999999999999"/>
    <n v="21.57"/>
    <x v="10"/>
  </r>
  <r>
    <x v="302"/>
    <s v="P1047"/>
    <x v="55"/>
    <x v="1"/>
    <x v="3"/>
    <n v="381"/>
    <n v="217"/>
    <n v="195"/>
    <n v="403"/>
    <n v="0"/>
    <n v="6"/>
    <x v="11"/>
    <n v="11.87"/>
    <n v="14.61"/>
    <x v="10"/>
  </r>
  <r>
    <x v="302"/>
    <s v="P1064"/>
    <x v="32"/>
    <x v="4"/>
    <x v="0"/>
    <n v="69"/>
    <n v="4"/>
    <n v="14"/>
    <n v="59"/>
    <n v="0"/>
    <n v="7"/>
    <x v="14"/>
    <n v="288.29000000000002"/>
    <n v="362.23"/>
    <x v="10"/>
  </r>
  <r>
    <x v="302"/>
    <s v="P1068"/>
    <x v="33"/>
    <x v="2"/>
    <x v="2"/>
    <n v="66"/>
    <n v="219"/>
    <n v="124"/>
    <n v="161"/>
    <n v="0"/>
    <n v="3"/>
    <x v="4"/>
    <n v="8.11"/>
    <n v="12.46"/>
    <x v="10"/>
  </r>
  <r>
    <x v="303"/>
    <s v="P1018"/>
    <x v="46"/>
    <x v="3"/>
    <x v="2"/>
    <n v="102"/>
    <n v="140"/>
    <n v="114"/>
    <n v="128"/>
    <n v="0"/>
    <n v="5"/>
    <x v="7"/>
    <n v="48.12"/>
    <n v="57.9"/>
    <x v="10"/>
  </r>
  <r>
    <x v="303"/>
    <s v="P1040"/>
    <x v="67"/>
    <x v="1"/>
    <x v="3"/>
    <n v="104"/>
    <n v="195"/>
    <n v="24"/>
    <n v="275"/>
    <n v="0"/>
    <n v="5"/>
    <x v="2"/>
    <n v="15.34"/>
    <n v="19.37"/>
    <x v="10"/>
  </r>
  <r>
    <x v="303"/>
    <s v="P1058"/>
    <x v="52"/>
    <x v="4"/>
    <x v="0"/>
    <n v="35"/>
    <n v="18"/>
    <n v="7"/>
    <n v="46"/>
    <n v="0"/>
    <n v="14"/>
    <x v="14"/>
    <n v="152.35"/>
    <n v="229.78"/>
    <x v="10"/>
  </r>
  <r>
    <x v="303"/>
    <s v="P1069"/>
    <x v="17"/>
    <x v="2"/>
    <x v="0"/>
    <n v="77"/>
    <n v="215"/>
    <n v="30"/>
    <n v="262"/>
    <n v="0"/>
    <n v="2"/>
    <x v="5"/>
    <n v="20.18"/>
    <n v="26.51"/>
    <x v="10"/>
  </r>
  <r>
    <x v="304"/>
    <s v="P1004"/>
    <x v="57"/>
    <x v="0"/>
    <x v="2"/>
    <n v="46"/>
    <n v="41"/>
    <n v="25"/>
    <n v="62"/>
    <n v="0"/>
    <n v="9"/>
    <x v="1"/>
    <n v="195.42"/>
    <n v="275.61"/>
    <x v="10"/>
  </r>
  <r>
    <x v="304"/>
    <s v="P1032"/>
    <x v="58"/>
    <x v="3"/>
    <x v="3"/>
    <n v="207"/>
    <n v="127"/>
    <n v="28"/>
    <n v="306"/>
    <n v="0"/>
    <n v="13"/>
    <x v="10"/>
    <n v="80.349999999999994"/>
    <n v="113.97"/>
    <x v="10"/>
  </r>
  <r>
    <x v="304"/>
    <s v="P1047"/>
    <x v="55"/>
    <x v="1"/>
    <x v="3"/>
    <n v="433"/>
    <n v="163"/>
    <n v="170"/>
    <n v="426"/>
    <n v="0"/>
    <n v="3"/>
    <x v="13"/>
    <n v="20.37"/>
    <n v="30.4"/>
    <x v="10"/>
  </r>
  <r>
    <x v="304"/>
    <s v="P1056"/>
    <x v="56"/>
    <x v="4"/>
    <x v="3"/>
    <n v="20"/>
    <n v="7"/>
    <n v="3"/>
    <n v="24"/>
    <n v="0"/>
    <n v="2"/>
    <x v="8"/>
    <n v="329.51"/>
    <n v="428.66"/>
    <x v="10"/>
  </r>
  <r>
    <x v="305"/>
    <s v="P1024"/>
    <x v="54"/>
    <x v="3"/>
    <x v="3"/>
    <n v="269"/>
    <n v="85"/>
    <n v="45"/>
    <n v="309"/>
    <n v="0"/>
    <n v="7"/>
    <x v="10"/>
    <n v="55.82"/>
    <n v="77.430000000000007"/>
    <x v="10"/>
  </r>
  <r>
    <x v="305"/>
    <s v="P1038"/>
    <x v="4"/>
    <x v="1"/>
    <x v="3"/>
    <n v="236"/>
    <n v="195"/>
    <n v="158"/>
    <n v="273"/>
    <n v="0"/>
    <n v="1"/>
    <x v="11"/>
    <n v="10.29"/>
    <n v="12.95"/>
    <x v="10"/>
  </r>
  <r>
    <x v="305"/>
    <s v="P1064"/>
    <x v="32"/>
    <x v="4"/>
    <x v="3"/>
    <n v="36"/>
    <n v="16"/>
    <n v="2"/>
    <n v="50"/>
    <n v="0"/>
    <n v="5"/>
    <x v="8"/>
    <n v="268.33"/>
    <n v="331.46"/>
    <x v="10"/>
  </r>
  <r>
    <x v="306"/>
    <s v="P1006"/>
    <x v="19"/>
    <x v="0"/>
    <x v="3"/>
    <n v="101"/>
    <n v="38"/>
    <n v="21"/>
    <n v="118"/>
    <n v="0"/>
    <n v="5"/>
    <x v="1"/>
    <n v="98.96"/>
    <n v="144.68"/>
    <x v="10"/>
  </r>
  <r>
    <x v="306"/>
    <s v="P1018"/>
    <x v="46"/>
    <x v="3"/>
    <x v="2"/>
    <n v="81"/>
    <n v="48"/>
    <n v="129"/>
    <n v="0"/>
    <n v="1"/>
    <n v="5"/>
    <x v="7"/>
    <n v="73.510000000000005"/>
    <n v="108.15"/>
    <x v="10"/>
  </r>
  <r>
    <x v="306"/>
    <s v="P1021"/>
    <x v="77"/>
    <x v="3"/>
    <x v="0"/>
    <n v="132"/>
    <n v="68"/>
    <n v="44"/>
    <n v="156"/>
    <n v="0"/>
    <n v="13"/>
    <x v="7"/>
    <n v="9.1999999999999993"/>
    <n v="12.74"/>
    <x v="10"/>
  </r>
  <r>
    <x v="306"/>
    <s v="P1021"/>
    <x v="77"/>
    <x v="3"/>
    <x v="2"/>
    <n v="278"/>
    <n v="51"/>
    <n v="91"/>
    <n v="238"/>
    <n v="0"/>
    <n v="11"/>
    <x v="7"/>
    <n v="26.95"/>
    <n v="36.479999999999997"/>
    <x v="10"/>
  </r>
  <r>
    <x v="306"/>
    <s v="P1029"/>
    <x v="63"/>
    <x v="3"/>
    <x v="3"/>
    <n v="280"/>
    <n v="37"/>
    <n v="30"/>
    <n v="287"/>
    <n v="0"/>
    <n v="9"/>
    <x v="10"/>
    <n v="8.86"/>
    <n v="13.7"/>
    <x v="10"/>
  </r>
  <r>
    <x v="306"/>
    <s v="P1050"/>
    <x v="72"/>
    <x v="4"/>
    <x v="2"/>
    <n v="60"/>
    <n v="19"/>
    <n v="4"/>
    <n v="75"/>
    <n v="0"/>
    <n v="9"/>
    <x v="14"/>
    <n v="316.08999999999997"/>
    <n v="376.85"/>
    <x v="10"/>
  </r>
  <r>
    <x v="307"/>
    <s v="P1030"/>
    <x v="9"/>
    <x v="3"/>
    <x v="2"/>
    <n v="156"/>
    <n v="113"/>
    <n v="108"/>
    <n v="161"/>
    <n v="0"/>
    <n v="2"/>
    <x v="7"/>
    <n v="44.44"/>
    <n v="56"/>
    <x v="10"/>
  </r>
  <r>
    <x v="307"/>
    <s v="P1060"/>
    <x v="16"/>
    <x v="4"/>
    <x v="2"/>
    <n v="22"/>
    <n v="13"/>
    <n v="15"/>
    <n v="20"/>
    <n v="0"/>
    <n v="12"/>
    <x v="9"/>
    <n v="67.84"/>
    <n v="102.07"/>
    <x v="10"/>
  </r>
  <r>
    <x v="307"/>
    <s v="P1068"/>
    <x v="33"/>
    <x v="2"/>
    <x v="1"/>
    <n v="179"/>
    <n v="100"/>
    <n v="31"/>
    <n v="248"/>
    <n v="0"/>
    <n v="14"/>
    <x v="3"/>
    <n v="10.71"/>
    <n v="13.73"/>
    <x v="10"/>
  </r>
  <r>
    <x v="307"/>
    <s v="P1074"/>
    <x v="6"/>
    <x v="2"/>
    <x v="2"/>
    <n v="183"/>
    <n v="195"/>
    <n v="77"/>
    <n v="301"/>
    <n v="0"/>
    <n v="6"/>
    <x v="4"/>
    <n v="26.71"/>
    <n v="35.520000000000003"/>
    <x v="10"/>
  </r>
  <r>
    <x v="307"/>
    <s v="P1079"/>
    <x v="8"/>
    <x v="2"/>
    <x v="1"/>
    <n v="386"/>
    <n v="145"/>
    <n v="136"/>
    <n v="395"/>
    <n v="0"/>
    <n v="12"/>
    <x v="4"/>
    <n v="3.02"/>
    <n v="4.18"/>
    <x v="10"/>
  </r>
  <r>
    <x v="307"/>
    <s v="P1080"/>
    <x v="79"/>
    <x v="2"/>
    <x v="0"/>
    <n v="228"/>
    <n v="156"/>
    <n v="29"/>
    <n v="355"/>
    <n v="0"/>
    <n v="13"/>
    <x v="5"/>
    <n v="29.93"/>
    <n v="40.33"/>
    <x v="10"/>
  </r>
  <r>
    <x v="308"/>
    <s v="P1016"/>
    <x v="35"/>
    <x v="0"/>
    <x v="0"/>
    <n v="150"/>
    <n v="37"/>
    <n v="60"/>
    <n v="127"/>
    <n v="0"/>
    <n v="11"/>
    <x v="0"/>
    <n v="97.39"/>
    <n v="117.99"/>
    <x v="10"/>
  </r>
  <r>
    <x v="308"/>
    <s v="P1023"/>
    <x v="24"/>
    <x v="3"/>
    <x v="0"/>
    <n v="132"/>
    <n v="41"/>
    <n v="106"/>
    <n v="67"/>
    <n v="0"/>
    <n v="11"/>
    <x v="10"/>
    <n v="61.6"/>
    <n v="94.4"/>
    <x v="10"/>
  </r>
  <r>
    <x v="308"/>
    <s v="P1026"/>
    <x v="14"/>
    <x v="3"/>
    <x v="3"/>
    <n v="98"/>
    <n v="73"/>
    <n v="95"/>
    <n v="76"/>
    <n v="0"/>
    <n v="13"/>
    <x v="10"/>
    <n v="51.89"/>
    <n v="74.3"/>
    <x v="10"/>
  </r>
  <r>
    <x v="308"/>
    <s v="P1029"/>
    <x v="63"/>
    <x v="3"/>
    <x v="3"/>
    <n v="221"/>
    <n v="125"/>
    <n v="95"/>
    <n v="251"/>
    <n v="0"/>
    <n v="4"/>
    <x v="7"/>
    <n v="24.57"/>
    <n v="29.34"/>
    <x v="10"/>
  </r>
  <r>
    <x v="308"/>
    <s v="P1034"/>
    <x v="3"/>
    <x v="1"/>
    <x v="3"/>
    <n v="315"/>
    <n v="89"/>
    <n v="186"/>
    <n v="218"/>
    <n v="0"/>
    <n v="4"/>
    <x v="13"/>
    <n v="23.22"/>
    <n v="31.37"/>
    <x v="10"/>
  </r>
  <r>
    <x v="308"/>
    <s v="P1055"/>
    <x v="51"/>
    <x v="4"/>
    <x v="2"/>
    <n v="47"/>
    <n v="17"/>
    <n v="11"/>
    <n v="53"/>
    <n v="0"/>
    <n v="2"/>
    <x v="14"/>
    <n v="328.45"/>
    <n v="448.98"/>
    <x v="10"/>
  </r>
  <r>
    <x v="309"/>
    <s v="P1011"/>
    <x v="37"/>
    <x v="0"/>
    <x v="2"/>
    <n v="149"/>
    <n v="86"/>
    <n v="73"/>
    <n v="162"/>
    <n v="0"/>
    <n v="11"/>
    <x v="1"/>
    <n v="27.95"/>
    <n v="38.979999999999997"/>
    <x v="10"/>
  </r>
  <r>
    <x v="309"/>
    <s v="P1016"/>
    <x v="35"/>
    <x v="0"/>
    <x v="0"/>
    <n v="82"/>
    <n v="12"/>
    <n v="53"/>
    <n v="41"/>
    <n v="0"/>
    <n v="8"/>
    <x v="1"/>
    <n v="185.75"/>
    <n v="286.86"/>
    <x v="10"/>
  </r>
  <r>
    <x v="309"/>
    <s v="P1037"/>
    <x v="59"/>
    <x v="1"/>
    <x v="1"/>
    <n v="216"/>
    <n v="229"/>
    <n v="147"/>
    <n v="298"/>
    <n v="0"/>
    <n v="6"/>
    <x v="2"/>
    <n v="6.94"/>
    <n v="8.09"/>
    <x v="10"/>
  </r>
  <r>
    <x v="309"/>
    <s v="P1039"/>
    <x v="30"/>
    <x v="1"/>
    <x v="0"/>
    <n v="311"/>
    <n v="156"/>
    <n v="62"/>
    <n v="405"/>
    <n v="0"/>
    <n v="2"/>
    <x v="13"/>
    <n v="2.97"/>
    <n v="3.43"/>
    <x v="10"/>
  </r>
  <r>
    <x v="309"/>
    <s v="P1068"/>
    <x v="33"/>
    <x v="2"/>
    <x v="1"/>
    <n v="118"/>
    <n v="147"/>
    <n v="147"/>
    <n v="118"/>
    <n v="0"/>
    <n v="6"/>
    <x v="4"/>
    <n v="1.06"/>
    <n v="1.6"/>
    <x v="10"/>
  </r>
  <r>
    <x v="309"/>
    <s v="P1073"/>
    <x v="78"/>
    <x v="2"/>
    <x v="1"/>
    <n v="134"/>
    <n v="195"/>
    <n v="92"/>
    <n v="237"/>
    <n v="0"/>
    <n v="4"/>
    <x v="3"/>
    <n v="28.62"/>
    <n v="36.68"/>
    <x v="10"/>
  </r>
  <r>
    <x v="310"/>
    <s v="P1005"/>
    <x v="62"/>
    <x v="0"/>
    <x v="3"/>
    <n v="38"/>
    <n v="75"/>
    <n v="43"/>
    <n v="70"/>
    <n v="0"/>
    <n v="10"/>
    <x v="1"/>
    <n v="64.650000000000006"/>
    <n v="78.790000000000006"/>
    <x v="10"/>
  </r>
  <r>
    <x v="310"/>
    <s v="P1017"/>
    <x v="45"/>
    <x v="3"/>
    <x v="2"/>
    <n v="64"/>
    <n v="88"/>
    <n v="91"/>
    <n v="61"/>
    <n v="0"/>
    <n v="3"/>
    <x v="10"/>
    <n v="55.58"/>
    <n v="84.02"/>
    <x v="10"/>
  </r>
  <r>
    <x v="310"/>
    <s v="P1023"/>
    <x v="24"/>
    <x v="3"/>
    <x v="1"/>
    <n v="183"/>
    <n v="44"/>
    <n v="63"/>
    <n v="164"/>
    <n v="0"/>
    <n v="13"/>
    <x v="10"/>
    <n v="65.180000000000007"/>
    <n v="94.58"/>
    <x v="10"/>
  </r>
  <r>
    <x v="310"/>
    <s v="P1025"/>
    <x v="20"/>
    <x v="3"/>
    <x v="3"/>
    <n v="122"/>
    <n v="137"/>
    <n v="88"/>
    <n v="171"/>
    <n v="0"/>
    <n v="4"/>
    <x v="7"/>
    <n v="50.5"/>
    <n v="67.400000000000006"/>
    <x v="10"/>
  </r>
  <r>
    <x v="310"/>
    <s v="P1025"/>
    <x v="20"/>
    <x v="3"/>
    <x v="3"/>
    <n v="185"/>
    <n v="40"/>
    <n v="63"/>
    <n v="162"/>
    <n v="0"/>
    <n v="11"/>
    <x v="10"/>
    <n v="65.58"/>
    <n v="88.88"/>
    <x v="10"/>
  </r>
  <r>
    <x v="310"/>
    <s v="P1039"/>
    <x v="30"/>
    <x v="1"/>
    <x v="3"/>
    <n v="295"/>
    <n v="216"/>
    <n v="143"/>
    <n v="368"/>
    <n v="0"/>
    <n v="2"/>
    <x v="11"/>
    <n v="15.39"/>
    <n v="22.61"/>
    <x v="10"/>
  </r>
  <r>
    <x v="310"/>
    <s v="P1042"/>
    <x v="61"/>
    <x v="1"/>
    <x v="3"/>
    <n v="463"/>
    <n v="50"/>
    <n v="101"/>
    <n v="412"/>
    <n v="0"/>
    <n v="3"/>
    <x v="13"/>
    <n v="2.44"/>
    <n v="3.3"/>
    <x v="10"/>
  </r>
  <r>
    <x v="310"/>
    <s v="P1053"/>
    <x v="39"/>
    <x v="4"/>
    <x v="1"/>
    <n v="27"/>
    <n v="23"/>
    <n v="1"/>
    <n v="49"/>
    <n v="0"/>
    <n v="14"/>
    <x v="8"/>
    <n v="288.18"/>
    <n v="433.61"/>
    <x v="10"/>
  </r>
  <r>
    <x v="311"/>
    <s v="P1009"/>
    <x v="1"/>
    <x v="0"/>
    <x v="0"/>
    <n v="110"/>
    <n v="18"/>
    <n v="41"/>
    <n v="87"/>
    <n v="0"/>
    <n v="12"/>
    <x v="0"/>
    <n v="179.21"/>
    <n v="234.56"/>
    <x v="10"/>
  </r>
  <r>
    <x v="311"/>
    <s v="P1022"/>
    <x v="53"/>
    <x v="3"/>
    <x v="1"/>
    <n v="266"/>
    <n v="81"/>
    <n v="94"/>
    <n v="253"/>
    <n v="0"/>
    <n v="7"/>
    <x v="10"/>
    <n v="35.65"/>
    <n v="41.2"/>
    <x v="10"/>
  </r>
  <r>
    <x v="311"/>
    <s v="P1029"/>
    <x v="63"/>
    <x v="3"/>
    <x v="2"/>
    <n v="246"/>
    <n v="42"/>
    <n v="128"/>
    <n v="160"/>
    <n v="0"/>
    <n v="7"/>
    <x v="10"/>
    <n v="72.510000000000005"/>
    <n v="105.83"/>
    <x v="10"/>
  </r>
  <r>
    <x v="311"/>
    <s v="P1042"/>
    <x v="61"/>
    <x v="1"/>
    <x v="2"/>
    <n v="354"/>
    <n v="73"/>
    <n v="97"/>
    <n v="330"/>
    <n v="0"/>
    <n v="5"/>
    <x v="11"/>
    <n v="16.2"/>
    <n v="22.02"/>
    <x v="10"/>
  </r>
  <r>
    <x v="311"/>
    <s v="P1071"/>
    <x v="40"/>
    <x v="2"/>
    <x v="2"/>
    <n v="218"/>
    <n v="157"/>
    <n v="177"/>
    <n v="198"/>
    <n v="0"/>
    <n v="10"/>
    <x v="4"/>
    <n v="15.71"/>
    <n v="22.08"/>
    <x v="10"/>
  </r>
  <r>
    <x v="312"/>
    <s v="P1017"/>
    <x v="45"/>
    <x v="3"/>
    <x v="3"/>
    <n v="137"/>
    <n v="139"/>
    <n v="46"/>
    <n v="230"/>
    <n v="0"/>
    <n v="8"/>
    <x v="7"/>
    <n v="56.26"/>
    <n v="73.87"/>
    <x v="10"/>
  </r>
  <r>
    <x v="312"/>
    <s v="P1021"/>
    <x v="77"/>
    <x v="3"/>
    <x v="0"/>
    <n v="262"/>
    <n v="134"/>
    <n v="10"/>
    <n v="386"/>
    <n v="0"/>
    <n v="13"/>
    <x v="10"/>
    <n v="12.7"/>
    <n v="15.49"/>
    <x v="10"/>
  </r>
  <r>
    <x v="312"/>
    <s v="P1055"/>
    <x v="51"/>
    <x v="4"/>
    <x v="2"/>
    <n v="45"/>
    <n v="19"/>
    <n v="5"/>
    <n v="59"/>
    <n v="0"/>
    <n v="4"/>
    <x v="9"/>
    <n v="218.8"/>
    <n v="299.72000000000003"/>
    <x v="10"/>
  </r>
  <r>
    <x v="312"/>
    <s v="P1057"/>
    <x v="36"/>
    <x v="4"/>
    <x v="0"/>
    <n v="78"/>
    <n v="24"/>
    <n v="16"/>
    <n v="86"/>
    <n v="0"/>
    <n v="4"/>
    <x v="14"/>
    <n v="77.28"/>
    <n v="110.52"/>
    <x v="10"/>
  </r>
  <r>
    <x v="313"/>
    <s v="P1020"/>
    <x v="23"/>
    <x v="3"/>
    <x v="2"/>
    <n v="118"/>
    <n v="148"/>
    <n v="75"/>
    <n v="191"/>
    <n v="0"/>
    <n v="9"/>
    <x v="12"/>
    <n v="45.53"/>
    <n v="61.81"/>
    <x v="10"/>
  </r>
  <r>
    <x v="313"/>
    <s v="P1024"/>
    <x v="54"/>
    <x v="3"/>
    <x v="3"/>
    <n v="110"/>
    <n v="111"/>
    <n v="134"/>
    <n v="87"/>
    <n v="0"/>
    <n v="7"/>
    <x v="10"/>
    <n v="11.98"/>
    <n v="16.899999999999999"/>
    <x v="10"/>
  </r>
  <r>
    <x v="313"/>
    <s v="P1030"/>
    <x v="9"/>
    <x v="3"/>
    <x v="2"/>
    <n v="179"/>
    <n v="113"/>
    <n v="72"/>
    <n v="220"/>
    <n v="0"/>
    <n v="5"/>
    <x v="10"/>
    <n v="29.81"/>
    <n v="41.33"/>
    <x v="10"/>
  </r>
  <r>
    <x v="313"/>
    <s v="P1033"/>
    <x v="27"/>
    <x v="1"/>
    <x v="1"/>
    <n v="236"/>
    <n v="146"/>
    <n v="122"/>
    <n v="260"/>
    <n v="0"/>
    <n v="2"/>
    <x v="11"/>
    <n v="15.96"/>
    <n v="19.559999999999999"/>
    <x v="10"/>
  </r>
  <r>
    <x v="313"/>
    <s v="P1049"/>
    <x v="10"/>
    <x v="4"/>
    <x v="2"/>
    <n v="60"/>
    <n v="17"/>
    <n v="11"/>
    <n v="66"/>
    <n v="0"/>
    <n v="11"/>
    <x v="9"/>
    <n v="99.23"/>
    <n v="146.75"/>
    <x v="10"/>
  </r>
  <r>
    <x v="313"/>
    <s v="P1051"/>
    <x v="31"/>
    <x v="4"/>
    <x v="1"/>
    <n v="16"/>
    <n v="16"/>
    <n v="12"/>
    <n v="20"/>
    <n v="0"/>
    <n v="12"/>
    <x v="14"/>
    <n v="139.51"/>
    <n v="162.84"/>
    <x v="10"/>
  </r>
  <r>
    <x v="313"/>
    <s v="P1062"/>
    <x v="68"/>
    <x v="4"/>
    <x v="3"/>
    <n v="52"/>
    <n v="4"/>
    <n v="15"/>
    <n v="41"/>
    <n v="0"/>
    <n v="14"/>
    <x v="9"/>
    <n v="229.24"/>
    <n v="326.77"/>
    <x v="10"/>
  </r>
  <r>
    <x v="313"/>
    <s v="P1071"/>
    <x v="40"/>
    <x v="2"/>
    <x v="1"/>
    <n v="208"/>
    <n v="113"/>
    <n v="164"/>
    <n v="157"/>
    <n v="0"/>
    <n v="3"/>
    <x v="3"/>
    <n v="23.85"/>
    <n v="35.68"/>
    <x v="10"/>
  </r>
  <r>
    <x v="314"/>
    <s v="P1001"/>
    <x v="34"/>
    <x v="0"/>
    <x v="0"/>
    <n v="149"/>
    <n v="73"/>
    <n v="78"/>
    <n v="144"/>
    <n v="0"/>
    <n v="6"/>
    <x v="0"/>
    <n v="190.96"/>
    <n v="255.02"/>
    <x v="10"/>
  </r>
  <r>
    <x v="314"/>
    <s v="P1001"/>
    <x v="34"/>
    <x v="0"/>
    <x v="0"/>
    <n v="74"/>
    <n v="34"/>
    <n v="30"/>
    <n v="78"/>
    <n v="0"/>
    <n v="2"/>
    <x v="0"/>
    <n v="82.03"/>
    <n v="108.85"/>
    <x v="10"/>
  </r>
  <r>
    <x v="314"/>
    <s v="P1032"/>
    <x v="58"/>
    <x v="3"/>
    <x v="0"/>
    <n v="134"/>
    <n v="36"/>
    <n v="133"/>
    <n v="37"/>
    <n v="0"/>
    <n v="9"/>
    <x v="7"/>
    <n v="19.420000000000002"/>
    <n v="27.09"/>
    <x v="10"/>
  </r>
  <r>
    <x v="314"/>
    <s v="P1048"/>
    <x v="74"/>
    <x v="1"/>
    <x v="3"/>
    <n v="247"/>
    <n v="122"/>
    <n v="212"/>
    <n v="157"/>
    <n v="0"/>
    <n v="5"/>
    <x v="13"/>
    <n v="18.52"/>
    <n v="27.69"/>
    <x v="10"/>
  </r>
  <r>
    <x v="314"/>
    <s v="P1053"/>
    <x v="39"/>
    <x v="4"/>
    <x v="1"/>
    <n v="44"/>
    <n v="24"/>
    <n v="14"/>
    <n v="54"/>
    <n v="0"/>
    <n v="2"/>
    <x v="14"/>
    <n v="238.76"/>
    <n v="335.85"/>
    <x v="10"/>
  </r>
  <r>
    <x v="315"/>
    <s v="P1002"/>
    <x v="18"/>
    <x v="0"/>
    <x v="1"/>
    <n v="81"/>
    <n v="63"/>
    <n v="13"/>
    <n v="131"/>
    <n v="0"/>
    <n v="9"/>
    <x v="1"/>
    <n v="32.85"/>
    <n v="45.89"/>
    <x v="10"/>
  </r>
  <r>
    <x v="315"/>
    <s v="P1003"/>
    <x v="64"/>
    <x v="0"/>
    <x v="2"/>
    <n v="148"/>
    <n v="44"/>
    <n v="68"/>
    <n v="124"/>
    <n v="0"/>
    <n v="6"/>
    <x v="6"/>
    <n v="103.49"/>
    <n v="152.86000000000001"/>
    <x v="10"/>
  </r>
  <r>
    <x v="315"/>
    <s v="P1011"/>
    <x v="37"/>
    <x v="0"/>
    <x v="3"/>
    <n v="164"/>
    <n v="61"/>
    <n v="49"/>
    <n v="176"/>
    <n v="0"/>
    <n v="6"/>
    <x v="6"/>
    <n v="80.959999999999994"/>
    <n v="95.53"/>
    <x v="10"/>
  </r>
  <r>
    <x v="315"/>
    <s v="P1022"/>
    <x v="53"/>
    <x v="3"/>
    <x v="1"/>
    <n v="143"/>
    <n v="68"/>
    <n v="125"/>
    <n v="86"/>
    <n v="0"/>
    <n v="14"/>
    <x v="7"/>
    <n v="78"/>
    <n v="97.25"/>
    <x v="10"/>
  </r>
  <r>
    <x v="315"/>
    <s v="P1032"/>
    <x v="58"/>
    <x v="3"/>
    <x v="1"/>
    <n v="203"/>
    <n v="135"/>
    <n v="70"/>
    <n v="268"/>
    <n v="0"/>
    <n v="9"/>
    <x v="12"/>
    <n v="81.69"/>
    <n v="124.7"/>
    <x v="10"/>
  </r>
  <r>
    <x v="315"/>
    <s v="P1032"/>
    <x v="58"/>
    <x v="3"/>
    <x v="2"/>
    <n v="281"/>
    <n v="120"/>
    <n v="104"/>
    <n v="297"/>
    <n v="0"/>
    <n v="8"/>
    <x v="10"/>
    <n v="15.73"/>
    <n v="22.08"/>
    <x v="10"/>
  </r>
  <r>
    <x v="315"/>
    <s v="P1033"/>
    <x v="27"/>
    <x v="1"/>
    <x v="2"/>
    <n v="344"/>
    <n v="61"/>
    <n v="160"/>
    <n v="245"/>
    <n v="0"/>
    <n v="1"/>
    <x v="11"/>
    <n v="15.21"/>
    <n v="21.55"/>
    <x v="10"/>
  </r>
  <r>
    <x v="315"/>
    <s v="P1035"/>
    <x v="42"/>
    <x v="1"/>
    <x v="1"/>
    <n v="381"/>
    <n v="82"/>
    <n v="139"/>
    <n v="324"/>
    <n v="0"/>
    <n v="4"/>
    <x v="13"/>
    <n v="22.74"/>
    <n v="27.31"/>
    <x v="10"/>
  </r>
  <r>
    <x v="315"/>
    <s v="P1047"/>
    <x v="55"/>
    <x v="1"/>
    <x v="3"/>
    <n v="316"/>
    <n v="65"/>
    <n v="140"/>
    <n v="241"/>
    <n v="0"/>
    <n v="6"/>
    <x v="13"/>
    <n v="17.72"/>
    <n v="21.68"/>
    <x v="10"/>
  </r>
  <r>
    <x v="315"/>
    <s v="P1050"/>
    <x v="72"/>
    <x v="4"/>
    <x v="0"/>
    <n v="45"/>
    <n v="2"/>
    <n v="8"/>
    <n v="39"/>
    <n v="0"/>
    <n v="6"/>
    <x v="14"/>
    <n v="145.99"/>
    <n v="174.2"/>
    <x v="10"/>
  </r>
  <r>
    <x v="315"/>
    <s v="P1063"/>
    <x v="12"/>
    <x v="4"/>
    <x v="1"/>
    <n v="71"/>
    <n v="24"/>
    <n v="14"/>
    <n v="81"/>
    <n v="0"/>
    <n v="9"/>
    <x v="8"/>
    <n v="87.15"/>
    <n v="121.68"/>
    <x v="10"/>
  </r>
  <r>
    <x v="315"/>
    <s v="P1069"/>
    <x v="17"/>
    <x v="2"/>
    <x v="3"/>
    <n v="272"/>
    <n v="91"/>
    <n v="63"/>
    <n v="300"/>
    <n v="0"/>
    <n v="10"/>
    <x v="4"/>
    <n v="22.15"/>
    <n v="31.25"/>
    <x v="10"/>
  </r>
  <r>
    <x v="316"/>
    <s v="P1006"/>
    <x v="19"/>
    <x v="0"/>
    <x v="0"/>
    <n v="99"/>
    <n v="72"/>
    <n v="46"/>
    <n v="125"/>
    <n v="0"/>
    <n v="7"/>
    <x v="1"/>
    <n v="152.41999999999999"/>
    <n v="214.45"/>
    <x v="10"/>
  </r>
  <r>
    <x v="316"/>
    <s v="P1008"/>
    <x v="0"/>
    <x v="0"/>
    <x v="1"/>
    <n v="146"/>
    <n v="71"/>
    <n v="35"/>
    <n v="182"/>
    <n v="0"/>
    <n v="5"/>
    <x v="1"/>
    <n v="127.6"/>
    <n v="184.94"/>
    <x v="10"/>
  </r>
  <r>
    <x v="316"/>
    <s v="P1017"/>
    <x v="45"/>
    <x v="3"/>
    <x v="0"/>
    <n v="257"/>
    <n v="134"/>
    <n v="77"/>
    <n v="314"/>
    <n v="0"/>
    <n v="12"/>
    <x v="12"/>
    <n v="84.1"/>
    <n v="102.28"/>
    <x v="10"/>
  </r>
  <r>
    <x v="316"/>
    <s v="P1027"/>
    <x v="26"/>
    <x v="3"/>
    <x v="1"/>
    <n v="131"/>
    <n v="144"/>
    <n v="82"/>
    <n v="193"/>
    <n v="0"/>
    <n v="12"/>
    <x v="7"/>
    <n v="59.18"/>
    <n v="71.180000000000007"/>
    <x v="10"/>
  </r>
  <r>
    <x v="316"/>
    <s v="P1033"/>
    <x v="27"/>
    <x v="1"/>
    <x v="1"/>
    <n v="151"/>
    <n v="79"/>
    <n v="75"/>
    <n v="155"/>
    <n v="0"/>
    <n v="7"/>
    <x v="2"/>
    <n v="20.36"/>
    <n v="26.07"/>
    <x v="10"/>
  </r>
  <r>
    <x v="316"/>
    <s v="P1038"/>
    <x v="4"/>
    <x v="1"/>
    <x v="0"/>
    <n v="436"/>
    <n v="212"/>
    <n v="27"/>
    <n v="621"/>
    <n v="0"/>
    <n v="6"/>
    <x v="2"/>
    <n v="16.510000000000002"/>
    <n v="22.11"/>
    <x v="10"/>
  </r>
  <r>
    <x v="316"/>
    <s v="P1047"/>
    <x v="55"/>
    <x v="1"/>
    <x v="3"/>
    <n v="455"/>
    <n v="175"/>
    <n v="185"/>
    <n v="445"/>
    <n v="0"/>
    <n v="6"/>
    <x v="13"/>
    <n v="13.78"/>
    <n v="21.03"/>
    <x v="10"/>
  </r>
  <r>
    <x v="316"/>
    <s v="P1072"/>
    <x v="71"/>
    <x v="2"/>
    <x v="1"/>
    <n v="137"/>
    <n v="208"/>
    <n v="110"/>
    <n v="235"/>
    <n v="0"/>
    <n v="3"/>
    <x v="5"/>
    <n v="15.86"/>
    <n v="21.15"/>
    <x v="10"/>
  </r>
  <r>
    <x v="317"/>
    <s v="P1029"/>
    <x v="63"/>
    <x v="3"/>
    <x v="3"/>
    <n v="217"/>
    <n v="96"/>
    <n v="24"/>
    <n v="289"/>
    <n v="0"/>
    <n v="5"/>
    <x v="12"/>
    <n v="15.92"/>
    <n v="20.05"/>
    <x v="10"/>
  </r>
  <r>
    <x v="317"/>
    <s v="P1039"/>
    <x v="30"/>
    <x v="1"/>
    <x v="2"/>
    <n v="466"/>
    <n v="112"/>
    <n v="155"/>
    <n v="423"/>
    <n v="0"/>
    <n v="1"/>
    <x v="2"/>
    <n v="7.21"/>
    <n v="9.32"/>
    <x v="10"/>
  </r>
  <r>
    <x v="317"/>
    <s v="P1043"/>
    <x v="21"/>
    <x v="1"/>
    <x v="2"/>
    <n v="372"/>
    <n v="155"/>
    <n v="43"/>
    <n v="484"/>
    <n v="0"/>
    <n v="7"/>
    <x v="11"/>
    <n v="2.59"/>
    <n v="3.21"/>
    <x v="10"/>
  </r>
  <r>
    <x v="317"/>
    <s v="P1047"/>
    <x v="55"/>
    <x v="1"/>
    <x v="1"/>
    <n v="156"/>
    <n v="200"/>
    <n v="91"/>
    <n v="265"/>
    <n v="0"/>
    <n v="5"/>
    <x v="2"/>
    <n v="5.77"/>
    <n v="8.84"/>
    <x v="10"/>
  </r>
  <r>
    <x v="317"/>
    <s v="P1051"/>
    <x v="31"/>
    <x v="4"/>
    <x v="1"/>
    <n v="44"/>
    <n v="5"/>
    <n v="4"/>
    <n v="45"/>
    <n v="0"/>
    <n v="13"/>
    <x v="8"/>
    <n v="322.42"/>
    <n v="480.99"/>
    <x v="10"/>
  </r>
  <r>
    <x v="317"/>
    <s v="P1056"/>
    <x v="56"/>
    <x v="4"/>
    <x v="2"/>
    <n v="63"/>
    <n v="3"/>
    <n v="19"/>
    <n v="47"/>
    <n v="0"/>
    <n v="2"/>
    <x v="14"/>
    <n v="199.5"/>
    <n v="287.5"/>
    <x v="10"/>
  </r>
  <r>
    <x v="317"/>
    <s v="P1078"/>
    <x v="65"/>
    <x v="2"/>
    <x v="2"/>
    <n v="367"/>
    <n v="147"/>
    <n v="23"/>
    <n v="491"/>
    <n v="0"/>
    <n v="2"/>
    <x v="3"/>
    <n v="28.07"/>
    <n v="40.4"/>
    <x v="10"/>
  </r>
  <r>
    <x v="318"/>
    <s v="P1021"/>
    <x v="77"/>
    <x v="3"/>
    <x v="1"/>
    <n v="103"/>
    <n v="142"/>
    <n v="123"/>
    <n v="122"/>
    <n v="0"/>
    <n v="5"/>
    <x v="12"/>
    <n v="86.74"/>
    <n v="122.66"/>
    <x v="10"/>
  </r>
  <r>
    <x v="318"/>
    <s v="P1025"/>
    <x v="20"/>
    <x v="3"/>
    <x v="3"/>
    <n v="103"/>
    <n v="106"/>
    <n v="116"/>
    <n v="93"/>
    <n v="0"/>
    <n v="8"/>
    <x v="7"/>
    <n v="56.3"/>
    <n v="85.88"/>
    <x v="10"/>
  </r>
  <r>
    <x v="318"/>
    <s v="P1058"/>
    <x v="52"/>
    <x v="4"/>
    <x v="3"/>
    <n v="17"/>
    <n v="23"/>
    <n v="6"/>
    <n v="34"/>
    <n v="0"/>
    <n v="13"/>
    <x v="14"/>
    <n v="84.06"/>
    <n v="121.65"/>
    <x v="10"/>
  </r>
  <r>
    <x v="318"/>
    <s v="P1071"/>
    <x v="40"/>
    <x v="2"/>
    <x v="3"/>
    <n v="139"/>
    <n v="47"/>
    <n v="96"/>
    <n v="90"/>
    <n v="0"/>
    <n v="2"/>
    <x v="3"/>
    <n v="29.72"/>
    <n v="36.67"/>
    <x v="10"/>
  </r>
  <r>
    <x v="319"/>
    <s v="P1007"/>
    <x v="70"/>
    <x v="0"/>
    <x v="3"/>
    <n v="106"/>
    <n v="43"/>
    <n v="52"/>
    <n v="97"/>
    <n v="0"/>
    <n v="2"/>
    <x v="6"/>
    <n v="127.86"/>
    <n v="189.28"/>
    <x v="10"/>
  </r>
  <r>
    <x v="319"/>
    <s v="P1036"/>
    <x v="75"/>
    <x v="1"/>
    <x v="2"/>
    <n v="148"/>
    <n v="43"/>
    <n v="97"/>
    <n v="94"/>
    <n v="0"/>
    <n v="1"/>
    <x v="13"/>
    <n v="6.71"/>
    <n v="9.24"/>
    <x v="10"/>
  </r>
  <r>
    <x v="319"/>
    <s v="P1061"/>
    <x v="22"/>
    <x v="4"/>
    <x v="1"/>
    <n v="70"/>
    <n v="25"/>
    <n v="15"/>
    <n v="80"/>
    <n v="0"/>
    <n v="10"/>
    <x v="8"/>
    <n v="213.83"/>
    <n v="282.35000000000002"/>
    <x v="10"/>
  </r>
  <r>
    <x v="320"/>
    <s v="P1015"/>
    <x v="73"/>
    <x v="0"/>
    <x v="2"/>
    <n v="111"/>
    <n v="27"/>
    <n v="67"/>
    <n v="71"/>
    <n v="0"/>
    <n v="7"/>
    <x v="0"/>
    <n v="175.95"/>
    <n v="244.49"/>
    <x v="10"/>
  </r>
  <r>
    <x v="320"/>
    <s v="P1018"/>
    <x v="46"/>
    <x v="3"/>
    <x v="1"/>
    <n v="264"/>
    <n v="37"/>
    <n v="122"/>
    <n v="179"/>
    <n v="0"/>
    <n v="12"/>
    <x v="7"/>
    <n v="84.96"/>
    <n v="103.86"/>
    <x v="10"/>
  </r>
  <r>
    <x v="320"/>
    <s v="P1022"/>
    <x v="53"/>
    <x v="3"/>
    <x v="2"/>
    <n v="242"/>
    <n v="80"/>
    <n v="71"/>
    <n v="251"/>
    <n v="0"/>
    <n v="11"/>
    <x v="12"/>
    <n v="56.96"/>
    <n v="79.06"/>
    <x v="10"/>
  </r>
  <r>
    <x v="320"/>
    <s v="P1026"/>
    <x v="14"/>
    <x v="3"/>
    <x v="1"/>
    <n v="199"/>
    <n v="57"/>
    <n v="61"/>
    <n v="195"/>
    <n v="0"/>
    <n v="14"/>
    <x v="10"/>
    <n v="34.28"/>
    <n v="49.63"/>
    <x v="10"/>
  </r>
  <r>
    <x v="320"/>
    <s v="P1072"/>
    <x v="71"/>
    <x v="2"/>
    <x v="0"/>
    <n v="368"/>
    <n v="116"/>
    <n v="103"/>
    <n v="381"/>
    <n v="0"/>
    <n v="7"/>
    <x v="3"/>
    <n v="20.46"/>
    <n v="29.7"/>
    <x v="10"/>
  </r>
  <r>
    <x v="320"/>
    <s v="P1080"/>
    <x v="79"/>
    <x v="2"/>
    <x v="1"/>
    <n v="89"/>
    <n v="144"/>
    <n v="104"/>
    <n v="129"/>
    <n v="0"/>
    <n v="5"/>
    <x v="4"/>
    <n v="11.35"/>
    <n v="17.54"/>
    <x v="10"/>
  </r>
  <r>
    <x v="321"/>
    <s v="P1009"/>
    <x v="1"/>
    <x v="0"/>
    <x v="3"/>
    <n v="166"/>
    <n v="32"/>
    <n v="13"/>
    <n v="185"/>
    <n v="0"/>
    <n v="7"/>
    <x v="1"/>
    <n v="110.03"/>
    <n v="165.61"/>
    <x v="10"/>
  </r>
  <r>
    <x v="321"/>
    <s v="P1014"/>
    <x v="28"/>
    <x v="0"/>
    <x v="2"/>
    <n v="93"/>
    <n v="64"/>
    <n v="8"/>
    <n v="149"/>
    <n v="0"/>
    <n v="4"/>
    <x v="1"/>
    <n v="190.16"/>
    <n v="219.06"/>
    <x v="10"/>
  </r>
  <r>
    <x v="321"/>
    <s v="P1015"/>
    <x v="73"/>
    <x v="0"/>
    <x v="3"/>
    <n v="167"/>
    <n v="59"/>
    <n v="24"/>
    <n v="202"/>
    <n v="0"/>
    <n v="10"/>
    <x v="0"/>
    <n v="33.29"/>
    <n v="41.1"/>
    <x v="10"/>
  </r>
  <r>
    <x v="321"/>
    <s v="P1023"/>
    <x v="24"/>
    <x v="3"/>
    <x v="0"/>
    <n v="275"/>
    <n v="71"/>
    <n v="105"/>
    <n v="241"/>
    <n v="0"/>
    <n v="7"/>
    <x v="7"/>
    <n v="56.28"/>
    <n v="73.17"/>
    <x v="10"/>
  </r>
  <r>
    <x v="321"/>
    <s v="P1058"/>
    <x v="52"/>
    <x v="4"/>
    <x v="1"/>
    <n v="64"/>
    <n v="9"/>
    <n v="14"/>
    <n v="59"/>
    <n v="0"/>
    <n v="7"/>
    <x v="8"/>
    <n v="95.08"/>
    <n v="112.53"/>
    <x v="10"/>
  </r>
  <r>
    <x v="321"/>
    <s v="P1060"/>
    <x v="16"/>
    <x v="4"/>
    <x v="2"/>
    <n v="36"/>
    <n v="9"/>
    <n v="10"/>
    <n v="35"/>
    <n v="0"/>
    <n v="5"/>
    <x v="8"/>
    <n v="203.71"/>
    <n v="284.75"/>
    <x v="10"/>
  </r>
  <r>
    <x v="322"/>
    <s v="P1001"/>
    <x v="34"/>
    <x v="0"/>
    <x v="2"/>
    <n v="49"/>
    <n v="66"/>
    <n v="51"/>
    <n v="64"/>
    <n v="0"/>
    <n v="4"/>
    <x v="1"/>
    <n v="219.55"/>
    <n v="311.92"/>
    <x v="10"/>
  </r>
  <r>
    <x v="322"/>
    <s v="P1012"/>
    <x v="41"/>
    <x v="0"/>
    <x v="1"/>
    <n v="32"/>
    <n v="16"/>
    <n v="48"/>
    <n v="0"/>
    <n v="1"/>
    <n v="8"/>
    <x v="1"/>
    <n v="120.02"/>
    <n v="175.16"/>
    <x v="10"/>
  </r>
  <r>
    <x v="322"/>
    <s v="P1019"/>
    <x v="66"/>
    <x v="3"/>
    <x v="2"/>
    <n v="133"/>
    <n v="122"/>
    <n v="40"/>
    <n v="215"/>
    <n v="0"/>
    <n v="5"/>
    <x v="12"/>
    <n v="10.23"/>
    <n v="13.91"/>
    <x v="10"/>
  </r>
  <r>
    <x v="322"/>
    <s v="P1037"/>
    <x v="59"/>
    <x v="1"/>
    <x v="2"/>
    <n v="244"/>
    <n v="104"/>
    <n v="137"/>
    <n v="211"/>
    <n v="0"/>
    <n v="7"/>
    <x v="2"/>
    <n v="5.87"/>
    <n v="8.5500000000000007"/>
    <x v="10"/>
  </r>
  <r>
    <x v="323"/>
    <s v="P1013"/>
    <x v="2"/>
    <x v="0"/>
    <x v="3"/>
    <n v="166"/>
    <n v="67"/>
    <n v="13"/>
    <n v="220"/>
    <n v="0"/>
    <n v="4"/>
    <x v="0"/>
    <n v="139.38"/>
    <n v="169.59"/>
    <x v="10"/>
  </r>
  <r>
    <x v="323"/>
    <s v="P1036"/>
    <x v="75"/>
    <x v="1"/>
    <x v="3"/>
    <n v="148"/>
    <n v="229"/>
    <n v="198"/>
    <n v="179"/>
    <n v="0"/>
    <n v="7"/>
    <x v="2"/>
    <n v="24.84"/>
    <n v="29.28"/>
    <x v="10"/>
  </r>
  <r>
    <x v="323"/>
    <s v="P1062"/>
    <x v="68"/>
    <x v="4"/>
    <x v="2"/>
    <n v="72"/>
    <n v="22"/>
    <n v="14"/>
    <n v="80"/>
    <n v="0"/>
    <n v="4"/>
    <x v="8"/>
    <n v="113.2"/>
    <n v="168.9"/>
    <x v="10"/>
  </r>
  <r>
    <x v="323"/>
    <s v="P1064"/>
    <x v="32"/>
    <x v="4"/>
    <x v="3"/>
    <n v="79"/>
    <n v="17"/>
    <n v="17"/>
    <n v="79"/>
    <n v="0"/>
    <n v="4"/>
    <x v="8"/>
    <n v="180.31"/>
    <n v="232.98"/>
    <x v="10"/>
  </r>
  <r>
    <x v="323"/>
    <s v="P1066"/>
    <x v="69"/>
    <x v="2"/>
    <x v="1"/>
    <n v="169"/>
    <n v="151"/>
    <n v="102"/>
    <n v="218"/>
    <n v="0"/>
    <n v="9"/>
    <x v="3"/>
    <n v="6.93"/>
    <n v="8.49"/>
    <x v="10"/>
  </r>
  <r>
    <x v="323"/>
    <s v="P1076"/>
    <x v="7"/>
    <x v="2"/>
    <x v="1"/>
    <n v="358"/>
    <n v="218"/>
    <n v="45"/>
    <n v="531"/>
    <n v="0"/>
    <n v="12"/>
    <x v="3"/>
    <n v="24.39"/>
    <n v="36.42"/>
    <x v="10"/>
  </r>
  <r>
    <x v="323"/>
    <s v="P1080"/>
    <x v="79"/>
    <x v="2"/>
    <x v="1"/>
    <n v="274"/>
    <n v="149"/>
    <n v="140"/>
    <n v="283"/>
    <n v="0"/>
    <n v="8"/>
    <x v="4"/>
    <n v="27.28"/>
    <n v="34.880000000000003"/>
    <x v="10"/>
  </r>
  <r>
    <x v="324"/>
    <s v="P1005"/>
    <x v="62"/>
    <x v="0"/>
    <x v="0"/>
    <n v="116"/>
    <n v="65"/>
    <n v="7"/>
    <n v="174"/>
    <n v="0"/>
    <n v="7"/>
    <x v="0"/>
    <n v="130.83000000000001"/>
    <n v="186.51"/>
    <x v="10"/>
  </r>
  <r>
    <x v="324"/>
    <s v="P1056"/>
    <x v="56"/>
    <x v="4"/>
    <x v="0"/>
    <n v="15"/>
    <n v="10"/>
    <n v="13"/>
    <n v="12"/>
    <n v="0"/>
    <n v="10"/>
    <x v="8"/>
    <n v="283.77999999999997"/>
    <n v="409.78"/>
    <x v="10"/>
  </r>
  <r>
    <x v="324"/>
    <s v="P1061"/>
    <x v="22"/>
    <x v="4"/>
    <x v="3"/>
    <n v="68"/>
    <n v="5"/>
    <n v="3"/>
    <n v="70"/>
    <n v="0"/>
    <n v="11"/>
    <x v="14"/>
    <n v="133.13999999999999"/>
    <n v="156.9"/>
    <x v="10"/>
  </r>
  <r>
    <x v="324"/>
    <s v="P1062"/>
    <x v="68"/>
    <x v="4"/>
    <x v="2"/>
    <n v="37"/>
    <n v="25"/>
    <n v="1"/>
    <n v="61"/>
    <n v="0"/>
    <n v="6"/>
    <x v="9"/>
    <n v="161.54"/>
    <n v="244.27"/>
    <x v="10"/>
  </r>
  <r>
    <x v="325"/>
    <s v="P1001"/>
    <x v="34"/>
    <x v="0"/>
    <x v="2"/>
    <n v="70"/>
    <n v="57"/>
    <n v="74"/>
    <n v="53"/>
    <n v="0"/>
    <n v="7"/>
    <x v="1"/>
    <n v="174.79"/>
    <n v="254.65"/>
    <x v="10"/>
  </r>
  <r>
    <x v="325"/>
    <s v="P1014"/>
    <x v="28"/>
    <x v="0"/>
    <x v="0"/>
    <n v="52"/>
    <n v="59"/>
    <n v="60"/>
    <n v="51"/>
    <n v="0"/>
    <n v="13"/>
    <x v="1"/>
    <n v="44.84"/>
    <n v="58.85"/>
    <x v="10"/>
  </r>
  <r>
    <x v="325"/>
    <s v="P1024"/>
    <x v="54"/>
    <x v="3"/>
    <x v="0"/>
    <n v="198"/>
    <n v="147"/>
    <n v="40"/>
    <n v="305"/>
    <n v="0"/>
    <n v="3"/>
    <x v="7"/>
    <n v="25.17"/>
    <n v="34.35"/>
    <x v="10"/>
  </r>
  <r>
    <x v="325"/>
    <s v="P1025"/>
    <x v="20"/>
    <x v="3"/>
    <x v="3"/>
    <n v="113"/>
    <n v="118"/>
    <n v="81"/>
    <n v="150"/>
    <n v="0"/>
    <n v="13"/>
    <x v="12"/>
    <n v="9.59"/>
    <n v="14.76"/>
    <x v="10"/>
  </r>
  <r>
    <x v="325"/>
    <s v="P1047"/>
    <x v="55"/>
    <x v="1"/>
    <x v="1"/>
    <n v="398"/>
    <n v="155"/>
    <n v="132"/>
    <n v="421"/>
    <n v="0"/>
    <n v="3"/>
    <x v="2"/>
    <n v="20.43"/>
    <n v="29.76"/>
    <x v="10"/>
  </r>
  <r>
    <x v="325"/>
    <s v="P1060"/>
    <x v="16"/>
    <x v="4"/>
    <x v="1"/>
    <n v="49"/>
    <n v="4"/>
    <n v="6"/>
    <n v="47"/>
    <n v="0"/>
    <n v="7"/>
    <x v="9"/>
    <n v="40.14"/>
    <n v="57.48"/>
    <x v="10"/>
  </r>
  <r>
    <x v="325"/>
    <s v="P1064"/>
    <x v="32"/>
    <x v="4"/>
    <x v="1"/>
    <n v="33"/>
    <n v="14"/>
    <n v="5"/>
    <n v="42"/>
    <n v="0"/>
    <n v="5"/>
    <x v="14"/>
    <n v="111.14"/>
    <n v="151.65"/>
    <x v="10"/>
  </r>
  <r>
    <x v="325"/>
    <s v="P1066"/>
    <x v="69"/>
    <x v="2"/>
    <x v="0"/>
    <n v="174"/>
    <n v="36"/>
    <n v="64"/>
    <n v="146"/>
    <n v="0"/>
    <n v="7"/>
    <x v="5"/>
    <n v="24.48"/>
    <n v="34.96"/>
    <x v="10"/>
  </r>
  <r>
    <x v="326"/>
    <s v="P1009"/>
    <x v="1"/>
    <x v="0"/>
    <x v="2"/>
    <n v="96"/>
    <n v="40"/>
    <n v="51"/>
    <n v="85"/>
    <n v="0"/>
    <n v="10"/>
    <x v="0"/>
    <n v="49.95"/>
    <n v="65.62"/>
    <x v="10"/>
  </r>
  <r>
    <x v="326"/>
    <s v="P1041"/>
    <x v="38"/>
    <x v="1"/>
    <x v="0"/>
    <n v="112"/>
    <n v="244"/>
    <n v="75"/>
    <n v="281"/>
    <n v="0"/>
    <n v="4"/>
    <x v="2"/>
    <n v="22.69"/>
    <n v="34.51"/>
    <x v="10"/>
  </r>
  <r>
    <x v="326"/>
    <s v="P1053"/>
    <x v="39"/>
    <x v="4"/>
    <x v="1"/>
    <n v="48"/>
    <n v="11"/>
    <n v="16"/>
    <n v="43"/>
    <n v="0"/>
    <n v="13"/>
    <x v="9"/>
    <n v="276.85000000000002"/>
    <n v="399.8"/>
    <x v="10"/>
  </r>
  <r>
    <x v="327"/>
    <s v="P1015"/>
    <x v="73"/>
    <x v="0"/>
    <x v="1"/>
    <n v="99"/>
    <n v="79"/>
    <n v="63"/>
    <n v="115"/>
    <n v="0"/>
    <n v="4"/>
    <x v="0"/>
    <n v="151.38"/>
    <n v="178.85"/>
    <x v="10"/>
  </r>
  <r>
    <x v="327"/>
    <s v="P1020"/>
    <x v="23"/>
    <x v="3"/>
    <x v="1"/>
    <n v="190"/>
    <n v="116"/>
    <n v="130"/>
    <n v="176"/>
    <n v="0"/>
    <n v="14"/>
    <x v="12"/>
    <n v="35.71"/>
    <n v="47.78"/>
    <x v="10"/>
  </r>
  <r>
    <x v="327"/>
    <s v="P1038"/>
    <x v="4"/>
    <x v="1"/>
    <x v="1"/>
    <n v="395"/>
    <n v="138"/>
    <n v="81"/>
    <n v="452"/>
    <n v="0"/>
    <n v="6"/>
    <x v="13"/>
    <n v="12.09"/>
    <n v="18.63"/>
    <x v="10"/>
  </r>
  <r>
    <x v="327"/>
    <s v="P1047"/>
    <x v="55"/>
    <x v="1"/>
    <x v="2"/>
    <n v="128"/>
    <n v="90"/>
    <n v="52"/>
    <n v="166"/>
    <n v="0"/>
    <n v="6"/>
    <x v="2"/>
    <n v="23.94"/>
    <n v="33.68"/>
    <x v="10"/>
  </r>
  <r>
    <x v="327"/>
    <s v="P1058"/>
    <x v="52"/>
    <x v="4"/>
    <x v="2"/>
    <n v="36"/>
    <n v="16"/>
    <n v="16"/>
    <n v="36"/>
    <n v="0"/>
    <n v="4"/>
    <x v="9"/>
    <n v="29.96"/>
    <n v="37.090000000000003"/>
    <x v="10"/>
  </r>
  <r>
    <x v="327"/>
    <s v="P1062"/>
    <x v="68"/>
    <x v="4"/>
    <x v="2"/>
    <n v="64"/>
    <n v="5"/>
    <n v="15"/>
    <n v="54"/>
    <n v="0"/>
    <n v="9"/>
    <x v="14"/>
    <n v="70.16"/>
    <n v="101.66"/>
    <x v="10"/>
  </r>
  <r>
    <x v="327"/>
    <s v="P1067"/>
    <x v="5"/>
    <x v="2"/>
    <x v="2"/>
    <n v="140"/>
    <n v="39"/>
    <n v="22"/>
    <n v="157"/>
    <n v="0"/>
    <n v="6"/>
    <x v="3"/>
    <n v="17.38"/>
    <n v="21.24"/>
    <x v="10"/>
  </r>
  <r>
    <x v="327"/>
    <s v="P1074"/>
    <x v="6"/>
    <x v="2"/>
    <x v="0"/>
    <n v="186"/>
    <n v="198"/>
    <n v="39"/>
    <n v="345"/>
    <n v="0"/>
    <n v="4"/>
    <x v="4"/>
    <n v="18.47"/>
    <n v="22.44"/>
    <x v="10"/>
  </r>
  <r>
    <x v="328"/>
    <s v="P1008"/>
    <x v="0"/>
    <x v="0"/>
    <x v="3"/>
    <n v="61"/>
    <n v="62"/>
    <n v="63"/>
    <n v="60"/>
    <n v="0"/>
    <n v="11"/>
    <x v="1"/>
    <n v="126.31"/>
    <n v="164.14"/>
    <x v="10"/>
  </r>
  <r>
    <x v="328"/>
    <s v="P1031"/>
    <x v="76"/>
    <x v="3"/>
    <x v="2"/>
    <n v="94"/>
    <n v="20"/>
    <n v="110"/>
    <n v="4"/>
    <n v="0"/>
    <n v="7"/>
    <x v="10"/>
    <n v="83.2"/>
    <n v="115.1"/>
    <x v="10"/>
  </r>
  <r>
    <x v="328"/>
    <s v="P1053"/>
    <x v="39"/>
    <x v="4"/>
    <x v="1"/>
    <n v="55"/>
    <n v="5"/>
    <n v="1"/>
    <n v="59"/>
    <n v="0"/>
    <n v="2"/>
    <x v="8"/>
    <n v="95.09"/>
    <n v="134.41"/>
    <x v="10"/>
  </r>
  <r>
    <x v="328"/>
    <s v="P1062"/>
    <x v="68"/>
    <x v="4"/>
    <x v="2"/>
    <n v="11"/>
    <n v="10"/>
    <n v="14"/>
    <n v="7"/>
    <n v="0"/>
    <n v="7"/>
    <x v="9"/>
    <n v="315"/>
    <n v="385.6"/>
    <x v="10"/>
  </r>
  <r>
    <x v="329"/>
    <s v="P1028"/>
    <x v="29"/>
    <x v="3"/>
    <x v="3"/>
    <n v="43"/>
    <n v="37"/>
    <n v="60"/>
    <n v="20"/>
    <n v="0"/>
    <n v="5"/>
    <x v="7"/>
    <n v="16.75"/>
    <n v="24.73"/>
    <x v="10"/>
  </r>
  <r>
    <x v="329"/>
    <s v="P1032"/>
    <x v="58"/>
    <x v="3"/>
    <x v="2"/>
    <n v="43"/>
    <n v="63"/>
    <n v="65"/>
    <n v="41"/>
    <n v="0"/>
    <n v="11"/>
    <x v="12"/>
    <n v="59.37"/>
    <n v="87.16"/>
    <x v="10"/>
  </r>
  <r>
    <x v="329"/>
    <s v="P1055"/>
    <x v="51"/>
    <x v="4"/>
    <x v="3"/>
    <n v="23"/>
    <n v="7"/>
    <n v="12"/>
    <n v="18"/>
    <n v="0"/>
    <n v="14"/>
    <x v="8"/>
    <n v="298.64"/>
    <n v="401.12"/>
    <x v="10"/>
  </r>
  <r>
    <x v="329"/>
    <s v="P1077"/>
    <x v="50"/>
    <x v="2"/>
    <x v="2"/>
    <n v="167"/>
    <n v="77"/>
    <n v="146"/>
    <n v="98"/>
    <n v="0"/>
    <n v="6"/>
    <x v="5"/>
    <n v="19.05"/>
    <n v="23.35"/>
    <x v="10"/>
  </r>
  <r>
    <x v="330"/>
    <s v="P1001"/>
    <x v="34"/>
    <x v="0"/>
    <x v="1"/>
    <n v="75"/>
    <n v="10"/>
    <n v="60"/>
    <n v="25"/>
    <n v="0"/>
    <n v="7"/>
    <x v="6"/>
    <n v="109.45"/>
    <n v="138.4"/>
    <x v="10"/>
  </r>
  <r>
    <x v="330"/>
    <s v="P1008"/>
    <x v="0"/>
    <x v="0"/>
    <x v="3"/>
    <n v="164"/>
    <n v="66"/>
    <n v="5"/>
    <n v="225"/>
    <n v="0"/>
    <n v="14"/>
    <x v="6"/>
    <n v="33.47"/>
    <n v="48.81"/>
    <x v="10"/>
  </r>
  <r>
    <x v="331"/>
    <s v="P1075"/>
    <x v="44"/>
    <x v="2"/>
    <x v="0"/>
    <n v="399"/>
    <n v="175"/>
    <n v="59"/>
    <n v="515"/>
    <n v="0"/>
    <n v="13"/>
    <x v="5"/>
    <n v="11.34"/>
    <n v="14.23"/>
    <x v="10"/>
  </r>
  <r>
    <x v="331"/>
    <s v="P1080"/>
    <x v="79"/>
    <x v="2"/>
    <x v="3"/>
    <n v="71"/>
    <n v="179"/>
    <n v="91"/>
    <n v="159"/>
    <n v="0"/>
    <n v="13"/>
    <x v="4"/>
    <n v="8.75"/>
    <n v="12.27"/>
    <x v="10"/>
  </r>
  <r>
    <x v="332"/>
    <s v="P1006"/>
    <x v="19"/>
    <x v="0"/>
    <x v="1"/>
    <n v="151"/>
    <n v="14"/>
    <n v="53"/>
    <n v="112"/>
    <n v="0"/>
    <n v="3"/>
    <x v="1"/>
    <n v="46.45"/>
    <n v="60.23"/>
    <x v="11"/>
  </r>
  <r>
    <x v="332"/>
    <s v="P1027"/>
    <x v="26"/>
    <x v="3"/>
    <x v="3"/>
    <n v="174"/>
    <n v="89"/>
    <n v="124"/>
    <n v="139"/>
    <n v="0"/>
    <n v="9"/>
    <x v="10"/>
    <n v="19.12"/>
    <n v="23.1"/>
    <x v="11"/>
  </r>
  <r>
    <x v="332"/>
    <s v="P1037"/>
    <x v="59"/>
    <x v="1"/>
    <x v="0"/>
    <n v="219"/>
    <n v="193"/>
    <n v="46"/>
    <n v="366"/>
    <n v="0"/>
    <n v="5"/>
    <x v="2"/>
    <n v="2.34"/>
    <n v="2.84"/>
    <x v="11"/>
  </r>
  <r>
    <x v="332"/>
    <s v="P1042"/>
    <x v="61"/>
    <x v="1"/>
    <x v="0"/>
    <n v="201"/>
    <n v="83"/>
    <n v="214"/>
    <n v="70"/>
    <n v="0"/>
    <n v="4"/>
    <x v="13"/>
    <n v="24.66"/>
    <n v="30.8"/>
    <x v="11"/>
  </r>
  <r>
    <x v="332"/>
    <s v="P1052"/>
    <x v="60"/>
    <x v="4"/>
    <x v="0"/>
    <n v="79"/>
    <n v="20"/>
    <n v="13"/>
    <n v="86"/>
    <n v="0"/>
    <n v="2"/>
    <x v="8"/>
    <n v="320.62"/>
    <n v="369.51"/>
    <x v="11"/>
  </r>
  <r>
    <x v="332"/>
    <s v="P1059"/>
    <x v="11"/>
    <x v="4"/>
    <x v="3"/>
    <n v="60"/>
    <n v="25"/>
    <n v="14"/>
    <n v="71"/>
    <n v="0"/>
    <n v="6"/>
    <x v="9"/>
    <n v="192.43"/>
    <n v="297.52"/>
    <x v="11"/>
  </r>
  <r>
    <x v="332"/>
    <s v="P1061"/>
    <x v="22"/>
    <x v="4"/>
    <x v="0"/>
    <n v="29"/>
    <n v="18"/>
    <n v="18"/>
    <n v="29"/>
    <n v="0"/>
    <n v="4"/>
    <x v="8"/>
    <n v="325.04000000000002"/>
    <n v="478.46"/>
    <x v="11"/>
  </r>
  <r>
    <x v="333"/>
    <s v="P1023"/>
    <x v="24"/>
    <x v="3"/>
    <x v="1"/>
    <n v="278"/>
    <n v="87"/>
    <n v="49"/>
    <n v="316"/>
    <n v="0"/>
    <n v="12"/>
    <x v="10"/>
    <n v="10.39"/>
    <n v="15.72"/>
    <x v="11"/>
  </r>
  <r>
    <x v="333"/>
    <s v="P1026"/>
    <x v="14"/>
    <x v="3"/>
    <x v="2"/>
    <n v="154"/>
    <n v="64"/>
    <n v="13"/>
    <n v="205"/>
    <n v="0"/>
    <n v="6"/>
    <x v="10"/>
    <n v="50"/>
    <n v="64.7"/>
    <x v="11"/>
  </r>
  <r>
    <x v="333"/>
    <s v="P1051"/>
    <x v="31"/>
    <x v="4"/>
    <x v="1"/>
    <n v="54"/>
    <n v="4"/>
    <n v="3"/>
    <n v="55"/>
    <n v="0"/>
    <n v="9"/>
    <x v="9"/>
    <n v="133.47999999999999"/>
    <n v="184.43"/>
    <x v="11"/>
  </r>
  <r>
    <x v="334"/>
    <s v="P1015"/>
    <x v="73"/>
    <x v="0"/>
    <x v="0"/>
    <n v="21"/>
    <n v="80"/>
    <n v="36"/>
    <n v="65"/>
    <n v="0"/>
    <n v="5"/>
    <x v="6"/>
    <n v="126.86"/>
    <n v="180.6"/>
    <x v="11"/>
  </r>
  <r>
    <x v="334"/>
    <s v="P1020"/>
    <x v="23"/>
    <x v="3"/>
    <x v="2"/>
    <n v="295"/>
    <n v="122"/>
    <n v="130"/>
    <n v="287"/>
    <n v="0"/>
    <n v="4"/>
    <x v="10"/>
    <n v="34.659999999999997"/>
    <n v="46.39"/>
    <x v="11"/>
  </r>
  <r>
    <x v="334"/>
    <s v="P1036"/>
    <x v="75"/>
    <x v="1"/>
    <x v="2"/>
    <n v="196"/>
    <n v="82"/>
    <n v="131"/>
    <n v="147"/>
    <n v="0"/>
    <n v="3"/>
    <x v="13"/>
    <n v="14.8"/>
    <n v="20.84"/>
    <x v="11"/>
  </r>
  <r>
    <x v="334"/>
    <s v="P1045"/>
    <x v="15"/>
    <x v="1"/>
    <x v="0"/>
    <n v="268"/>
    <n v="43"/>
    <n v="91"/>
    <n v="220"/>
    <n v="0"/>
    <n v="3"/>
    <x v="2"/>
    <n v="9.7100000000000009"/>
    <n v="13.53"/>
    <x v="11"/>
  </r>
  <r>
    <x v="334"/>
    <s v="P1066"/>
    <x v="69"/>
    <x v="2"/>
    <x v="3"/>
    <n v="334"/>
    <n v="135"/>
    <n v="35"/>
    <n v="434"/>
    <n v="0"/>
    <n v="6"/>
    <x v="5"/>
    <n v="23.04"/>
    <n v="27.91"/>
    <x v="11"/>
  </r>
  <r>
    <x v="335"/>
    <s v="P1017"/>
    <x v="45"/>
    <x v="3"/>
    <x v="1"/>
    <n v="180"/>
    <n v="29"/>
    <n v="18"/>
    <n v="191"/>
    <n v="0"/>
    <n v="7"/>
    <x v="10"/>
    <n v="40.619999999999997"/>
    <n v="61.65"/>
    <x v="11"/>
  </r>
  <r>
    <x v="335"/>
    <s v="P1034"/>
    <x v="3"/>
    <x v="1"/>
    <x v="1"/>
    <n v="285"/>
    <n v="93"/>
    <n v="106"/>
    <n v="272"/>
    <n v="0"/>
    <n v="3"/>
    <x v="13"/>
    <n v="17.12"/>
    <n v="25.74"/>
    <x v="11"/>
  </r>
  <r>
    <x v="335"/>
    <s v="P1041"/>
    <x v="38"/>
    <x v="1"/>
    <x v="0"/>
    <n v="356"/>
    <n v="79"/>
    <n v="86"/>
    <n v="349"/>
    <n v="0"/>
    <n v="1"/>
    <x v="13"/>
    <n v="12.11"/>
    <n v="16.399999999999999"/>
    <x v="11"/>
  </r>
  <r>
    <x v="335"/>
    <s v="P1045"/>
    <x v="15"/>
    <x v="1"/>
    <x v="0"/>
    <n v="299"/>
    <n v="120"/>
    <n v="155"/>
    <n v="264"/>
    <n v="0"/>
    <n v="1"/>
    <x v="11"/>
    <n v="24.45"/>
    <n v="34.64"/>
    <x v="11"/>
  </r>
  <r>
    <x v="335"/>
    <s v="P1064"/>
    <x v="32"/>
    <x v="4"/>
    <x v="0"/>
    <n v="14"/>
    <n v="25"/>
    <n v="11"/>
    <n v="28"/>
    <n v="0"/>
    <n v="2"/>
    <x v="14"/>
    <n v="114.02"/>
    <n v="140.24"/>
    <x v="11"/>
  </r>
  <r>
    <x v="335"/>
    <s v="P1066"/>
    <x v="69"/>
    <x v="2"/>
    <x v="3"/>
    <n v="234"/>
    <n v="52"/>
    <n v="163"/>
    <n v="123"/>
    <n v="0"/>
    <n v="12"/>
    <x v="5"/>
    <n v="20.329999999999998"/>
    <n v="31.24"/>
    <x v="11"/>
  </r>
  <r>
    <x v="336"/>
    <s v="P1006"/>
    <x v="19"/>
    <x v="0"/>
    <x v="3"/>
    <n v="99"/>
    <n v="47"/>
    <n v="58"/>
    <n v="88"/>
    <n v="0"/>
    <n v="7"/>
    <x v="1"/>
    <n v="42.72"/>
    <n v="60.67"/>
    <x v="11"/>
  </r>
  <r>
    <x v="336"/>
    <s v="P1020"/>
    <x v="23"/>
    <x v="3"/>
    <x v="2"/>
    <n v="203"/>
    <n v="33"/>
    <n v="87"/>
    <n v="149"/>
    <n v="0"/>
    <n v="4"/>
    <x v="12"/>
    <n v="61.96"/>
    <n v="95.98"/>
    <x v="11"/>
  </r>
  <r>
    <x v="336"/>
    <s v="P1028"/>
    <x v="29"/>
    <x v="3"/>
    <x v="0"/>
    <n v="206"/>
    <n v="33"/>
    <n v="65"/>
    <n v="174"/>
    <n v="0"/>
    <n v="5"/>
    <x v="12"/>
    <n v="60.22"/>
    <n v="92.73"/>
    <x v="11"/>
  </r>
  <r>
    <x v="336"/>
    <s v="P1039"/>
    <x v="30"/>
    <x v="1"/>
    <x v="2"/>
    <n v="202"/>
    <n v="226"/>
    <n v="25"/>
    <n v="403"/>
    <n v="0"/>
    <n v="5"/>
    <x v="11"/>
    <n v="4.68"/>
    <n v="6.06"/>
    <x v="11"/>
  </r>
  <r>
    <x v="337"/>
    <s v="P1006"/>
    <x v="19"/>
    <x v="0"/>
    <x v="1"/>
    <n v="108"/>
    <n v="42"/>
    <n v="66"/>
    <n v="84"/>
    <n v="0"/>
    <n v="13"/>
    <x v="6"/>
    <n v="156.38999999999999"/>
    <n v="225.19"/>
    <x v="11"/>
  </r>
  <r>
    <x v="337"/>
    <s v="P1024"/>
    <x v="54"/>
    <x v="3"/>
    <x v="3"/>
    <n v="185"/>
    <n v="93"/>
    <n v="117"/>
    <n v="161"/>
    <n v="0"/>
    <n v="11"/>
    <x v="12"/>
    <n v="72.48"/>
    <n v="95.1"/>
    <x v="11"/>
  </r>
  <r>
    <x v="337"/>
    <s v="P1032"/>
    <x v="58"/>
    <x v="3"/>
    <x v="2"/>
    <n v="200"/>
    <n v="139"/>
    <n v="61"/>
    <n v="278"/>
    <n v="0"/>
    <n v="10"/>
    <x v="10"/>
    <n v="75.61"/>
    <n v="89.2"/>
    <x v="11"/>
  </r>
  <r>
    <x v="337"/>
    <s v="P1036"/>
    <x v="75"/>
    <x v="1"/>
    <x v="3"/>
    <n v="237"/>
    <n v="197"/>
    <n v="153"/>
    <n v="281"/>
    <n v="0"/>
    <n v="3"/>
    <x v="2"/>
    <n v="20.170000000000002"/>
    <n v="25.65"/>
    <x v="11"/>
  </r>
  <r>
    <x v="337"/>
    <s v="P1043"/>
    <x v="21"/>
    <x v="1"/>
    <x v="2"/>
    <n v="323"/>
    <n v="208"/>
    <n v="91"/>
    <n v="440"/>
    <n v="0"/>
    <n v="3"/>
    <x v="13"/>
    <n v="16.82"/>
    <n v="24.24"/>
    <x v="11"/>
  </r>
  <r>
    <x v="337"/>
    <s v="P1053"/>
    <x v="39"/>
    <x v="4"/>
    <x v="1"/>
    <n v="39"/>
    <n v="11"/>
    <n v="6"/>
    <n v="44"/>
    <n v="0"/>
    <n v="3"/>
    <x v="9"/>
    <n v="38.99"/>
    <n v="57.02"/>
    <x v="11"/>
  </r>
  <r>
    <x v="337"/>
    <s v="P1061"/>
    <x v="22"/>
    <x v="4"/>
    <x v="3"/>
    <n v="27"/>
    <n v="20"/>
    <n v="6"/>
    <n v="41"/>
    <n v="0"/>
    <n v="7"/>
    <x v="8"/>
    <n v="29.23"/>
    <n v="33.78"/>
    <x v="11"/>
  </r>
  <r>
    <x v="338"/>
    <s v="P1013"/>
    <x v="2"/>
    <x v="0"/>
    <x v="3"/>
    <n v="46"/>
    <n v="89"/>
    <n v="19"/>
    <n v="116"/>
    <n v="0"/>
    <n v="4"/>
    <x v="6"/>
    <n v="58.55"/>
    <n v="82.87"/>
    <x v="11"/>
  </r>
  <r>
    <x v="338"/>
    <s v="P1013"/>
    <x v="2"/>
    <x v="0"/>
    <x v="1"/>
    <n v="26"/>
    <n v="53"/>
    <n v="72"/>
    <n v="7"/>
    <n v="0"/>
    <n v="12"/>
    <x v="0"/>
    <n v="207.68"/>
    <n v="267.33"/>
    <x v="11"/>
  </r>
  <r>
    <x v="338"/>
    <s v="P1021"/>
    <x v="77"/>
    <x v="3"/>
    <x v="0"/>
    <n v="231"/>
    <n v="150"/>
    <n v="131"/>
    <n v="250"/>
    <n v="0"/>
    <n v="6"/>
    <x v="10"/>
    <n v="65.94"/>
    <n v="89.95"/>
    <x v="11"/>
  </r>
  <r>
    <x v="338"/>
    <s v="P1071"/>
    <x v="40"/>
    <x v="2"/>
    <x v="0"/>
    <n v="362"/>
    <n v="124"/>
    <n v="49"/>
    <n v="437"/>
    <n v="0"/>
    <n v="2"/>
    <x v="3"/>
    <n v="26.24"/>
    <n v="31.63"/>
    <x v="11"/>
  </r>
  <r>
    <x v="339"/>
    <s v="P1005"/>
    <x v="62"/>
    <x v="0"/>
    <x v="3"/>
    <n v="172"/>
    <n v="30"/>
    <n v="65"/>
    <n v="137"/>
    <n v="0"/>
    <n v="11"/>
    <x v="0"/>
    <n v="184.85"/>
    <n v="270.94"/>
    <x v="11"/>
  </r>
  <r>
    <x v="339"/>
    <s v="P1006"/>
    <x v="19"/>
    <x v="0"/>
    <x v="3"/>
    <n v="157"/>
    <n v="66"/>
    <n v="70"/>
    <n v="153"/>
    <n v="0"/>
    <n v="11"/>
    <x v="0"/>
    <n v="172.93"/>
    <n v="233.43"/>
    <x v="11"/>
  </r>
  <r>
    <x v="339"/>
    <s v="P1022"/>
    <x v="53"/>
    <x v="3"/>
    <x v="0"/>
    <n v="277"/>
    <n v="53"/>
    <n v="19"/>
    <n v="311"/>
    <n v="0"/>
    <n v="11"/>
    <x v="12"/>
    <n v="16.309999999999999"/>
    <n v="23.92"/>
    <x v="11"/>
  </r>
  <r>
    <x v="339"/>
    <s v="P1025"/>
    <x v="20"/>
    <x v="3"/>
    <x v="2"/>
    <n v="174"/>
    <n v="60"/>
    <n v="49"/>
    <n v="185"/>
    <n v="0"/>
    <n v="4"/>
    <x v="10"/>
    <n v="58.09"/>
    <n v="87.05"/>
    <x v="11"/>
  </r>
  <r>
    <x v="339"/>
    <s v="P1058"/>
    <x v="52"/>
    <x v="4"/>
    <x v="1"/>
    <n v="28"/>
    <n v="7"/>
    <n v="13"/>
    <n v="22"/>
    <n v="0"/>
    <n v="12"/>
    <x v="14"/>
    <n v="85.66"/>
    <n v="99.39"/>
    <x v="11"/>
  </r>
  <r>
    <x v="339"/>
    <s v="P1066"/>
    <x v="69"/>
    <x v="2"/>
    <x v="2"/>
    <n v="205"/>
    <n v="116"/>
    <n v="163"/>
    <n v="158"/>
    <n v="0"/>
    <n v="10"/>
    <x v="5"/>
    <n v="6.77"/>
    <n v="8.64"/>
    <x v="11"/>
  </r>
  <r>
    <x v="339"/>
    <s v="P1069"/>
    <x v="17"/>
    <x v="2"/>
    <x v="1"/>
    <n v="274"/>
    <n v="160"/>
    <n v="35"/>
    <n v="399"/>
    <n v="0"/>
    <n v="11"/>
    <x v="3"/>
    <n v="26.78"/>
    <n v="37"/>
    <x v="11"/>
  </r>
  <r>
    <x v="339"/>
    <s v="P1069"/>
    <x v="17"/>
    <x v="2"/>
    <x v="1"/>
    <n v="129"/>
    <n v="154"/>
    <n v="163"/>
    <n v="120"/>
    <n v="0"/>
    <n v="4"/>
    <x v="5"/>
    <n v="24.91"/>
    <n v="34.92"/>
    <x v="11"/>
  </r>
  <r>
    <x v="339"/>
    <s v="P1073"/>
    <x v="78"/>
    <x v="2"/>
    <x v="1"/>
    <n v="113"/>
    <n v="133"/>
    <n v="100"/>
    <n v="146"/>
    <n v="0"/>
    <n v="3"/>
    <x v="5"/>
    <n v="25.4"/>
    <n v="35.1"/>
    <x v="11"/>
  </r>
  <r>
    <x v="340"/>
    <s v="P1019"/>
    <x v="66"/>
    <x v="3"/>
    <x v="2"/>
    <n v="148"/>
    <n v="41"/>
    <n v="77"/>
    <n v="112"/>
    <n v="0"/>
    <n v="6"/>
    <x v="7"/>
    <n v="20.64"/>
    <n v="28.31"/>
    <x v="11"/>
  </r>
  <r>
    <x v="341"/>
    <s v="P1025"/>
    <x v="20"/>
    <x v="3"/>
    <x v="3"/>
    <n v="218"/>
    <n v="105"/>
    <n v="104"/>
    <n v="219"/>
    <n v="0"/>
    <n v="14"/>
    <x v="7"/>
    <n v="28.15"/>
    <n v="38.869999999999997"/>
    <x v="11"/>
  </r>
  <r>
    <x v="341"/>
    <s v="P1028"/>
    <x v="29"/>
    <x v="3"/>
    <x v="3"/>
    <n v="225"/>
    <n v="91"/>
    <n v="138"/>
    <n v="178"/>
    <n v="0"/>
    <n v="13"/>
    <x v="10"/>
    <n v="67.569999999999993"/>
    <n v="104.51"/>
    <x v="11"/>
  </r>
  <r>
    <x v="341"/>
    <s v="P1046"/>
    <x v="49"/>
    <x v="1"/>
    <x v="3"/>
    <n v="420"/>
    <n v="148"/>
    <n v="36"/>
    <n v="532"/>
    <n v="0"/>
    <n v="5"/>
    <x v="11"/>
    <n v="14.94"/>
    <n v="17.46"/>
    <x v="11"/>
  </r>
  <r>
    <x v="341"/>
    <s v="P1049"/>
    <x v="10"/>
    <x v="4"/>
    <x v="0"/>
    <n v="18"/>
    <n v="18"/>
    <n v="6"/>
    <n v="30"/>
    <n v="0"/>
    <n v="9"/>
    <x v="14"/>
    <n v="72.709999999999994"/>
    <n v="97.55"/>
    <x v="11"/>
  </r>
  <r>
    <x v="341"/>
    <s v="P1052"/>
    <x v="60"/>
    <x v="4"/>
    <x v="0"/>
    <n v="27"/>
    <n v="25"/>
    <n v="1"/>
    <n v="51"/>
    <n v="0"/>
    <n v="10"/>
    <x v="8"/>
    <n v="114.24"/>
    <n v="156.33000000000001"/>
    <x v="11"/>
  </r>
  <r>
    <x v="341"/>
    <s v="P1059"/>
    <x v="11"/>
    <x v="4"/>
    <x v="2"/>
    <n v="45"/>
    <n v="18"/>
    <n v="17"/>
    <n v="46"/>
    <n v="0"/>
    <n v="13"/>
    <x v="9"/>
    <n v="48.39"/>
    <n v="60.62"/>
    <x v="11"/>
  </r>
  <r>
    <x v="341"/>
    <s v="P1076"/>
    <x v="7"/>
    <x v="2"/>
    <x v="2"/>
    <n v="341"/>
    <n v="101"/>
    <n v="62"/>
    <n v="380"/>
    <n v="0"/>
    <n v="3"/>
    <x v="5"/>
    <n v="14.9"/>
    <n v="17.29"/>
    <x v="11"/>
  </r>
  <r>
    <x v="342"/>
    <s v="P1019"/>
    <x v="66"/>
    <x v="3"/>
    <x v="2"/>
    <n v="86"/>
    <n v="122"/>
    <n v="100"/>
    <n v="108"/>
    <n v="0"/>
    <n v="7"/>
    <x v="12"/>
    <n v="14.13"/>
    <n v="18.850000000000001"/>
    <x v="11"/>
  </r>
  <r>
    <x v="342"/>
    <s v="P1033"/>
    <x v="27"/>
    <x v="1"/>
    <x v="0"/>
    <n v="486"/>
    <n v="127"/>
    <n v="63"/>
    <n v="550"/>
    <n v="0"/>
    <n v="5"/>
    <x v="13"/>
    <n v="11.51"/>
    <n v="16.73"/>
    <x v="11"/>
  </r>
  <r>
    <x v="342"/>
    <s v="P1055"/>
    <x v="51"/>
    <x v="4"/>
    <x v="3"/>
    <n v="12"/>
    <n v="11"/>
    <n v="18"/>
    <n v="5"/>
    <n v="0"/>
    <n v="2"/>
    <x v="8"/>
    <n v="193.82"/>
    <n v="259.08"/>
    <x v="11"/>
  </r>
  <r>
    <x v="342"/>
    <s v="P1062"/>
    <x v="68"/>
    <x v="4"/>
    <x v="3"/>
    <n v="51"/>
    <n v="11"/>
    <n v="4"/>
    <n v="58"/>
    <n v="0"/>
    <n v="5"/>
    <x v="9"/>
    <n v="182.15"/>
    <n v="268.2"/>
    <x v="11"/>
  </r>
  <r>
    <x v="343"/>
    <s v="P1003"/>
    <x v="64"/>
    <x v="0"/>
    <x v="2"/>
    <n v="27"/>
    <n v="80"/>
    <n v="68"/>
    <n v="39"/>
    <n v="0"/>
    <n v="7"/>
    <x v="1"/>
    <n v="35.89"/>
    <n v="54.35"/>
    <x v="11"/>
  </r>
  <r>
    <x v="343"/>
    <s v="P1012"/>
    <x v="41"/>
    <x v="0"/>
    <x v="2"/>
    <n v="50"/>
    <n v="20"/>
    <n v="50"/>
    <n v="20"/>
    <n v="0"/>
    <n v="6"/>
    <x v="1"/>
    <n v="113.09"/>
    <n v="165.36"/>
    <x v="11"/>
  </r>
  <r>
    <x v="343"/>
    <s v="P1020"/>
    <x v="23"/>
    <x v="3"/>
    <x v="2"/>
    <n v="189"/>
    <n v="150"/>
    <n v="111"/>
    <n v="228"/>
    <n v="0"/>
    <n v="7"/>
    <x v="10"/>
    <n v="84.14"/>
    <n v="116.27"/>
    <x v="11"/>
  </r>
  <r>
    <x v="343"/>
    <s v="P1021"/>
    <x v="77"/>
    <x v="3"/>
    <x v="3"/>
    <n v="92"/>
    <n v="93"/>
    <n v="55"/>
    <n v="130"/>
    <n v="0"/>
    <n v="14"/>
    <x v="12"/>
    <n v="39.090000000000003"/>
    <n v="50.23"/>
    <x v="11"/>
  </r>
  <r>
    <x v="343"/>
    <s v="P1033"/>
    <x v="27"/>
    <x v="1"/>
    <x v="1"/>
    <n v="487"/>
    <n v="118"/>
    <n v="41"/>
    <n v="564"/>
    <n v="0"/>
    <n v="6"/>
    <x v="13"/>
    <n v="13.96"/>
    <n v="16.850000000000001"/>
    <x v="11"/>
  </r>
  <r>
    <x v="343"/>
    <s v="P1034"/>
    <x v="3"/>
    <x v="1"/>
    <x v="0"/>
    <n v="165"/>
    <n v="96"/>
    <n v="128"/>
    <n v="133"/>
    <n v="0"/>
    <n v="1"/>
    <x v="11"/>
    <n v="24.63"/>
    <n v="35.58"/>
    <x v="11"/>
  </r>
  <r>
    <x v="343"/>
    <s v="P1035"/>
    <x v="42"/>
    <x v="1"/>
    <x v="1"/>
    <n v="341"/>
    <n v="202"/>
    <n v="169"/>
    <n v="374"/>
    <n v="0"/>
    <n v="3"/>
    <x v="11"/>
    <n v="15.22"/>
    <n v="20.95"/>
    <x v="11"/>
  </r>
  <r>
    <x v="343"/>
    <s v="P1071"/>
    <x v="40"/>
    <x v="2"/>
    <x v="3"/>
    <n v="353"/>
    <n v="217"/>
    <n v="73"/>
    <n v="497"/>
    <n v="0"/>
    <n v="11"/>
    <x v="5"/>
    <n v="29.36"/>
    <n v="43.09"/>
    <x v="11"/>
  </r>
  <r>
    <x v="343"/>
    <s v="P1077"/>
    <x v="50"/>
    <x v="2"/>
    <x v="2"/>
    <n v="335"/>
    <n v="108"/>
    <n v="160"/>
    <n v="283"/>
    <n v="0"/>
    <n v="3"/>
    <x v="4"/>
    <n v="24.67"/>
    <n v="28.56"/>
    <x v="11"/>
  </r>
  <r>
    <x v="344"/>
    <s v="P1026"/>
    <x v="14"/>
    <x v="3"/>
    <x v="2"/>
    <n v="250"/>
    <n v="137"/>
    <n v="51"/>
    <n v="336"/>
    <n v="0"/>
    <n v="11"/>
    <x v="10"/>
    <n v="85.27"/>
    <n v="124.94"/>
    <x v="11"/>
  </r>
  <r>
    <x v="344"/>
    <s v="P1065"/>
    <x v="25"/>
    <x v="2"/>
    <x v="1"/>
    <n v="281"/>
    <n v="120"/>
    <n v="40"/>
    <n v="361"/>
    <n v="0"/>
    <n v="2"/>
    <x v="5"/>
    <n v="24.56"/>
    <n v="36.630000000000003"/>
    <x v="11"/>
  </r>
  <r>
    <x v="344"/>
    <s v="P1075"/>
    <x v="44"/>
    <x v="2"/>
    <x v="2"/>
    <n v="116"/>
    <n v="214"/>
    <n v="68"/>
    <n v="262"/>
    <n v="0"/>
    <n v="2"/>
    <x v="3"/>
    <n v="8.6300000000000008"/>
    <n v="11.91"/>
    <x v="11"/>
  </r>
  <r>
    <x v="345"/>
    <s v="P1049"/>
    <x v="10"/>
    <x v="4"/>
    <x v="3"/>
    <n v="75"/>
    <n v="15"/>
    <n v="6"/>
    <n v="84"/>
    <n v="0"/>
    <n v="3"/>
    <x v="8"/>
    <n v="140.13999999999999"/>
    <n v="211.95"/>
    <x v="11"/>
  </r>
  <r>
    <x v="345"/>
    <s v="P1052"/>
    <x v="60"/>
    <x v="4"/>
    <x v="3"/>
    <n v="59"/>
    <n v="22"/>
    <n v="5"/>
    <n v="76"/>
    <n v="0"/>
    <n v="5"/>
    <x v="8"/>
    <n v="96.57"/>
    <n v="129.91999999999999"/>
    <x v="11"/>
  </r>
  <r>
    <x v="345"/>
    <s v="P1063"/>
    <x v="12"/>
    <x v="4"/>
    <x v="2"/>
    <n v="73"/>
    <n v="12"/>
    <n v="17"/>
    <n v="68"/>
    <n v="0"/>
    <n v="10"/>
    <x v="14"/>
    <n v="285.97000000000003"/>
    <n v="441.06"/>
    <x v="11"/>
  </r>
  <r>
    <x v="345"/>
    <s v="P1074"/>
    <x v="6"/>
    <x v="2"/>
    <x v="1"/>
    <n v="232"/>
    <n v="36"/>
    <n v="169"/>
    <n v="99"/>
    <n v="0"/>
    <n v="11"/>
    <x v="3"/>
    <n v="23.17"/>
    <n v="28.01"/>
    <x v="11"/>
  </r>
  <r>
    <x v="345"/>
    <s v="P1078"/>
    <x v="65"/>
    <x v="2"/>
    <x v="1"/>
    <n v="210"/>
    <n v="114"/>
    <n v="165"/>
    <n v="159"/>
    <n v="0"/>
    <n v="12"/>
    <x v="5"/>
    <n v="6.9"/>
    <n v="10.06"/>
    <x v="11"/>
  </r>
  <r>
    <x v="346"/>
    <s v="P1003"/>
    <x v="64"/>
    <x v="0"/>
    <x v="3"/>
    <n v="72"/>
    <n v="48"/>
    <n v="69"/>
    <n v="51"/>
    <n v="0"/>
    <n v="2"/>
    <x v="1"/>
    <n v="146.30000000000001"/>
    <n v="225.53"/>
    <x v="11"/>
  </r>
  <r>
    <x v="346"/>
    <s v="P1010"/>
    <x v="47"/>
    <x v="0"/>
    <x v="1"/>
    <n v="46"/>
    <n v="26"/>
    <n v="48"/>
    <n v="24"/>
    <n v="0"/>
    <n v="10"/>
    <x v="0"/>
    <n v="93.5"/>
    <n v="115.83"/>
    <x v="11"/>
  </r>
  <r>
    <x v="346"/>
    <s v="P1014"/>
    <x v="28"/>
    <x v="0"/>
    <x v="1"/>
    <n v="46"/>
    <n v="19"/>
    <n v="65"/>
    <n v="0"/>
    <n v="1"/>
    <n v="2"/>
    <x v="6"/>
    <n v="152.77000000000001"/>
    <n v="211.35"/>
    <x v="11"/>
  </r>
  <r>
    <x v="346"/>
    <s v="P1015"/>
    <x v="73"/>
    <x v="0"/>
    <x v="2"/>
    <n v="133"/>
    <n v="87"/>
    <n v="6"/>
    <n v="214"/>
    <n v="0"/>
    <n v="10"/>
    <x v="6"/>
    <n v="123.89"/>
    <n v="188.89"/>
    <x v="11"/>
  </r>
  <r>
    <x v="346"/>
    <s v="P1036"/>
    <x v="75"/>
    <x v="1"/>
    <x v="0"/>
    <n v="392"/>
    <n v="91"/>
    <n v="156"/>
    <n v="327"/>
    <n v="0"/>
    <n v="6"/>
    <x v="2"/>
    <n v="24.92"/>
    <n v="36.590000000000003"/>
    <x v="11"/>
  </r>
  <r>
    <x v="346"/>
    <s v="P1041"/>
    <x v="38"/>
    <x v="1"/>
    <x v="1"/>
    <n v="438"/>
    <n v="165"/>
    <n v="174"/>
    <n v="429"/>
    <n v="0"/>
    <n v="6"/>
    <x v="13"/>
    <n v="12.59"/>
    <n v="16.940000000000001"/>
    <x v="11"/>
  </r>
  <r>
    <x v="346"/>
    <s v="P1049"/>
    <x v="10"/>
    <x v="4"/>
    <x v="0"/>
    <n v="75"/>
    <n v="24"/>
    <n v="8"/>
    <n v="91"/>
    <n v="0"/>
    <n v="12"/>
    <x v="14"/>
    <n v="107.49"/>
    <n v="134.18"/>
    <x v="11"/>
  </r>
  <r>
    <x v="346"/>
    <s v="P1051"/>
    <x v="31"/>
    <x v="4"/>
    <x v="1"/>
    <n v="57"/>
    <n v="21"/>
    <n v="8"/>
    <n v="70"/>
    <n v="0"/>
    <n v="13"/>
    <x v="9"/>
    <n v="160.54"/>
    <n v="199.33"/>
    <x v="11"/>
  </r>
  <r>
    <x v="346"/>
    <s v="P1053"/>
    <x v="39"/>
    <x v="4"/>
    <x v="1"/>
    <n v="27"/>
    <n v="7"/>
    <n v="14"/>
    <n v="20"/>
    <n v="0"/>
    <n v="8"/>
    <x v="9"/>
    <n v="213.84"/>
    <n v="326.68"/>
    <x v="11"/>
  </r>
  <r>
    <x v="346"/>
    <s v="P1054"/>
    <x v="43"/>
    <x v="4"/>
    <x v="2"/>
    <n v="48"/>
    <n v="25"/>
    <n v="16"/>
    <n v="57"/>
    <n v="0"/>
    <n v="2"/>
    <x v="8"/>
    <n v="299.79000000000002"/>
    <n v="440.58"/>
    <x v="11"/>
  </r>
  <r>
    <x v="346"/>
    <s v="P1079"/>
    <x v="8"/>
    <x v="2"/>
    <x v="1"/>
    <n v="367"/>
    <n v="193"/>
    <n v="83"/>
    <n v="477"/>
    <n v="0"/>
    <n v="4"/>
    <x v="4"/>
    <n v="28.02"/>
    <n v="40.159999999999997"/>
    <x v="11"/>
  </r>
  <r>
    <x v="347"/>
    <s v="P1001"/>
    <x v="34"/>
    <x v="0"/>
    <x v="1"/>
    <n v="162"/>
    <n v="85"/>
    <n v="26"/>
    <n v="221"/>
    <n v="0"/>
    <n v="7"/>
    <x v="1"/>
    <n v="133.84"/>
    <n v="178.16"/>
    <x v="11"/>
  </r>
  <r>
    <x v="347"/>
    <s v="P1008"/>
    <x v="0"/>
    <x v="0"/>
    <x v="1"/>
    <n v="57"/>
    <n v="28"/>
    <n v="18"/>
    <n v="67"/>
    <n v="0"/>
    <n v="6"/>
    <x v="0"/>
    <n v="27.27"/>
    <n v="41.85"/>
    <x v="11"/>
  </r>
  <r>
    <x v="347"/>
    <s v="P1013"/>
    <x v="2"/>
    <x v="0"/>
    <x v="1"/>
    <n v="111"/>
    <n v="62"/>
    <n v="65"/>
    <n v="108"/>
    <n v="0"/>
    <n v="7"/>
    <x v="0"/>
    <n v="100.88"/>
    <n v="147.32"/>
    <x v="11"/>
  </r>
  <r>
    <x v="347"/>
    <s v="P1052"/>
    <x v="60"/>
    <x v="4"/>
    <x v="1"/>
    <n v="40"/>
    <n v="25"/>
    <n v="10"/>
    <n v="55"/>
    <n v="0"/>
    <n v="2"/>
    <x v="9"/>
    <n v="193.74"/>
    <n v="240.96"/>
    <x v="11"/>
  </r>
  <r>
    <x v="347"/>
    <s v="P1057"/>
    <x v="36"/>
    <x v="4"/>
    <x v="1"/>
    <n v="56"/>
    <n v="5"/>
    <n v="11"/>
    <n v="50"/>
    <n v="0"/>
    <n v="6"/>
    <x v="14"/>
    <n v="183.62"/>
    <n v="280.29000000000002"/>
    <x v="11"/>
  </r>
  <r>
    <x v="347"/>
    <s v="P1063"/>
    <x v="12"/>
    <x v="4"/>
    <x v="1"/>
    <n v="33"/>
    <n v="5"/>
    <n v="16"/>
    <n v="22"/>
    <n v="0"/>
    <n v="9"/>
    <x v="8"/>
    <n v="72.650000000000006"/>
    <n v="102.32"/>
    <x v="11"/>
  </r>
  <r>
    <x v="348"/>
    <s v="P1045"/>
    <x v="15"/>
    <x v="1"/>
    <x v="1"/>
    <n v="487"/>
    <n v="90"/>
    <n v="29"/>
    <n v="548"/>
    <n v="0"/>
    <n v="5"/>
    <x v="13"/>
    <n v="13.91"/>
    <n v="19.41"/>
    <x v="11"/>
  </r>
  <r>
    <x v="348"/>
    <s v="P1062"/>
    <x v="68"/>
    <x v="4"/>
    <x v="0"/>
    <n v="61"/>
    <n v="7"/>
    <n v="10"/>
    <n v="58"/>
    <n v="0"/>
    <n v="6"/>
    <x v="8"/>
    <n v="335.77"/>
    <n v="404.02"/>
    <x v="11"/>
  </r>
  <r>
    <x v="349"/>
    <s v="P1015"/>
    <x v="73"/>
    <x v="0"/>
    <x v="1"/>
    <n v="166"/>
    <n v="80"/>
    <n v="69"/>
    <n v="177"/>
    <n v="0"/>
    <n v="6"/>
    <x v="6"/>
    <n v="87.48"/>
    <n v="117.48"/>
    <x v="11"/>
  </r>
  <r>
    <x v="349"/>
    <s v="P1026"/>
    <x v="14"/>
    <x v="3"/>
    <x v="3"/>
    <n v="205"/>
    <n v="137"/>
    <n v="126"/>
    <n v="216"/>
    <n v="0"/>
    <n v="6"/>
    <x v="7"/>
    <n v="43.67"/>
    <n v="55.33"/>
    <x v="11"/>
  </r>
  <r>
    <x v="349"/>
    <s v="P1040"/>
    <x v="67"/>
    <x v="1"/>
    <x v="3"/>
    <n v="226"/>
    <n v="110"/>
    <n v="178"/>
    <n v="158"/>
    <n v="0"/>
    <n v="2"/>
    <x v="2"/>
    <n v="14.36"/>
    <n v="22.23"/>
    <x v="11"/>
  </r>
  <r>
    <x v="349"/>
    <s v="P1042"/>
    <x v="61"/>
    <x v="1"/>
    <x v="0"/>
    <n v="327"/>
    <n v="170"/>
    <n v="219"/>
    <n v="278"/>
    <n v="0"/>
    <n v="4"/>
    <x v="13"/>
    <n v="14.39"/>
    <n v="19.41"/>
    <x v="11"/>
  </r>
  <r>
    <x v="349"/>
    <s v="P1072"/>
    <x v="71"/>
    <x v="2"/>
    <x v="3"/>
    <n v="213"/>
    <n v="47"/>
    <n v="110"/>
    <n v="150"/>
    <n v="0"/>
    <n v="7"/>
    <x v="3"/>
    <n v="21.5"/>
    <n v="25.26"/>
    <x v="11"/>
  </r>
  <r>
    <x v="350"/>
    <s v="P1029"/>
    <x v="63"/>
    <x v="3"/>
    <x v="1"/>
    <n v="41"/>
    <n v="123"/>
    <n v="93"/>
    <n v="71"/>
    <n v="0"/>
    <n v="3"/>
    <x v="10"/>
    <n v="50.74"/>
    <n v="61.39"/>
    <x v="11"/>
  </r>
  <r>
    <x v="350"/>
    <s v="P1029"/>
    <x v="63"/>
    <x v="3"/>
    <x v="0"/>
    <n v="242"/>
    <n v="115"/>
    <n v="126"/>
    <n v="231"/>
    <n v="0"/>
    <n v="9"/>
    <x v="7"/>
    <n v="67.209999999999994"/>
    <n v="95.21"/>
    <x v="11"/>
  </r>
  <r>
    <x v="350"/>
    <s v="P1059"/>
    <x v="11"/>
    <x v="4"/>
    <x v="0"/>
    <n v="79"/>
    <n v="18"/>
    <n v="11"/>
    <n v="86"/>
    <n v="0"/>
    <n v="5"/>
    <x v="14"/>
    <n v="287.45"/>
    <n v="389.06"/>
    <x v="11"/>
  </r>
  <r>
    <x v="350"/>
    <s v="P1060"/>
    <x v="16"/>
    <x v="4"/>
    <x v="0"/>
    <n v="56"/>
    <n v="4"/>
    <n v="10"/>
    <n v="50"/>
    <n v="0"/>
    <n v="10"/>
    <x v="9"/>
    <n v="286.39999999999998"/>
    <n v="432.38"/>
    <x v="11"/>
  </r>
  <r>
    <x v="350"/>
    <s v="P1064"/>
    <x v="32"/>
    <x v="4"/>
    <x v="1"/>
    <n v="52"/>
    <n v="19"/>
    <n v="8"/>
    <n v="63"/>
    <n v="0"/>
    <n v="10"/>
    <x v="14"/>
    <n v="282.95999999999998"/>
    <n v="414.28"/>
    <x v="11"/>
  </r>
  <r>
    <x v="351"/>
    <s v="P1016"/>
    <x v="35"/>
    <x v="0"/>
    <x v="3"/>
    <n v="115"/>
    <n v="39"/>
    <n v="6"/>
    <n v="148"/>
    <n v="0"/>
    <n v="2"/>
    <x v="1"/>
    <n v="91.51"/>
    <n v="128.37"/>
    <x v="11"/>
  </r>
  <r>
    <x v="351"/>
    <s v="P1024"/>
    <x v="54"/>
    <x v="3"/>
    <x v="1"/>
    <n v="155"/>
    <n v="71"/>
    <n v="129"/>
    <n v="97"/>
    <n v="0"/>
    <n v="12"/>
    <x v="12"/>
    <n v="82.75"/>
    <n v="111.78"/>
    <x v="11"/>
  </r>
  <r>
    <x v="351"/>
    <s v="P1062"/>
    <x v="68"/>
    <x v="4"/>
    <x v="0"/>
    <n v="41"/>
    <n v="18"/>
    <n v="13"/>
    <n v="46"/>
    <n v="0"/>
    <n v="10"/>
    <x v="9"/>
    <n v="277.58999999999997"/>
    <n v="350.92"/>
    <x v="11"/>
  </r>
  <r>
    <x v="351"/>
    <s v="P1063"/>
    <x v="12"/>
    <x v="4"/>
    <x v="3"/>
    <n v="37"/>
    <n v="15"/>
    <n v="13"/>
    <n v="39"/>
    <n v="0"/>
    <n v="4"/>
    <x v="14"/>
    <n v="133.49"/>
    <n v="192.37"/>
    <x v="11"/>
  </r>
  <r>
    <x v="351"/>
    <s v="P1063"/>
    <x v="12"/>
    <x v="4"/>
    <x v="0"/>
    <n v="22"/>
    <n v="15"/>
    <n v="8"/>
    <n v="29"/>
    <n v="0"/>
    <n v="10"/>
    <x v="8"/>
    <n v="314.29000000000002"/>
    <n v="469.43"/>
    <x v="11"/>
  </r>
  <r>
    <x v="352"/>
    <s v="P1004"/>
    <x v="57"/>
    <x v="0"/>
    <x v="3"/>
    <n v="62"/>
    <n v="88"/>
    <n v="16"/>
    <n v="134"/>
    <n v="0"/>
    <n v="9"/>
    <x v="0"/>
    <n v="179.58"/>
    <n v="275.54000000000002"/>
    <x v="11"/>
  </r>
  <r>
    <x v="352"/>
    <s v="P1009"/>
    <x v="1"/>
    <x v="0"/>
    <x v="2"/>
    <n v="124"/>
    <n v="16"/>
    <n v="76"/>
    <n v="64"/>
    <n v="0"/>
    <n v="4"/>
    <x v="0"/>
    <n v="158.22"/>
    <n v="198.23"/>
    <x v="11"/>
  </r>
  <r>
    <x v="352"/>
    <s v="P1019"/>
    <x v="66"/>
    <x v="3"/>
    <x v="3"/>
    <n v="132"/>
    <n v="67"/>
    <n v="73"/>
    <n v="126"/>
    <n v="0"/>
    <n v="14"/>
    <x v="12"/>
    <n v="35.65"/>
    <n v="43.03"/>
    <x v="11"/>
  </r>
  <r>
    <x v="352"/>
    <s v="P1030"/>
    <x v="9"/>
    <x v="3"/>
    <x v="1"/>
    <n v="241"/>
    <n v="133"/>
    <n v="77"/>
    <n v="297"/>
    <n v="0"/>
    <n v="10"/>
    <x v="10"/>
    <n v="8.69"/>
    <n v="12.91"/>
    <x v="11"/>
  </r>
  <r>
    <x v="352"/>
    <s v="P1062"/>
    <x v="68"/>
    <x v="4"/>
    <x v="3"/>
    <n v="63"/>
    <n v="24"/>
    <n v="8"/>
    <n v="79"/>
    <n v="0"/>
    <n v="14"/>
    <x v="8"/>
    <n v="336.23"/>
    <n v="462.75"/>
    <x v="11"/>
  </r>
  <r>
    <x v="352"/>
    <s v="P1062"/>
    <x v="68"/>
    <x v="4"/>
    <x v="3"/>
    <n v="56"/>
    <n v="8"/>
    <n v="17"/>
    <n v="47"/>
    <n v="0"/>
    <n v="13"/>
    <x v="8"/>
    <n v="210.09"/>
    <n v="311.55"/>
    <x v="11"/>
  </r>
  <r>
    <x v="353"/>
    <s v="P1004"/>
    <x v="57"/>
    <x v="0"/>
    <x v="3"/>
    <n v="152"/>
    <n v="48"/>
    <n v="27"/>
    <n v="173"/>
    <n v="0"/>
    <n v="5"/>
    <x v="1"/>
    <n v="67.709999999999994"/>
    <n v="103.56"/>
    <x v="11"/>
  </r>
  <r>
    <x v="353"/>
    <s v="P1008"/>
    <x v="0"/>
    <x v="0"/>
    <x v="2"/>
    <n v="94"/>
    <n v="82"/>
    <n v="13"/>
    <n v="163"/>
    <n v="0"/>
    <n v="8"/>
    <x v="0"/>
    <n v="29.62"/>
    <n v="34.880000000000003"/>
    <x v="11"/>
  </r>
  <r>
    <x v="353"/>
    <s v="P1014"/>
    <x v="28"/>
    <x v="0"/>
    <x v="3"/>
    <n v="33"/>
    <n v="10"/>
    <n v="29"/>
    <n v="14"/>
    <n v="0"/>
    <n v="12"/>
    <x v="6"/>
    <n v="195.04"/>
    <n v="265.43"/>
    <x v="11"/>
  </r>
  <r>
    <x v="353"/>
    <s v="P1023"/>
    <x v="24"/>
    <x v="3"/>
    <x v="0"/>
    <n v="216"/>
    <n v="30"/>
    <n v="127"/>
    <n v="119"/>
    <n v="0"/>
    <n v="5"/>
    <x v="7"/>
    <n v="49.71"/>
    <n v="62"/>
    <x v="11"/>
  </r>
  <r>
    <x v="353"/>
    <s v="P1048"/>
    <x v="74"/>
    <x v="1"/>
    <x v="3"/>
    <n v="445"/>
    <n v="43"/>
    <n v="55"/>
    <n v="433"/>
    <n v="0"/>
    <n v="2"/>
    <x v="2"/>
    <n v="3.15"/>
    <n v="3.95"/>
    <x v="11"/>
  </r>
  <r>
    <x v="353"/>
    <s v="P1054"/>
    <x v="43"/>
    <x v="4"/>
    <x v="2"/>
    <n v="44"/>
    <n v="20"/>
    <n v="14"/>
    <n v="50"/>
    <n v="0"/>
    <n v="7"/>
    <x v="8"/>
    <n v="100.9"/>
    <n v="156.16999999999999"/>
    <x v="11"/>
  </r>
  <r>
    <x v="354"/>
    <s v="P1010"/>
    <x v="47"/>
    <x v="0"/>
    <x v="0"/>
    <n v="170"/>
    <n v="80"/>
    <n v="7"/>
    <n v="243"/>
    <n v="0"/>
    <n v="11"/>
    <x v="6"/>
    <n v="143.21"/>
    <n v="210.99"/>
    <x v="11"/>
  </r>
  <r>
    <x v="354"/>
    <s v="P1057"/>
    <x v="36"/>
    <x v="4"/>
    <x v="1"/>
    <n v="13"/>
    <n v="18"/>
    <n v="8"/>
    <n v="23"/>
    <n v="0"/>
    <n v="12"/>
    <x v="9"/>
    <n v="35.450000000000003"/>
    <n v="49.62"/>
    <x v="11"/>
  </r>
  <r>
    <x v="354"/>
    <s v="P1059"/>
    <x v="11"/>
    <x v="4"/>
    <x v="3"/>
    <n v="77"/>
    <n v="19"/>
    <n v="3"/>
    <n v="93"/>
    <n v="0"/>
    <n v="7"/>
    <x v="14"/>
    <n v="195.02"/>
    <n v="278.85000000000002"/>
    <x v="11"/>
  </r>
  <r>
    <x v="354"/>
    <s v="P1061"/>
    <x v="22"/>
    <x v="4"/>
    <x v="1"/>
    <n v="75"/>
    <n v="18"/>
    <n v="16"/>
    <n v="77"/>
    <n v="0"/>
    <n v="3"/>
    <x v="8"/>
    <n v="211.99"/>
    <n v="280.17"/>
    <x v="11"/>
  </r>
  <r>
    <x v="354"/>
    <s v="P1076"/>
    <x v="7"/>
    <x v="2"/>
    <x v="2"/>
    <n v="215"/>
    <n v="180"/>
    <n v="121"/>
    <n v="274"/>
    <n v="0"/>
    <n v="9"/>
    <x v="5"/>
    <n v="1.55"/>
    <n v="1.84"/>
    <x v="11"/>
  </r>
  <r>
    <x v="355"/>
    <s v="P1050"/>
    <x v="72"/>
    <x v="4"/>
    <x v="3"/>
    <n v="65"/>
    <n v="23"/>
    <n v="3"/>
    <n v="85"/>
    <n v="0"/>
    <n v="9"/>
    <x v="9"/>
    <n v="117.17"/>
    <n v="150.04"/>
    <x v="11"/>
  </r>
  <r>
    <x v="355"/>
    <s v="P1073"/>
    <x v="78"/>
    <x v="2"/>
    <x v="2"/>
    <n v="363"/>
    <n v="71"/>
    <n v="41"/>
    <n v="393"/>
    <n v="0"/>
    <n v="11"/>
    <x v="4"/>
    <n v="15.64"/>
    <n v="22.8"/>
    <x v="11"/>
  </r>
  <r>
    <x v="356"/>
    <s v="P1029"/>
    <x v="63"/>
    <x v="3"/>
    <x v="0"/>
    <n v="120"/>
    <n v="80"/>
    <n v="70"/>
    <n v="130"/>
    <n v="0"/>
    <n v="3"/>
    <x v="7"/>
    <n v="41.13"/>
    <n v="56.23"/>
    <x v="11"/>
  </r>
  <r>
    <x v="356"/>
    <s v="P1049"/>
    <x v="10"/>
    <x v="4"/>
    <x v="3"/>
    <n v="39"/>
    <n v="20"/>
    <n v="5"/>
    <n v="54"/>
    <n v="0"/>
    <n v="12"/>
    <x v="8"/>
    <n v="52.43"/>
    <n v="65.73"/>
    <x v="11"/>
  </r>
  <r>
    <x v="356"/>
    <s v="P1054"/>
    <x v="43"/>
    <x v="4"/>
    <x v="2"/>
    <n v="66"/>
    <n v="14"/>
    <n v="17"/>
    <n v="63"/>
    <n v="0"/>
    <n v="4"/>
    <x v="9"/>
    <n v="88.73"/>
    <n v="123.72"/>
    <x v="11"/>
  </r>
  <r>
    <x v="356"/>
    <s v="P1059"/>
    <x v="11"/>
    <x v="4"/>
    <x v="2"/>
    <n v="68"/>
    <n v="16"/>
    <n v="10"/>
    <n v="74"/>
    <n v="0"/>
    <n v="14"/>
    <x v="8"/>
    <n v="290.66000000000003"/>
    <n v="442.76"/>
    <x v="11"/>
  </r>
  <r>
    <x v="356"/>
    <s v="P1072"/>
    <x v="71"/>
    <x v="2"/>
    <x v="3"/>
    <n v="144"/>
    <n v="196"/>
    <n v="142"/>
    <n v="198"/>
    <n v="0"/>
    <n v="5"/>
    <x v="4"/>
    <n v="24.98"/>
    <n v="37.03"/>
    <x v="11"/>
  </r>
  <r>
    <x v="356"/>
    <s v="P1075"/>
    <x v="44"/>
    <x v="2"/>
    <x v="2"/>
    <n v="170"/>
    <n v="190"/>
    <n v="110"/>
    <n v="250"/>
    <n v="0"/>
    <n v="8"/>
    <x v="3"/>
    <n v="2.5099999999999998"/>
    <n v="3.32"/>
    <x v="11"/>
  </r>
  <r>
    <x v="356"/>
    <s v="P1076"/>
    <x v="7"/>
    <x v="2"/>
    <x v="0"/>
    <n v="239"/>
    <n v="58"/>
    <n v="126"/>
    <n v="171"/>
    <n v="0"/>
    <n v="7"/>
    <x v="4"/>
    <n v="13.41"/>
    <n v="17.2"/>
    <x v="11"/>
  </r>
  <r>
    <x v="357"/>
    <s v="P1015"/>
    <x v="73"/>
    <x v="0"/>
    <x v="2"/>
    <n v="171"/>
    <n v="45"/>
    <n v="34"/>
    <n v="182"/>
    <n v="0"/>
    <n v="9"/>
    <x v="6"/>
    <n v="26.7"/>
    <n v="33.72"/>
    <x v="11"/>
  </r>
  <r>
    <x v="357"/>
    <s v="P1017"/>
    <x v="45"/>
    <x v="3"/>
    <x v="0"/>
    <n v="146"/>
    <n v="38"/>
    <n v="90"/>
    <n v="94"/>
    <n v="0"/>
    <n v="12"/>
    <x v="7"/>
    <n v="9.51"/>
    <n v="13.56"/>
    <x v="11"/>
  </r>
  <r>
    <x v="357"/>
    <s v="P1020"/>
    <x v="23"/>
    <x v="3"/>
    <x v="0"/>
    <n v="74"/>
    <n v="33"/>
    <n v="59"/>
    <n v="48"/>
    <n v="0"/>
    <n v="6"/>
    <x v="12"/>
    <n v="24.97"/>
    <n v="37.71"/>
    <x v="11"/>
  </r>
  <r>
    <x v="357"/>
    <s v="P1038"/>
    <x v="4"/>
    <x v="1"/>
    <x v="3"/>
    <n v="152"/>
    <n v="116"/>
    <n v="178"/>
    <n v="90"/>
    <n v="0"/>
    <n v="1"/>
    <x v="13"/>
    <n v="4.51"/>
    <n v="6.36"/>
    <x v="11"/>
  </r>
  <r>
    <x v="357"/>
    <s v="P1054"/>
    <x v="43"/>
    <x v="4"/>
    <x v="1"/>
    <n v="15"/>
    <n v="12"/>
    <n v="2"/>
    <n v="25"/>
    <n v="0"/>
    <n v="13"/>
    <x v="14"/>
    <n v="143.56"/>
    <n v="187.29"/>
    <x v="11"/>
  </r>
  <r>
    <x v="357"/>
    <s v="P1054"/>
    <x v="43"/>
    <x v="4"/>
    <x v="2"/>
    <n v="20"/>
    <n v="18"/>
    <n v="4"/>
    <n v="34"/>
    <n v="0"/>
    <n v="10"/>
    <x v="8"/>
    <n v="121.87"/>
    <n v="145.29"/>
    <x v="11"/>
  </r>
  <r>
    <x v="357"/>
    <s v="P1054"/>
    <x v="43"/>
    <x v="4"/>
    <x v="2"/>
    <n v="13"/>
    <n v="23"/>
    <n v="7"/>
    <n v="29"/>
    <n v="0"/>
    <n v="14"/>
    <x v="14"/>
    <n v="177.6"/>
    <n v="206.25"/>
    <x v="11"/>
  </r>
  <r>
    <x v="357"/>
    <s v="P1066"/>
    <x v="69"/>
    <x v="2"/>
    <x v="0"/>
    <n v="79"/>
    <n v="214"/>
    <n v="167"/>
    <n v="126"/>
    <n v="0"/>
    <n v="13"/>
    <x v="3"/>
    <n v="4.87"/>
    <n v="7.41"/>
    <x v="11"/>
  </r>
  <r>
    <x v="357"/>
    <s v="P1069"/>
    <x v="17"/>
    <x v="2"/>
    <x v="3"/>
    <n v="314"/>
    <n v="121"/>
    <n v="37"/>
    <n v="398"/>
    <n v="0"/>
    <n v="2"/>
    <x v="4"/>
    <n v="25.66"/>
    <n v="33.76"/>
    <x v="11"/>
  </r>
  <r>
    <x v="357"/>
    <s v="P1075"/>
    <x v="44"/>
    <x v="2"/>
    <x v="3"/>
    <n v="119"/>
    <n v="102"/>
    <n v="69"/>
    <n v="152"/>
    <n v="0"/>
    <n v="6"/>
    <x v="3"/>
    <n v="21.68"/>
    <n v="27.3"/>
    <x v="11"/>
  </r>
  <r>
    <x v="358"/>
    <s v="P1021"/>
    <x v="77"/>
    <x v="3"/>
    <x v="2"/>
    <n v="215"/>
    <n v="25"/>
    <n v="24"/>
    <n v="216"/>
    <n v="0"/>
    <n v="14"/>
    <x v="10"/>
    <n v="69.41"/>
    <n v="101.87"/>
    <x v="11"/>
  </r>
  <r>
    <x v="358"/>
    <s v="P1025"/>
    <x v="20"/>
    <x v="3"/>
    <x v="2"/>
    <n v="300"/>
    <n v="49"/>
    <n v="10"/>
    <n v="339"/>
    <n v="0"/>
    <n v="7"/>
    <x v="12"/>
    <n v="89.01"/>
    <n v="102.65"/>
    <x v="11"/>
  </r>
  <r>
    <x v="358"/>
    <s v="P1037"/>
    <x v="59"/>
    <x v="1"/>
    <x v="0"/>
    <n v="109"/>
    <n v="250"/>
    <n v="68"/>
    <n v="291"/>
    <n v="0"/>
    <n v="1"/>
    <x v="13"/>
    <n v="22.77"/>
    <n v="28.62"/>
    <x v="11"/>
  </r>
  <r>
    <x v="358"/>
    <s v="P1062"/>
    <x v="68"/>
    <x v="4"/>
    <x v="2"/>
    <n v="54"/>
    <n v="23"/>
    <n v="1"/>
    <n v="76"/>
    <n v="0"/>
    <n v="13"/>
    <x v="8"/>
    <n v="200.7"/>
    <n v="299.01"/>
    <x v="11"/>
  </r>
  <r>
    <x v="358"/>
    <s v="P1063"/>
    <x v="12"/>
    <x v="4"/>
    <x v="0"/>
    <n v="38"/>
    <n v="7"/>
    <n v="2"/>
    <n v="43"/>
    <n v="0"/>
    <n v="14"/>
    <x v="8"/>
    <n v="346.37"/>
    <n v="429.6"/>
    <x v="11"/>
  </r>
  <r>
    <x v="358"/>
    <s v="P1071"/>
    <x v="40"/>
    <x v="2"/>
    <x v="0"/>
    <n v="136"/>
    <n v="66"/>
    <n v="95"/>
    <n v="107"/>
    <n v="0"/>
    <n v="6"/>
    <x v="4"/>
    <n v="1.72"/>
    <n v="2.5499999999999998"/>
    <x v="11"/>
  </r>
  <r>
    <x v="359"/>
    <s v="P1003"/>
    <x v="64"/>
    <x v="0"/>
    <x v="2"/>
    <n v="84"/>
    <n v="61"/>
    <n v="80"/>
    <n v="65"/>
    <n v="0"/>
    <n v="10"/>
    <x v="6"/>
    <n v="24.72"/>
    <n v="36.35"/>
    <x v="11"/>
  </r>
  <r>
    <x v="359"/>
    <s v="P1070"/>
    <x v="13"/>
    <x v="2"/>
    <x v="1"/>
    <n v="365"/>
    <n v="30"/>
    <n v="158"/>
    <n v="237"/>
    <n v="0"/>
    <n v="11"/>
    <x v="5"/>
    <n v="7.22"/>
    <n v="8.52"/>
    <x v="11"/>
  </r>
  <r>
    <x v="360"/>
    <s v="P1014"/>
    <x v="28"/>
    <x v="0"/>
    <x v="1"/>
    <n v="50"/>
    <n v="69"/>
    <n v="74"/>
    <n v="45"/>
    <n v="0"/>
    <n v="2"/>
    <x v="0"/>
    <n v="157.52000000000001"/>
    <n v="188.72"/>
    <x v="11"/>
  </r>
  <r>
    <x v="360"/>
    <s v="P1025"/>
    <x v="20"/>
    <x v="3"/>
    <x v="1"/>
    <n v="210"/>
    <n v="96"/>
    <n v="57"/>
    <n v="249"/>
    <n v="0"/>
    <n v="3"/>
    <x v="12"/>
    <n v="65.25"/>
    <n v="91.32"/>
    <x v="11"/>
  </r>
  <r>
    <x v="360"/>
    <s v="P1028"/>
    <x v="29"/>
    <x v="3"/>
    <x v="3"/>
    <n v="90"/>
    <n v="71"/>
    <n v="131"/>
    <n v="30"/>
    <n v="0"/>
    <n v="8"/>
    <x v="12"/>
    <n v="68.45"/>
    <n v="97.88"/>
    <x v="11"/>
  </r>
  <r>
    <x v="360"/>
    <s v="P1037"/>
    <x v="59"/>
    <x v="1"/>
    <x v="2"/>
    <n v="125"/>
    <n v="83"/>
    <n v="41"/>
    <n v="167"/>
    <n v="0"/>
    <n v="5"/>
    <x v="13"/>
    <n v="7.44"/>
    <n v="9.19"/>
    <x v="11"/>
  </r>
  <r>
    <x v="360"/>
    <s v="P1037"/>
    <x v="59"/>
    <x v="1"/>
    <x v="3"/>
    <n v="136"/>
    <n v="66"/>
    <n v="132"/>
    <n v="70"/>
    <n v="0"/>
    <n v="5"/>
    <x v="13"/>
    <n v="19.64"/>
    <n v="25.34"/>
    <x v="11"/>
  </r>
  <r>
    <x v="361"/>
    <s v="P1005"/>
    <x v="62"/>
    <x v="0"/>
    <x v="3"/>
    <n v="133"/>
    <n v="61"/>
    <n v="26"/>
    <n v="168"/>
    <n v="0"/>
    <n v="5"/>
    <x v="0"/>
    <n v="94.67"/>
    <n v="124.62"/>
    <x v="11"/>
  </r>
  <r>
    <x v="361"/>
    <s v="P1007"/>
    <x v="70"/>
    <x v="0"/>
    <x v="3"/>
    <n v="21"/>
    <n v="73"/>
    <n v="39"/>
    <n v="55"/>
    <n v="0"/>
    <n v="8"/>
    <x v="1"/>
    <n v="157.5"/>
    <n v="206.6"/>
    <x v="11"/>
  </r>
  <r>
    <x v="361"/>
    <s v="P1026"/>
    <x v="14"/>
    <x v="3"/>
    <x v="0"/>
    <n v="168"/>
    <n v="61"/>
    <n v="89"/>
    <n v="140"/>
    <n v="0"/>
    <n v="13"/>
    <x v="10"/>
    <n v="72.84"/>
    <n v="94.98"/>
    <x v="11"/>
  </r>
  <r>
    <x v="361"/>
    <s v="P1029"/>
    <x v="63"/>
    <x v="3"/>
    <x v="0"/>
    <n v="283"/>
    <n v="32"/>
    <n v="100"/>
    <n v="215"/>
    <n v="0"/>
    <n v="9"/>
    <x v="7"/>
    <n v="74.13"/>
    <n v="100.38"/>
    <x v="11"/>
  </r>
  <r>
    <x v="361"/>
    <s v="P1036"/>
    <x v="75"/>
    <x v="1"/>
    <x v="0"/>
    <n v="218"/>
    <n v="242"/>
    <n v="89"/>
    <n v="371"/>
    <n v="0"/>
    <n v="1"/>
    <x v="13"/>
    <n v="17.41"/>
    <n v="20.02"/>
    <x v="11"/>
  </r>
  <r>
    <x v="361"/>
    <s v="P1077"/>
    <x v="50"/>
    <x v="2"/>
    <x v="3"/>
    <n v="76"/>
    <n v="175"/>
    <n v="92"/>
    <n v="159"/>
    <n v="0"/>
    <n v="9"/>
    <x v="3"/>
    <n v="11.69"/>
    <n v="13.75"/>
    <x v="11"/>
  </r>
  <r>
    <x v="362"/>
    <s v="P1022"/>
    <x v="53"/>
    <x v="3"/>
    <x v="3"/>
    <n v="108"/>
    <n v="64"/>
    <n v="41"/>
    <n v="131"/>
    <n v="0"/>
    <n v="2"/>
    <x v="10"/>
    <n v="32.549999999999997"/>
    <n v="38.74"/>
    <x v="11"/>
  </r>
  <r>
    <x v="362"/>
    <s v="P1027"/>
    <x v="26"/>
    <x v="3"/>
    <x v="2"/>
    <n v="190"/>
    <n v="33"/>
    <n v="88"/>
    <n v="135"/>
    <n v="0"/>
    <n v="2"/>
    <x v="7"/>
    <n v="14.47"/>
    <n v="17.75"/>
    <x v="11"/>
  </r>
  <r>
    <x v="362"/>
    <s v="P1032"/>
    <x v="58"/>
    <x v="3"/>
    <x v="1"/>
    <n v="71"/>
    <n v="28"/>
    <n v="19"/>
    <n v="80"/>
    <n v="0"/>
    <n v="7"/>
    <x v="7"/>
    <n v="29.76"/>
    <n v="41.38"/>
    <x v="11"/>
  </r>
  <r>
    <x v="362"/>
    <s v="P1034"/>
    <x v="3"/>
    <x v="1"/>
    <x v="2"/>
    <n v="483"/>
    <n v="60"/>
    <n v="101"/>
    <n v="442"/>
    <n v="0"/>
    <n v="1"/>
    <x v="13"/>
    <n v="18.54"/>
    <n v="26.85"/>
    <x v="11"/>
  </r>
  <r>
    <x v="362"/>
    <s v="P1047"/>
    <x v="55"/>
    <x v="1"/>
    <x v="0"/>
    <n v="361"/>
    <n v="124"/>
    <n v="172"/>
    <n v="313"/>
    <n v="0"/>
    <n v="1"/>
    <x v="13"/>
    <n v="6.79"/>
    <n v="8.77"/>
    <x v="11"/>
  </r>
  <r>
    <x v="362"/>
    <s v="P1051"/>
    <x v="31"/>
    <x v="4"/>
    <x v="2"/>
    <n v="15"/>
    <n v="22"/>
    <n v="19"/>
    <n v="18"/>
    <n v="0"/>
    <n v="5"/>
    <x v="8"/>
    <n v="48.91"/>
    <n v="68.55"/>
    <x v="11"/>
  </r>
  <r>
    <x v="362"/>
    <s v="P1056"/>
    <x v="56"/>
    <x v="4"/>
    <x v="1"/>
    <n v="52"/>
    <n v="15"/>
    <n v="7"/>
    <n v="60"/>
    <n v="0"/>
    <n v="2"/>
    <x v="8"/>
    <n v="268.3"/>
    <n v="360.34"/>
    <x v="11"/>
  </r>
  <r>
    <x v="362"/>
    <s v="P1058"/>
    <x v="52"/>
    <x v="4"/>
    <x v="2"/>
    <n v="63"/>
    <n v="11"/>
    <n v="19"/>
    <n v="55"/>
    <n v="0"/>
    <n v="2"/>
    <x v="8"/>
    <n v="231.68"/>
    <n v="321.97000000000003"/>
    <x v="11"/>
  </r>
  <r>
    <x v="362"/>
    <s v="P1060"/>
    <x v="16"/>
    <x v="4"/>
    <x v="3"/>
    <n v="51"/>
    <n v="5"/>
    <n v="5"/>
    <n v="51"/>
    <n v="0"/>
    <n v="6"/>
    <x v="14"/>
    <n v="170.65"/>
    <n v="214.98"/>
    <x v="11"/>
  </r>
  <r>
    <x v="362"/>
    <s v="P1062"/>
    <x v="68"/>
    <x v="4"/>
    <x v="1"/>
    <n v="57"/>
    <n v="13"/>
    <n v="13"/>
    <n v="57"/>
    <n v="0"/>
    <n v="12"/>
    <x v="14"/>
    <n v="33.67"/>
    <n v="38.89"/>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LED Monitor"/>
  </r>
  <r>
    <x v="1"/>
    <s v="Smartphone Stand"/>
  </r>
  <r>
    <x v="2"/>
    <s v="Wi-Fi Router"/>
  </r>
  <r>
    <x v="3"/>
    <s v="Olive Oil 1L"/>
  </r>
  <r>
    <x v="4"/>
    <s v="Chocolate Cookies"/>
  </r>
  <r>
    <x v="5"/>
    <s v="Sticky Notes"/>
  </r>
  <r>
    <x v="6"/>
    <s v="Glue Stick"/>
  </r>
  <r>
    <x v="7"/>
    <s v="Eraser Pack"/>
  </r>
  <r>
    <x v="8"/>
    <s v="Correction Tape"/>
  </r>
  <r>
    <x v="0"/>
    <s v="LED Monitor"/>
  </r>
  <r>
    <x v="9"/>
    <s v="Yoga Leggings"/>
  </r>
  <r>
    <x v="10"/>
    <s v="Office Chair"/>
  </r>
  <r>
    <x v="11"/>
    <s v="Storage Drawer"/>
  </r>
  <r>
    <x v="12"/>
    <s v="Wooden Bench"/>
  </r>
  <r>
    <x v="13"/>
    <s v="Paper Clips Box"/>
  </r>
  <r>
    <x v="14"/>
    <s v="Wool Scarf"/>
  </r>
  <r>
    <x v="15"/>
    <s v="Breakfast Cereal"/>
  </r>
  <r>
    <x v="16"/>
    <s v="Folding Table"/>
  </r>
  <r>
    <x v="17"/>
    <s v="Stapler"/>
  </r>
  <r>
    <x v="18"/>
    <s v="Mechanical Keyboard"/>
  </r>
  <r>
    <x v="19"/>
    <s v="Webcam"/>
  </r>
  <r>
    <x v="20"/>
    <s v="Casual Sneakers"/>
  </r>
  <r>
    <x v="14"/>
    <s v="Wool Scarf"/>
  </r>
  <r>
    <x v="4"/>
    <s v="Chocolate Cookies"/>
  </r>
  <r>
    <x v="21"/>
    <s v="Mineral Water 1.5L"/>
  </r>
  <r>
    <x v="15"/>
    <s v="Breakfast Cereal"/>
  </r>
  <r>
    <x v="22"/>
    <s v="Recliner Chair"/>
  </r>
  <r>
    <x v="2"/>
    <s v="Wi-Fi Router"/>
  </r>
  <r>
    <x v="23"/>
    <s v="Polo Shirt"/>
  </r>
  <r>
    <x v="24"/>
    <s v="Winter Jacket"/>
  </r>
  <r>
    <x v="20"/>
    <s v="Casual Sneakers"/>
  </r>
  <r>
    <x v="14"/>
    <s v="Wool Scarf"/>
  </r>
  <r>
    <x v="3"/>
    <s v="Olive Oil 1L"/>
  </r>
  <r>
    <x v="4"/>
    <s v="Chocolate Cookies"/>
  </r>
  <r>
    <x v="25"/>
    <s v="Ballpoint Pen Pack"/>
  </r>
  <r>
    <x v="26"/>
    <s v="Leather Belt"/>
  </r>
  <r>
    <x v="27"/>
    <s v="Basmati Rice 5kg"/>
  </r>
  <r>
    <x v="15"/>
    <s v="Breakfast Cereal"/>
  </r>
  <r>
    <x v="10"/>
    <s v="Office Chair"/>
  </r>
  <r>
    <x v="28"/>
    <s v="Graphic Tablet"/>
  </r>
  <r>
    <x v="29"/>
    <s v="Ankle Socks"/>
  </r>
  <r>
    <x v="30"/>
    <s v="Tomato Ketchup"/>
  </r>
  <r>
    <x v="31"/>
    <s v="Bookshelf"/>
  </r>
  <r>
    <x v="32"/>
    <s v="Display Shelf"/>
  </r>
  <r>
    <x v="33"/>
    <s v="Whiteboard Marker"/>
  </r>
  <r>
    <x v="6"/>
    <s v="Glue Stick"/>
  </r>
  <r>
    <x v="34"/>
    <s v="Wireless Mouse"/>
  </r>
  <r>
    <x v="1"/>
    <s v="Smartphone Stand"/>
  </r>
  <r>
    <x v="35"/>
    <s v="Mini Projector"/>
  </r>
  <r>
    <x v="10"/>
    <s v="Office Chair"/>
  </r>
  <r>
    <x v="36"/>
    <s v="Bedside Table"/>
  </r>
  <r>
    <x v="8"/>
    <s v="Correction Tape"/>
  </r>
  <r>
    <x v="37"/>
    <s v="Laptop Sleeve"/>
  </r>
  <r>
    <x v="24"/>
    <s v="Winter Jacket"/>
  </r>
  <r>
    <x v="27"/>
    <s v="Basmati Rice 5kg"/>
  </r>
  <r>
    <x v="38"/>
    <s v="Pasta 500g"/>
  </r>
  <r>
    <x v="39"/>
    <s v="Dining Chair"/>
  </r>
  <r>
    <x v="16"/>
    <s v="Folding Table"/>
  </r>
  <r>
    <x v="40"/>
    <s v="Highlighter Set"/>
  </r>
  <r>
    <x v="7"/>
    <s v="Eraser Pack"/>
  </r>
  <r>
    <x v="0"/>
    <s v="LED Monitor"/>
  </r>
  <r>
    <x v="41"/>
    <s v="HDMI Cable"/>
  </r>
  <r>
    <x v="42"/>
    <s v="Green Tea Pack"/>
  </r>
  <r>
    <x v="43"/>
    <s v="Shoe Rack"/>
  </r>
  <r>
    <x v="44"/>
    <s v="Mechanical Pencil"/>
  </r>
  <r>
    <x v="18"/>
    <s v="Mechanical Keyboard"/>
  </r>
  <r>
    <x v="1"/>
    <s v="Smartphone Stand"/>
  </r>
  <r>
    <x v="45"/>
    <s v="Cotton T-Shirt"/>
  </r>
  <r>
    <x v="46"/>
    <s v="Denim Jeans"/>
  </r>
  <r>
    <x v="6"/>
    <s v="Glue Stick"/>
  </r>
  <r>
    <x v="19"/>
    <s v="Webcam"/>
  </r>
  <r>
    <x v="47"/>
    <s v="Power Bank"/>
  </r>
  <r>
    <x v="41"/>
    <s v="HDMI Cable"/>
  </r>
  <r>
    <x v="14"/>
    <s v="Wool Scarf"/>
  </r>
  <r>
    <x v="26"/>
    <s v="Leather Belt"/>
  </r>
  <r>
    <x v="48"/>
    <s v="Orange Juice"/>
  </r>
  <r>
    <x v="49"/>
    <s v="Brown Sugar"/>
  </r>
  <r>
    <x v="31"/>
    <s v="Bookshelf"/>
  </r>
  <r>
    <x v="7"/>
    <s v="Eraser Pack"/>
  </r>
  <r>
    <x v="50"/>
    <s v="Ring Binder"/>
  </r>
  <r>
    <x v="34"/>
    <s v="Wireless Mouse"/>
  </r>
  <r>
    <x v="34"/>
    <s v="Wireless Mouse"/>
  </r>
  <r>
    <x v="20"/>
    <s v="Casual Sneakers"/>
  </r>
  <r>
    <x v="43"/>
    <s v="Shoe Rack"/>
  </r>
  <r>
    <x v="51"/>
    <s v="Wardrobe Cabinet"/>
  </r>
  <r>
    <x v="52"/>
    <s v="Computer Desk"/>
  </r>
  <r>
    <x v="53"/>
    <s v="Formal Trousers"/>
  </r>
  <r>
    <x v="54"/>
    <s v="Sports Cap"/>
  </r>
  <r>
    <x v="29"/>
    <s v="Ankle Socks"/>
  </r>
  <r>
    <x v="42"/>
    <s v="Green Tea Pack"/>
  </r>
  <r>
    <x v="48"/>
    <s v="Orange Juice"/>
  </r>
  <r>
    <x v="55"/>
    <s v="Milk Powder"/>
  </r>
  <r>
    <x v="56"/>
    <s v="TV Stand"/>
  </r>
  <r>
    <x v="16"/>
    <s v="Folding Table"/>
  </r>
  <r>
    <x v="32"/>
    <s v="Display Shelf"/>
  </r>
  <r>
    <x v="25"/>
    <s v="Ballpoint Pen Pack"/>
  </r>
  <r>
    <x v="34"/>
    <s v="Wireless Mouse"/>
  </r>
  <r>
    <x v="57"/>
    <s v="Bluetooth Speaker"/>
  </r>
  <r>
    <x v="0"/>
    <s v="LED Monitor"/>
  </r>
  <r>
    <x v="58"/>
    <s v="Cardigan Sweater"/>
  </r>
  <r>
    <x v="58"/>
    <s v="Cardigan Sweater"/>
  </r>
  <r>
    <x v="27"/>
    <s v="Basmati Rice 5kg"/>
  </r>
  <r>
    <x v="59"/>
    <s v="Whole Wheat Flour"/>
  </r>
  <r>
    <x v="21"/>
    <s v="Mineral Water 1.5L"/>
  </r>
  <r>
    <x v="60"/>
    <s v="Coffee Table"/>
  </r>
  <r>
    <x v="40"/>
    <s v="Highlighter Set"/>
  </r>
  <r>
    <x v="44"/>
    <s v="Mechanical Pencil"/>
  </r>
  <r>
    <x v="57"/>
    <s v="Bluetooth Speaker"/>
  </r>
  <r>
    <x v="2"/>
    <s v="Wi-Fi Router"/>
  </r>
  <r>
    <x v="23"/>
    <s v="Polo Shirt"/>
  </r>
  <r>
    <x v="61"/>
    <s v="Canned Tuna"/>
  </r>
  <r>
    <x v="15"/>
    <s v="Breakfast Cereal"/>
  </r>
  <r>
    <x v="31"/>
    <s v="Bookshelf"/>
  </r>
  <r>
    <x v="50"/>
    <s v="Ring Binder"/>
  </r>
  <r>
    <x v="55"/>
    <s v="Milk Powder"/>
  </r>
  <r>
    <x v="52"/>
    <s v="Computer Desk"/>
  </r>
  <r>
    <x v="22"/>
    <s v="Recliner Chair"/>
  </r>
  <r>
    <x v="27"/>
    <s v="Basmati Rice 5kg"/>
  </r>
  <r>
    <x v="15"/>
    <s v="Breakfast Cereal"/>
  </r>
  <r>
    <x v="10"/>
    <s v="Office Chair"/>
  </r>
  <r>
    <x v="34"/>
    <s v="Wireless Mouse"/>
  </r>
  <r>
    <x v="57"/>
    <s v="Bluetooth Speaker"/>
  </r>
  <r>
    <x v="62"/>
    <s v="Noise Cancelling Headphones"/>
  </r>
  <r>
    <x v="63"/>
    <s v="Summer Dress"/>
  </r>
  <r>
    <x v="43"/>
    <s v="Shoe Rack"/>
  </r>
  <r>
    <x v="50"/>
    <s v="Ring Binder"/>
  </r>
  <r>
    <x v="28"/>
    <s v="Graphic Tablet"/>
  </r>
  <r>
    <x v="53"/>
    <s v="Formal Trousers"/>
  </r>
  <r>
    <x v="44"/>
    <s v="Mechanical Pencil"/>
  </r>
  <r>
    <x v="7"/>
    <s v="Eraser Pack"/>
  </r>
  <r>
    <x v="64"/>
    <s v="USB-C Charger"/>
  </r>
  <r>
    <x v="28"/>
    <s v="Graphic Tablet"/>
  </r>
  <r>
    <x v="43"/>
    <s v="Shoe Rack"/>
  </r>
  <r>
    <x v="16"/>
    <s v="Folding Table"/>
  </r>
  <r>
    <x v="7"/>
    <s v="Eraser Pack"/>
  </r>
  <r>
    <x v="65"/>
    <s v="File Folder Set"/>
  </r>
  <r>
    <x v="66"/>
    <s v="Hooded Sweatshirt"/>
  </r>
  <r>
    <x v="55"/>
    <s v="Milk Powder"/>
  </r>
  <r>
    <x v="10"/>
    <s v="Office Chair"/>
  </r>
  <r>
    <x v="11"/>
    <s v="Storage Drawer"/>
  </r>
  <r>
    <x v="5"/>
    <s v="Sticky Notes"/>
  </r>
  <r>
    <x v="41"/>
    <s v="HDMI Cable"/>
  </r>
  <r>
    <x v="9"/>
    <s v="Yoga Leggings"/>
  </r>
  <r>
    <x v="62"/>
    <s v="Noise Cancelling Headphones"/>
  </r>
  <r>
    <x v="9"/>
    <s v="Yoga Leggings"/>
  </r>
  <r>
    <x v="67"/>
    <s v="Peanut Butter"/>
  </r>
  <r>
    <x v="10"/>
    <s v="Office Chair"/>
  </r>
  <r>
    <x v="11"/>
    <s v="Storage Drawer"/>
  </r>
  <r>
    <x v="68"/>
    <s v="Kitchen Stool"/>
  </r>
  <r>
    <x v="12"/>
    <s v="Wooden Bench"/>
  </r>
  <r>
    <x v="69"/>
    <s v="A4 Notebook"/>
  </r>
  <r>
    <x v="69"/>
    <s v="A4 Notebook"/>
  </r>
  <r>
    <x v="24"/>
    <s v="Winter Jacket"/>
  </r>
  <r>
    <x v="54"/>
    <s v="Sports Cap"/>
  </r>
  <r>
    <x v="12"/>
    <s v="Wooden Bench"/>
  </r>
  <r>
    <x v="32"/>
    <s v="Display Shelf"/>
  </r>
  <r>
    <x v="7"/>
    <s v="Eraser Pack"/>
  </r>
  <r>
    <x v="34"/>
    <s v="Wireless Mouse"/>
  </r>
  <r>
    <x v="18"/>
    <s v="Mechanical Keyboard"/>
  </r>
  <r>
    <x v="62"/>
    <s v="Noise Cancelling Headphones"/>
  </r>
  <r>
    <x v="26"/>
    <s v="Leather Belt"/>
  </r>
  <r>
    <x v="13"/>
    <s v="Paper Clips Box"/>
  </r>
  <r>
    <x v="34"/>
    <s v="Wireless Mouse"/>
  </r>
  <r>
    <x v="54"/>
    <s v="Sports Cap"/>
  </r>
  <r>
    <x v="63"/>
    <s v="Summer Dress"/>
  </r>
  <r>
    <x v="67"/>
    <s v="Peanut Butter"/>
  </r>
  <r>
    <x v="48"/>
    <s v="Orange Juice"/>
  </r>
  <r>
    <x v="17"/>
    <s v="Stapler"/>
  </r>
  <r>
    <x v="23"/>
    <s v="Polo Shirt"/>
  </r>
  <r>
    <x v="63"/>
    <s v="Summer Dress"/>
  </r>
  <r>
    <x v="49"/>
    <s v="Brown Sugar"/>
  </r>
  <r>
    <x v="69"/>
    <s v="A4 Notebook"/>
  </r>
  <r>
    <x v="5"/>
    <s v="Sticky Notes"/>
  </r>
  <r>
    <x v="13"/>
    <s v="Paper Clips Box"/>
  </r>
  <r>
    <x v="44"/>
    <s v="Mechanical Pencil"/>
  </r>
  <r>
    <x v="65"/>
    <s v="File Folder Set"/>
  </r>
  <r>
    <x v="13"/>
    <s v="Paper Clips Box"/>
  </r>
  <r>
    <x v="55"/>
    <s v="Milk Powder"/>
  </r>
  <r>
    <x v="56"/>
    <s v="TV Stand"/>
  </r>
  <r>
    <x v="21"/>
    <s v="Mineral Water 1.5L"/>
  </r>
  <r>
    <x v="48"/>
    <s v="Orange Juice"/>
  </r>
  <r>
    <x v="64"/>
    <s v="USB-C Charger"/>
  </r>
  <r>
    <x v="28"/>
    <s v="Graphic Tablet"/>
  </r>
  <r>
    <x v="46"/>
    <s v="Denim Jeans"/>
  </r>
  <r>
    <x v="42"/>
    <s v="Green Tea Pack"/>
  </r>
  <r>
    <x v="57"/>
    <s v="Bluetooth Speaker"/>
  </r>
  <r>
    <x v="19"/>
    <s v="Webcam"/>
  </r>
  <r>
    <x v="70"/>
    <s v="Portable SSD"/>
  </r>
  <r>
    <x v="1"/>
    <s v="Smartphone Stand"/>
  </r>
  <r>
    <x v="29"/>
    <s v="Ankle Socks"/>
  </r>
  <r>
    <x v="71"/>
    <s v="Desk Organizer"/>
  </r>
  <r>
    <x v="18"/>
    <s v="Mechanical Keyboard"/>
  </r>
  <r>
    <x v="70"/>
    <s v="Portable SSD"/>
  </r>
  <r>
    <x v="72"/>
    <s v="Study Desk"/>
  </r>
  <r>
    <x v="72"/>
    <s v="Study Desk"/>
  </r>
  <r>
    <x v="33"/>
    <s v="Whiteboard Marker"/>
  </r>
  <r>
    <x v="50"/>
    <s v="Ring Binder"/>
  </r>
  <r>
    <x v="50"/>
    <s v="Ring Binder"/>
  </r>
  <r>
    <x v="1"/>
    <s v="Smartphone Stand"/>
  </r>
  <r>
    <x v="30"/>
    <s v="Tomato Ketchup"/>
  </r>
  <r>
    <x v="15"/>
    <s v="Breakfast Cereal"/>
  </r>
  <r>
    <x v="68"/>
    <s v="Kitchen Stool"/>
  </r>
  <r>
    <x v="69"/>
    <s v="A4 Notebook"/>
  </r>
  <r>
    <x v="50"/>
    <s v="Ring Binder"/>
  </r>
  <r>
    <x v="0"/>
    <s v="LED Monitor"/>
  </r>
  <r>
    <x v="41"/>
    <s v="HDMI Cable"/>
  </r>
  <r>
    <x v="27"/>
    <s v="Basmati Rice 5kg"/>
  </r>
  <r>
    <x v="48"/>
    <s v="Orange Juice"/>
  </r>
  <r>
    <x v="31"/>
    <s v="Bookshelf"/>
  </r>
  <r>
    <x v="71"/>
    <s v="Desk Organizer"/>
  </r>
  <r>
    <x v="47"/>
    <s v="Power Bank"/>
  </r>
  <r>
    <x v="23"/>
    <s v="Polo Shirt"/>
  </r>
  <r>
    <x v="53"/>
    <s v="Formal Trousers"/>
  </r>
  <r>
    <x v="67"/>
    <s v="Peanut Butter"/>
  </r>
  <r>
    <x v="49"/>
    <s v="Brown Sugar"/>
  </r>
  <r>
    <x v="60"/>
    <s v="Coffee Table"/>
  </r>
  <r>
    <x v="34"/>
    <s v="Wireless Mouse"/>
  </r>
  <r>
    <x v="18"/>
    <s v="Mechanical Keyboard"/>
  </r>
  <r>
    <x v="37"/>
    <s v="Laptop Sleeve"/>
  </r>
  <r>
    <x v="28"/>
    <s v="Graphic Tablet"/>
  </r>
  <r>
    <x v="46"/>
    <s v="Denim Jeans"/>
  </r>
  <r>
    <x v="24"/>
    <s v="Winter Jacket"/>
  </r>
  <r>
    <x v="9"/>
    <s v="Yoga Leggings"/>
  </r>
  <r>
    <x v="42"/>
    <s v="Green Tea Pack"/>
  </r>
  <r>
    <x v="30"/>
    <s v="Tomato Ketchup"/>
  </r>
  <r>
    <x v="55"/>
    <s v="Milk Powder"/>
  </r>
  <r>
    <x v="55"/>
    <s v="Milk Powder"/>
  </r>
  <r>
    <x v="43"/>
    <s v="Shoe Rack"/>
  </r>
  <r>
    <x v="11"/>
    <s v="Storage Drawer"/>
  </r>
  <r>
    <x v="70"/>
    <s v="Portable SSD"/>
  </r>
  <r>
    <x v="1"/>
    <s v="Smartphone Stand"/>
  </r>
  <r>
    <x v="2"/>
    <s v="Wi-Fi Router"/>
  </r>
  <r>
    <x v="68"/>
    <s v="Kitchen Stool"/>
  </r>
  <r>
    <x v="33"/>
    <s v="Whiteboard Marker"/>
  </r>
  <r>
    <x v="50"/>
    <s v="Ring Binder"/>
  </r>
  <r>
    <x v="8"/>
    <s v="Correction Tape"/>
  </r>
  <r>
    <x v="73"/>
    <s v="Fitness Tracker"/>
  </r>
  <r>
    <x v="59"/>
    <s v="Whole Wheat Flour"/>
  </r>
  <r>
    <x v="56"/>
    <s v="TV Stand"/>
  </r>
  <r>
    <x v="11"/>
    <s v="Storage Drawer"/>
  </r>
  <r>
    <x v="12"/>
    <s v="Wooden Bench"/>
  </r>
  <r>
    <x v="33"/>
    <s v="Whiteboard Marker"/>
  </r>
  <r>
    <x v="33"/>
    <s v="Whiteboard Marker"/>
  </r>
  <r>
    <x v="57"/>
    <s v="Bluetooth Speaker"/>
  </r>
  <r>
    <x v="73"/>
    <s v="Fitness Tracker"/>
  </r>
  <r>
    <x v="67"/>
    <s v="Peanut Butter"/>
  </r>
  <r>
    <x v="60"/>
    <s v="Coffee Table"/>
  </r>
  <r>
    <x v="36"/>
    <s v="Bedside Table"/>
  </r>
  <r>
    <x v="11"/>
    <s v="Storage Drawer"/>
  </r>
  <r>
    <x v="22"/>
    <s v="Recliner Chair"/>
  </r>
  <r>
    <x v="19"/>
    <s v="Webcam"/>
  </r>
  <r>
    <x v="52"/>
    <s v="Computer Desk"/>
  </r>
  <r>
    <x v="70"/>
    <s v="Portable SSD"/>
  </r>
  <r>
    <x v="45"/>
    <s v="Cotton T-Shirt"/>
  </r>
  <r>
    <x v="58"/>
    <s v="Cardigan Sweater"/>
  </r>
  <r>
    <x v="74"/>
    <s v="Sea Salt"/>
  </r>
  <r>
    <x v="11"/>
    <s v="Storage Drawer"/>
  </r>
  <r>
    <x v="50"/>
    <s v="Ring Binder"/>
  </r>
  <r>
    <x v="46"/>
    <s v="Denim Jeans"/>
  </r>
  <r>
    <x v="15"/>
    <s v="Breakfast Cereal"/>
  </r>
  <r>
    <x v="68"/>
    <s v="Kitchen Stool"/>
  </r>
  <r>
    <x v="34"/>
    <s v="Wireless Mouse"/>
  </r>
  <r>
    <x v="58"/>
    <s v="Cardigan Sweater"/>
  </r>
  <r>
    <x v="27"/>
    <s v="Basmati Rice 5kg"/>
  </r>
  <r>
    <x v="75"/>
    <s v="Instant Coffee"/>
  </r>
  <r>
    <x v="39"/>
    <s v="Dining Chair"/>
  </r>
  <r>
    <x v="22"/>
    <s v="Recliner Chair"/>
  </r>
  <r>
    <x v="69"/>
    <s v="A4 Notebook"/>
  </r>
  <r>
    <x v="18"/>
    <s v="Mechanical Keyboard"/>
  </r>
  <r>
    <x v="62"/>
    <s v="Noise Cancelling Headphones"/>
  </r>
  <r>
    <x v="24"/>
    <s v="Winter Jacket"/>
  </r>
  <r>
    <x v="76"/>
    <s v="Raincoat"/>
  </r>
  <r>
    <x v="42"/>
    <s v="Green Tea Pack"/>
  </r>
  <r>
    <x v="43"/>
    <s v="Shoe Rack"/>
  </r>
  <r>
    <x v="12"/>
    <s v="Wooden Bench"/>
  </r>
  <r>
    <x v="17"/>
    <s v="Stapler"/>
  </r>
  <r>
    <x v="34"/>
    <s v="Wireless Mouse"/>
  </r>
  <r>
    <x v="1"/>
    <s v="Smartphone Stand"/>
  </r>
  <r>
    <x v="14"/>
    <s v="Wool Scarf"/>
  </r>
  <r>
    <x v="34"/>
    <s v="Wireless Mouse"/>
  </r>
  <r>
    <x v="54"/>
    <s v="Sports Cap"/>
  </r>
  <r>
    <x v="27"/>
    <s v="Basmati Rice 5kg"/>
  </r>
  <r>
    <x v="68"/>
    <s v="Kitchen Stool"/>
  </r>
  <r>
    <x v="57"/>
    <s v="Bluetooth Speaker"/>
  </r>
  <r>
    <x v="70"/>
    <s v="Portable SSD"/>
  </r>
  <r>
    <x v="17"/>
    <s v="Stapler"/>
  </r>
  <r>
    <x v="53"/>
    <s v="Formal Trousers"/>
  </r>
  <r>
    <x v="53"/>
    <s v="Formal Trousers"/>
  </r>
  <r>
    <x v="55"/>
    <s v="Milk Powder"/>
  </r>
  <r>
    <x v="31"/>
    <s v="Bookshelf"/>
  </r>
  <r>
    <x v="60"/>
    <s v="Coffee Table"/>
  </r>
  <r>
    <x v="52"/>
    <s v="Computer Desk"/>
  </r>
  <r>
    <x v="11"/>
    <s v="Storage Drawer"/>
  </r>
  <r>
    <x v="33"/>
    <s v="Whiteboard Marker"/>
  </r>
  <r>
    <x v="66"/>
    <s v="Hooded Sweatshirt"/>
  </r>
  <r>
    <x v="72"/>
    <s v="Study Desk"/>
  </r>
  <r>
    <x v="36"/>
    <s v="Bedside Table"/>
  </r>
  <r>
    <x v="13"/>
    <s v="Paper Clips Box"/>
  </r>
  <r>
    <x v="47"/>
    <s v="Power Bank"/>
  </r>
  <r>
    <x v="28"/>
    <s v="Graphic Tablet"/>
  </r>
  <r>
    <x v="24"/>
    <s v="Winter Jacket"/>
  </r>
  <r>
    <x v="76"/>
    <s v="Raincoat"/>
  </r>
  <r>
    <x v="67"/>
    <s v="Peanut Butter"/>
  </r>
  <r>
    <x v="56"/>
    <s v="TV Stand"/>
  </r>
  <r>
    <x v="25"/>
    <s v="Ballpoint Pen Pack"/>
  </r>
  <r>
    <x v="65"/>
    <s v="File Folder Set"/>
  </r>
  <r>
    <x v="28"/>
    <s v="Graphic Tablet"/>
  </r>
  <r>
    <x v="73"/>
    <s v="Fitness Tracker"/>
  </r>
  <r>
    <x v="46"/>
    <s v="Denim Jeans"/>
  </r>
  <r>
    <x v="26"/>
    <s v="Leather Belt"/>
  </r>
  <r>
    <x v="61"/>
    <s v="Canned Tuna"/>
  </r>
  <r>
    <x v="74"/>
    <s v="Sea Salt"/>
  </r>
  <r>
    <x v="16"/>
    <s v="Folding Table"/>
  </r>
  <r>
    <x v="5"/>
    <s v="Sticky Notes"/>
  </r>
  <r>
    <x v="8"/>
    <s v="Correction Tape"/>
  </r>
  <r>
    <x v="73"/>
    <s v="Fitness Tracker"/>
  </r>
  <r>
    <x v="77"/>
    <s v="Running Shoes"/>
  </r>
  <r>
    <x v="14"/>
    <s v="Wool Scarf"/>
  </r>
  <r>
    <x v="36"/>
    <s v="Bedside Table"/>
  </r>
  <r>
    <x v="13"/>
    <s v="Paper Clips Box"/>
  </r>
  <r>
    <x v="71"/>
    <s v="Desk Organizer"/>
  </r>
  <r>
    <x v="3"/>
    <s v="Olive Oil 1L"/>
  </r>
  <r>
    <x v="72"/>
    <s v="Study Desk"/>
  </r>
  <r>
    <x v="25"/>
    <s v="Ballpoint Pen Pack"/>
  </r>
  <r>
    <x v="34"/>
    <s v="Wireless Mouse"/>
  </r>
  <r>
    <x v="76"/>
    <s v="Raincoat"/>
  </r>
  <r>
    <x v="67"/>
    <s v="Peanut Butter"/>
  </r>
  <r>
    <x v="21"/>
    <s v="Mineral Water 1.5L"/>
  </r>
  <r>
    <x v="48"/>
    <s v="Orange Juice"/>
  </r>
  <r>
    <x v="15"/>
    <s v="Breakfast Cereal"/>
  </r>
  <r>
    <x v="39"/>
    <s v="Dining Chair"/>
  </r>
  <r>
    <x v="13"/>
    <s v="Paper Clips Box"/>
  </r>
  <r>
    <x v="7"/>
    <s v="Eraser Pack"/>
  </r>
  <r>
    <x v="65"/>
    <s v="File Folder Set"/>
  </r>
  <r>
    <x v="64"/>
    <s v="USB-C Charger"/>
  </r>
  <r>
    <x v="2"/>
    <s v="Wi-Fi Router"/>
  </r>
  <r>
    <x v="28"/>
    <s v="Graphic Tablet"/>
  </r>
  <r>
    <x v="45"/>
    <s v="Cotton T-Shirt"/>
  </r>
  <r>
    <x v="9"/>
    <s v="Yoga Leggings"/>
  </r>
  <r>
    <x v="55"/>
    <s v="Milk Powder"/>
  </r>
  <r>
    <x v="44"/>
    <s v="Mechanical Pencil"/>
  </r>
  <r>
    <x v="47"/>
    <s v="Power Bank"/>
  </r>
  <r>
    <x v="23"/>
    <s v="Polo Shirt"/>
  </r>
  <r>
    <x v="59"/>
    <s v="Whole Wheat Flour"/>
  </r>
  <r>
    <x v="30"/>
    <s v="Tomato Ketchup"/>
  </r>
  <r>
    <x v="11"/>
    <s v="Storage Drawer"/>
  </r>
  <r>
    <x v="73"/>
    <s v="Fitness Tracker"/>
  </r>
  <r>
    <x v="66"/>
    <s v="Hooded Sweatshirt"/>
  </r>
  <r>
    <x v="77"/>
    <s v="Running Shoes"/>
  </r>
  <r>
    <x v="13"/>
    <s v="Paper Clips Box"/>
  </r>
  <r>
    <x v="44"/>
    <s v="Mechanical Pencil"/>
  </r>
  <r>
    <x v="62"/>
    <s v="Noise Cancelling Headphones"/>
  </r>
  <r>
    <x v="27"/>
    <s v="Basmati Rice 5kg"/>
  </r>
  <r>
    <x v="59"/>
    <s v="Whole Wheat Flour"/>
  </r>
  <r>
    <x v="4"/>
    <s v="Chocolate Cookies"/>
  </r>
  <r>
    <x v="39"/>
    <s v="Dining Chair"/>
  </r>
  <r>
    <x v="40"/>
    <s v="Highlighter Set"/>
  </r>
  <r>
    <x v="6"/>
    <s v="Glue Stick"/>
  </r>
  <r>
    <x v="45"/>
    <s v="Cotton T-Shirt"/>
  </r>
  <r>
    <x v="54"/>
    <s v="Sports Cap"/>
  </r>
  <r>
    <x v="54"/>
    <s v="Sports Cap"/>
  </r>
  <r>
    <x v="14"/>
    <s v="Wool Scarf"/>
  </r>
  <r>
    <x v="61"/>
    <s v="Canned Tuna"/>
  </r>
  <r>
    <x v="15"/>
    <s v="Breakfast Cereal"/>
  </r>
  <r>
    <x v="69"/>
    <s v="A4 Notebook"/>
  </r>
  <r>
    <x v="71"/>
    <s v="Desk Organizer"/>
  </r>
  <r>
    <x v="78"/>
    <s v="Printer Paper Ream"/>
  </r>
  <r>
    <x v="2"/>
    <s v="Wi-Fi Router"/>
  </r>
  <r>
    <x v="30"/>
    <s v="Tomato Ketchup"/>
  </r>
  <r>
    <x v="72"/>
    <s v="Study Desk"/>
  </r>
  <r>
    <x v="66"/>
    <s v="Hooded Sweatshirt"/>
  </r>
  <r>
    <x v="26"/>
    <s v="Leather Belt"/>
  </r>
  <r>
    <x v="42"/>
    <s v="Green Tea Pack"/>
  </r>
  <r>
    <x v="7"/>
    <s v="Eraser Pack"/>
  </r>
  <r>
    <x v="20"/>
    <s v="Casual Sneakers"/>
  </r>
  <r>
    <x v="26"/>
    <s v="Leather Belt"/>
  </r>
  <r>
    <x v="61"/>
    <s v="Canned Tuna"/>
  </r>
  <r>
    <x v="55"/>
    <s v="Milk Powder"/>
  </r>
  <r>
    <x v="31"/>
    <s v="Bookshelf"/>
  </r>
  <r>
    <x v="39"/>
    <s v="Dining Chair"/>
  </r>
  <r>
    <x v="71"/>
    <s v="Desk Organizer"/>
  </r>
  <r>
    <x v="45"/>
    <s v="Cotton T-Shirt"/>
  </r>
  <r>
    <x v="49"/>
    <s v="Brown Sugar"/>
  </r>
  <r>
    <x v="65"/>
    <s v="File Folder Set"/>
  </r>
  <r>
    <x v="46"/>
    <s v="Denim Jeans"/>
  </r>
  <r>
    <x v="54"/>
    <s v="Sports Cap"/>
  </r>
  <r>
    <x v="63"/>
    <s v="Summer Dress"/>
  </r>
  <r>
    <x v="42"/>
    <s v="Green Tea Pack"/>
  </r>
  <r>
    <x v="51"/>
    <s v="Wardrobe Cabinet"/>
  </r>
  <r>
    <x v="13"/>
    <s v="Paper Clips Box"/>
  </r>
  <r>
    <x v="44"/>
    <s v="Mechanical Pencil"/>
  </r>
  <r>
    <x v="62"/>
    <s v="Noise Cancelling Headphones"/>
  </r>
  <r>
    <x v="46"/>
    <s v="Denim Jeans"/>
  </r>
  <r>
    <x v="0"/>
    <s v="LED Monitor"/>
  </r>
  <r>
    <x v="77"/>
    <s v="Running Shoes"/>
  </r>
  <r>
    <x v="14"/>
    <s v="Wool Scarf"/>
  </r>
  <r>
    <x v="32"/>
    <s v="Display Shelf"/>
  </r>
  <r>
    <x v="78"/>
    <s v="Printer Paper Ream"/>
  </r>
  <r>
    <x v="79"/>
    <s v="Scissors"/>
  </r>
  <r>
    <x v="24"/>
    <s v="Winter Jacket"/>
  </r>
  <r>
    <x v="42"/>
    <s v="Green Tea Pack"/>
  </r>
  <r>
    <x v="56"/>
    <s v="TV Stand"/>
  </r>
  <r>
    <x v="25"/>
    <s v="Ballpoint Pen Pack"/>
  </r>
  <r>
    <x v="72"/>
    <s v="Study Desk"/>
  </r>
  <r>
    <x v="8"/>
    <s v="Correction Tape"/>
  </r>
  <r>
    <x v="57"/>
    <s v="Bluetooth Speaker"/>
  </r>
  <r>
    <x v="37"/>
    <s v="Laptop Sleeve"/>
  </r>
  <r>
    <x v="14"/>
    <s v="Wool Scarf"/>
  </r>
  <r>
    <x v="29"/>
    <s v="Ankle Socks"/>
  </r>
  <r>
    <x v="32"/>
    <s v="Display Shelf"/>
  </r>
  <r>
    <x v="5"/>
    <s v="Sticky Notes"/>
  </r>
  <r>
    <x v="33"/>
    <s v="Whiteboard Marker"/>
  </r>
  <r>
    <x v="18"/>
    <s v="Mechanical Keyboard"/>
  </r>
  <r>
    <x v="27"/>
    <s v="Basmati Rice 5kg"/>
  </r>
  <r>
    <x v="75"/>
    <s v="Instant Coffee"/>
  </r>
  <r>
    <x v="55"/>
    <s v="Milk Powder"/>
  </r>
  <r>
    <x v="52"/>
    <s v="Computer Desk"/>
  </r>
  <r>
    <x v="6"/>
    <s v="Glue Stick"/>
  </r>
  <r>
    <x v="70"/>
    <s v="Portable SSD"/>
  </r>
  <r>
    <x v="38"/>
    <s v="Pasta 500g"/>
  </r>
  <r>
    <x v="34"/>
    <s v="Wireless Mouse"/>
  </r>
  <r>
    <x v="54"/>
    <s v="Sports Cap"/>
  </r>
  <r>
    <x v="67"/>
    <s v="Peanut Butter"/>
  </r>
  <r>
    <x v="10"/>
    <s v="Office Chair"/>
  </r>
  <r>
    <x v="72"/>
    <s v="Study Desk"/>
  </r>
  <r>
    <x v="6"/>
    <s v="Glue Stick"/>
  </r>
  <r>
    <x v="42"/>
    <s v="Green Tea Pack"/>
  </r>
  <r>
    <x v="25"/>
    <s v="Ballpoint Pen Pack"/>
  </r>
  <r>
    <x v="47"/>
    <s v="Power Bank"/>
  </r>
  <r>
    <x v="76"/>
    <s v="Raincoat"/>
  </r>
  <r>
    <x v="30"/>
    <s v="Tomato Ketchup"/>
  </r>
  <r>
    <x v="39"/>
    <s v="Dining Chair"/>
  </r>
  <r>
    <x v="77"/>
    <s v="Running Shoes"/>
  </r>
  <r>
    <x v="3"/>
    <s v="Olive Oil 1L"/>
  </r>
  <r>
    <x v="10"/>
    <s v="Office Chair"/>
  </r>
  <r>
    <x v="43"/>
    <s v="Shoe Rack"/>
  </r>
  <r>
    <x v="5"/>
    <s v="Sticky Notes"/>
  </r>
  <r>
    <x v="65"/>
    <s v="File Folder Set"/>
  </r>
  <r>
    <x v="79"/>
    <s v="Scissors"/>
  </r>
  <r>
    <x v="53"/>
    <s v="Formal Trousers"/>
  </r>
  <r>
    <x v="20"/>
    <s v="Casual Sneakers"/>
  </r>
  <r>
    <x v="3"/>
    <s v="Olive Oil 1L"/>
  </r>
  <r>
    <x v="22"/>
    <s v="Recliner Chair"/>
  </r>
  <r>
    <x v="44"/>
    <s v="Mechanical Pencil"/>
  </r>
  <r>
    <x v="22"/>
    <s v="Recliner Chair"/>
  </r>
  <r>
    <x v="32"/>
    <s v="Display Shelf"/>
  </r>
  <r>
    <x v="47"/>
    <s v="Power Bank"/>
  </r>
  <r>
    <x v="73"/>
    <s v="Fitness Tracker"/>
  </r>
  <r>
    <x v="23"/>
    <s v="Polo Shirt"/>
  </r>
  <r>
    <x v="4"/>
    <s v="Chocolate Cookies"/>
  </r>
  <r>
    <x v="48"/>
    <s v="Orange Juice"/>
  </r>
  <r>
    <x v="32"/>
    <s v="Display Shelf"/>
  </r>
  <r>
    <x v="69"/>
    <s v="A4 Notebook"/>
  </r>
  <r>
    <x v="6"/>
    <s v="Glue Stick"/>
  </r>
  <r>
    <x v="27"/>
    <s v="Basmati Rice 5kg"/>
  </r>
  <r>
    <x v="75"/>
    <s v="Instant Coffee"/>
  </r>
  <r>
    <x v="28"/>
    <s v="Graphic Tablet"/>
  </r>
  <r>
    <x v="54"/>
    <s v="Sports Cap"/>
  </r>
  <r>
    <x v="29"/>
    <s v="Ankle Socks"/>
  </r>
  <r>
    <x v="72"/>
    <s v="Study Desk"/>
  </r>
  <r>
    <x v="31"/>
    <s v="Bookshelf"/>
  </r>
  <r>
    <x v="13"/>
    <s v="Paper Clips Box"/>
  </r>
  <r>
    <x v="20"/>
    <s v="Casual Sneakers"/>
  </r>
  <r>
    <x v="14"/>
    <s v="Wool Scarf"/>
  </r>
  <r>
    <x v="61"/>
    <s v="Canned Tuna"/>
  </r>
  <r>
    <x v="36"/>
    <s v="Bedside Table"/>
  </r>
  <r>
    <x v="18"/>
    <s v="Mechanical Keyboard"/>
  </r>
  <r>
    <x v="76"/>
    <s v="Raincoat"/>
  </r>
  <r>
    <x v="49"/>
    <s v="Brown Sugar"/>
  </r>
  <r>
    <x v="2"/>
    <s v="Wi-Fi Router"/>
  </r>
  <r>
    <x v="23"/>
    <s v="Polo Shirt"/>
  </r>
  <r>
    <x v="10"/>
    <s v="Office Chair"/>
  </r>
  <r>
    <x v="31"/>
    <s v="Bookshelf"/>
  </r>
  <r>
    <x v="16"/>
    <s v="Folding Table"/>
  </r>
  <r>
    <x v="6"/>
    <s v="Glue Stick"/>
  </r>
  <r>
    <x v="62"/>
    <s v="Noise Cancelling Headphones"/>
  </r>
  <r>
    <x v="73"/>
    <s v="Fitness Tracker"/>
  </r>
  <r>
    <x v="4"/>
    <s v="Chocolate Cookies"/>
  </r>
  <r>
    <x v="4"/>
    <s v="Chocolate Cookies"/>
  </r>
  <r>
    <x v="49"/>
    <s v="Brown Sugar"/>
  </r>
  <r>
    <x v="31"/>
    <s v="Bookshelf"/>
  </r>
  <r>
    <x v="33"/>
    <s v="Whiteboard Marker"/>
  </r>
  <r>
    <x v="26"/>
    <s v="Leather Belt"/>
  </r>
  <r>
    <x v="34"/>
    <s v="Wireless Mouse"/>
  </r>
  <r>
    <x v="57"/>
    <s v="Bluetooth Speaker"/>
  </r>
  <r>
    <x v="41"/>
    <s v="HDMI Cable"/>
  </r>
  <r>
    <x v="46"/>
    <s v="Denim Jeans"/>
  </r>
  <r>
    <x v="38"/>
    <s v="Pasta 500g"/>
  </r>
  <r>
    <x v="21"/>
    <s v="Mineral Water 1.5L"/>
  </r>
  <r>
    <x v="72"/>
    <s v="Study Desk"/>
  </r>
  <r>
    <x v="31"/>
    <s v="Bookshelf"/>
  </r>
  <r>
    <x v="39"/>
    <s v="Dining Chair"/>
  </r>
  <r>
    <x v="14"/>
    <s v="Wool Scarf"/>
  </r>
  <r>
    <x v="59"/>
    <s v="Whole Wheat Flour"/>
  </r>
  <r>
    <x v="48"/>
    <s v="Orange Juice"/>
  </r>
  <r>
    <x v="60"/>
    <s v="Coffee Table"/>
  </r>
  <r>
    <x v="78"/>
    <s v="Printer Paper Ream"/>
  </r>
  <r>
    <x v="37"/>
    <s v="Laptop Sleeve"/>
  </r>
  <r>
    <x v="36"/>
    <s v="Bedside Table"/>
  </r>
  <r>
    <x v="68"/>
    <s v="Kitchen Stool"/>
  </r>
  <r>
    <x v="18"/>
    <s v="Mechanical Keyboard"/>
  </r>
  <r>
    <x v="2"/>
    <s v="Wi-Fi Router"/>
  </r>
  <r>
    <x v="14"/>
    <s v="Wool Scarf"/>
  </r>
  <r>
    <x v="56"/>
    <s v="TV Stand"/>
  </r>
  <r>
    <x v="68"/>
    <s v="Kitchen Stool"/>
  </r>
  <r>
    <x v="25"/>
    <s v="Ballpoint Pen Pack"/>
  </r>
  <r>
    <x v="69"/>
    <s v="A4 Notebook"/>
  </r>
  <r>
    <x v="6"/>
    <s v="Glue Stick"/>
  </r>
  <r>
    <x v="18"/>
    <s v="Mechanical Keyboard"/>
  </r>
  <r>
    <x v="19"/>
    <s v="Webcam"/>
  </r>
  <r>
    <x v="28"/>
    <s v="Graphic Tablet"/>
  </r>
  <r>
    <x v="35"/>
    <s v="Mini Projector"/>
  </r>
  <r>
    <x v="30"/>
    <s v="Tomato Ketchup"/>
  </r>
  <r>
    <x v="56"/>
    <s v="TV Stand"/>
  </r>
  <r>
    <x v="5"/>
    <s v="Sticky Notes"/>
  </r>
  <r>
    <x v="44"/>
    <s v="Mechanical Pencil"/>
  </r>
  <r>
    <x v="1"/>
    <s v="Smartphone Stand"/>
  </r>
  <r>
    <x v="58"/>
    <s v="Cardigan Sweater"/>
  </r>
  <r>
    <x v="30"/>
    <s v="Tomato Ketchup"/>
  </r>
  <r>
    <x v="6"/>
    <s v="Glue Stick"/>
  </r>
  <r>
    <x v="62"/>
    <s v="Noise Cancelling Headphones"/>
  </r>
  <r>
    <x v="23"/>
    <s v="Polo Shirt"/>
  </r>
  <r>
    <x v="4"/>
    <s v="Chocolate Cookies"/>
  </r>
  <r>
    <x v="61"/>
    <s v="Canned Tuna"/>
  </r>
  <r>
    <x v="49"/>
    <s v="Brown Sugar"/>
  </r>
  <r>
    <x v="74"/>
    <s v="Sea Salt"/>
  </r>
  <r>
    <x v="56"/>
    <s v="TV Stand"/>
  </r>
  <r>
    <x v="7"/>
    <s v="Eraser Pack"/>
  </r>
  <r>
    <x v="1"/>
    <s v="Smartphone Stand"/>
  </r>
  <r>
    <x v="66"/>
    <s v="Hooded Sweatshirt"/>
  </r>
  <r>
    <x v="23"/>
    <s v="Polo Shirt"/>
  </r>
  <r>
    <x v="53"/>
    <s v="Formal Trousers"/>
  </r>
  <r>
    <x v="24"/>
    <s v="Winter Jacket"/>
  </r>
  <r>
    <x v="58"/>
    <s v="Cardigan Sweater"/>
  </r>
  <r>
    <x v="27"/>
    <s v="Basmati Rice 5kg"/>
  </r>
  <r>
    <x v="42"/>
    <s v="Green Tea Pack"/>
  </r>
  <r>
    <x v="49"/>
    <s v="Brown Sugar"/>
  </r>
  <r>
    <x v="55"/>
    <s v="Milk Powder"/>
  </r>
  <r>
    <x v="32"/>
    <s v="Display Shelf"/>
  </r>
  <r>
    <x v="73"/>
    <s v="Fitness Tracker"/>
  </r>
  <r>
    <x v="9"/>
    <s v="Yoga Leggings"/>
  </r>
  <r>
    <x v="9"/>
    <s v="Yoga Leggings"/>
  </r>
  <r>
    <x v="15"/>
    <s v="Breakfast Cereal"/>
  </r>
  <r>
    <x v="7"/>
    <s v="Eraser Pack"/>
  </r>
  <r>
    <x v="63"/>
    <s v="Summer Dress"/>
  </r>
  <r>
    <x v="42"/>
    <s v="Green Tea Pack"/>
  </r>
  <r>
    <x v="4"/>
    <s v="Chocolate Cookies"/>
  </r>
  <r>
    <x v="30"/>
    <s v="Tomato Ketchup"/>
  </r>
  <r>
    <x v="11"/>
    <s v="Storage Drawer"/>
  </r>
  <r>
    <x v="16"/>
    <s v="Folding Table"/>
  </r>
  <r>
    <x v="12"/>
    <s v="Wooden Bench"/>
  </r>
  <r>
    <x v="78"/>
    <s v="Printer Paper Ream"/>
  </r>
  <r>
    <x v="0"/>
    <s v="LED Monitor"/>
  </r>
  <r>
    <x v="61"/>
    <s v="Canned Tuna"/>
  </r>
  <r>
    <x v="47"/>
    <s v="Power Bank"/>
  </r>
  <r>
    <x v="47"/>
    <s v="Power Bank"/>
  </r>
  <r>
    <x v="54"/>
    <s v="Sports Cap"/>
  </r>
  <r>
    <x v="60"/>
    <s v="Coffee Table"/>
  </r>
  <r>
    <x v="60"/>
    <s v="Coffee Table"/>
  </r>
  <r>
    <x v="78"/>
    <s v="Printer Paper Ream"/>
  </r>
  <r>
    <x v="34"/>
    <s v="Wireless Mouse"/>
  </r>
  <r>
    <x v="67"/>
    <s v="Peanut Butter"/>
  </r>
  <r>
    <x v="31"/>
    <s v="Bookshelf"/>
  </r>
  <r>
    <x v="39"/>
    <s v="Dining Chair"/>
  </r>
  <r>
    <x v="17"/>
    <s v="Stapler"/>
  </r>
  <r>
    <x v="6"/>
    <s v="Glue Stick"/>
  </r>
  <r>
    <x v="65"/>
    <s v="File Folder Set"/>
  </r>
  <r>
    <x v="79"/>
    <s v="Scissors"/>
  </r>
  <r>
    <x v="41"/>
    <s v="HDMI Cable"/>
  </r>
  <r>
    <x v="2"/>
    <s v="Wi-Fi Router"/>
  </r>
  <r>
    <x v="25"/>
    <s v="Ballpoint Pen Pack"/>
  </r>
  <r>
    <x v="8"/>
    <s v="Correction Tape"/>
  </r>
  <r>
    <x v="2"/>
    <s v="Wi-Fi Router"/>
  </r>
  <r>
    <x v="53"/>
    <s v="Formal Trousers"/>
  </r>
  <r>
    <x v="54"/>
    <s v="Sports Cap"/>
  </r>
  <r>
    <x v="48"/>
    <s v="Orange Juice"/>
  </r>
  <r>
    <x v="39"/>
    <s v="Dining Chair"/>
  </r>
  <r>
    <x v="54"/>
    <s v="Sports Cap"/>
  </r>
  <r>
    <x v="49"/>
    <s v="Brown Sugar"/>
  </r>
  <r>
    <x v="22"/>
    <s v="Recliner Chair"/>
  </r>
  <r>
    <x v="78"/>
    <s v="Printer Paper Ream"/>
  </r>
  <r>
    <x v="15"/>
    <s v="Breakfast Cereal"/>
  </r>
  <r>
    <x v="52"/>
    <s v="Computer Desk"/>
  </r>
  <r>
    <x v="32"/>
    <s v="Display Shelf"/>
  </r>
  <r>
    <x v="17"/>
    <s v="Stapler"/>
  </r>
  <r>
    <x v="8"/>
    <s v="Correction Tape"/>
  </r>
  <r>
    <x v="64"/>
    <s v="USB-C Charger"/>
  </r>
  <r>
    <x v="30"/>
    <s v="Tomato Ketchup"/>
  </r>
  <r>
    <x v="30"/>
    <s v="Tomato Ketchup"/>
  </r>
  <r>
    <x v="45"/>
    <s v="Cotton T-Shirt"/>
  </r>
  <r>
    <x v="62"/>
    <s v="Noise Cancelling Headphones"/>
  </r>
  <r>
    <x v="0"/>
    <s v="LED Monitor"/>
  </r>
  <r>
    <x v="66"/>
    <s v="Hooded Sweatshirt"/>
  </r>
  <r>
    <x v="54"/>
    <s v="Sports Cap"/>
  </r>
  <r>
    <x v="9"/>
    <s v="Yoga Leggings"/>
  </r>
  <r>
    <x v="31"/>
    <s v="Bookshelf"/>
  </r>
  <r>
    <x v="5"/>
    <s v="Sticky Notes"/>
  </r>
  <r>
    <x v="13"/>
    <s v="Paper Clips Box"/>
  </r>
  <r>
    <x v="71"/>
    <s v="Desk Organizer"/>
  </r>
  <r>
    <x v="44"/>
    <s v="Mechanical Pencil"/>
  </r>
  <r>
    <x v="57"/>
    <s v="Bluetooth Speaker"/>
  </r>
  <r>
    <x v="61"/>
    <s v="Canned Tuna"/>
  </r>
  <r>
    <x v="74"/>
    <s v="Sea Salt"/>
  </r>
  <r>
    <x v="36"/>
    <s v="Bedside Table"/>
  </r>
  <r>
    <x v="6"/>
    <s v="Glue Stick"/>
  </r>
  <r>
    <x v="23"/>
    <s v="Polo Shirt"/>
  </r>
  <r>
    <x v="23"/>
    <s v="Polo Shirt"/>
  </r>
  <r>
    <x v="54"/>
    <s v="Sports Cap"/>
  </r>
  <r>
    <x v="59"/>
    <s v="Whole Wheat Flour"/>
  </r>
  <r>
    <x v="67"/>
    <s v="Peanut Butter"/>
  </r>
  <r>
    <x v="55"/>
    <s v="Milk Powder"/>
  </r>
  <r>
    <x v="32"/>
    <s v="Display Shelf"/>
  </r>
  <r>
    <x v="17"/>
    <s v="Stapler"/>
  </r>
  <r>
    <x v="13"/>
    <s v="Paper Clips Box"/>
  </r>
  <r>
    <x v="78"/>
    <s v="Printer Paper Ream"/>
  </r>
  <r>
    <x v="19"/>
    <s v="Webcam"/>
  </r>
  <r>
    <x v="41"/>
    <s v="HDMI Cable"/>
  </r>
  <r>
    <x v="15"/>
    <s v="Breakfast Cereal"/>
  </r>
  <r>
    <x v="39"/>
    <s v="Dining Chair"/>
  </r>
  <r>
    <x v="70"/>
    <s v="Portable SSD"/>
  </r>
  <r>
    <x v="0"/>
    <s v="LED Monitor"/>
  </r>
  <r>
    <x v="20"/>
    <s v="Casual Sneakers"/>
  </r>
  <r>
    <x v="7"/>
    <s v="Eraser Pack"/>
  </r>
  <r>
    <x v="9"/>
    <s v="Yoga Leggings"/>
  </r>
  <r>
    <x v="74"/>
    <s v="Sea Salt"/>
  </r>
  <r>
    <x v="31"/>
    <s v="Bookshelf"/>
  </r>
  <r>
    <x v="11"/>
    <s v="Storage Drawer"/>
  </r>
  <r>
    <x v="34"/>
    <s v="Wireless Mouse"/>
  </r>
  <r>
    <x v="53"/>
    <s v="Formal Trousers"/>
  </r>
  <r>
    <x v="38"/>
    <s v="Pasta 500g"/>
  </r>
  <r>
    <x v="15"/>
    <s v="Breakfast Cereal"/>
  </r>
  <r>
    <x v="25"/>
    <s v="Ballpoint Pen Pack"/>
  </r>
  <r>
    <x v="40"/>
    <s v="Highlighter Set"/>
  </r>
  <r>
    <x v="40"/>
    <s v="Highlighter Set"/>
  </r>
  <r>
    <x v="64"/>
    <s v="USB-C Charger"/>
  </r>
  <r>
    <x v="0"/>
    <s v="LED Monitor"/>
  </r>
  <r>
    <x v="23"/>
    <s v="Polo Shirt"/>
  </r>
  <r>
    <x v="58"/>
    <s v="Cardigan Sweater"/>
  </r>
  <r>
    <x v="68"/>
    <s v="Kitchen Stool"/>
  </r>
  <r>
    <x v="69"/>
    <s v="A4 Notebook"/>
  </r>
  <r>
    <x v="71"/>
    <s v="Desk Organizer"/>
  </r>
  <r>
    <x v="46"/>
    <s v="Denim Jeans"/>
  </r>
  <r>
    <x v="21"/>
    <s v="Mineral Water 1.5L"/>
  </r>
  <r>
    <x v="49"/>
    <s v="Brown Sugar"/>
  </r>
  <r>
    <x v="5"/>
    <s v="Sticky Notes"/>
  </r>
  <r>
    <x v="18"/>
    <s v="Mechanical Keyboard"/>
  </r>
  <r>
    <x v="37"/>
    <s v="Laptop Sleeve"/>
  </r>
  <r>
    <x v="28"/>
    <s v="Graphic Tablet"/>
  </r>
  <r>
    <x v="26"/>
    <s v="Leather Belt"/>
  </r>
  <r>
    <x v="27"/>
    <s v="Basmati Rice 5kg"/>
  </r>
  <r>
    <x v="61"/>
    <s v="Canned Tuna"/>
  </r>
  <r>
    <x v="15"/>
    <s v="Breakfast Cereal"/>
  </r>
  <r>
    <x v="2"/>
    <s v="Wi-Fi Router"/>
  </r>
  <r>
    <x v="56"/>
    <s v="TV Stand"/>
  </r>
  <r>
    <x v="44"/>
    <s v="Mechanical Pencil"/>
  </r>
  <r>
    <x v="64"/>
    <s v="USB-C Charger"/>
  </r>
  <r>
    <x v="64"/>
    <s v="USB-C Charger"/>
  </r>
  <r>
    <x v="66"/>
    <s v="Hooded Sweatshirt"/>
  </r>
  <r>
    <x v="14"/>
    <s v="Wool Scarf"/>
  </r>
  <r>
    <x v="63"/>
    <s v="Summer Dress"/>
  </r>
  <r>
    <x v="31"/>
    <s v="Bookshelf"/>
  </r>
  <r>
    <x v="6"/>
    <s v="Glue Stick"/>
  </r>
  <r>
    <x v="50"/>
    <s v="Ring Binder"/>
  </r>
  <r>
    <x v="8"/>
    <s v="Correction Tape"/>
  </r>
  <r>
    <x v="70"/>
    <s v="Portable SSD"/>
  </r>
  <r>
    <x v="43"/>
    <s v="Shoe Rack"/>
  </r>
  <r>
    <x v="43"/>
    <s v="Shoe Rack"/>
  </r>
  <r>
    <x v="36"/>
    <s v="Bedside Table"/>
  </r>
  <r>
    <x v="66"/>
    <s v="Hooded Sweatshirt"/>
  </r>
  <r>
    <x v="14"/>
    <s v="Wool Scarf"/>
  </r>
  <r>
    <x v="58"/>
    <s v="Cardigan Sweater"/>
  </r>
  <r>
    <x v="9"/>
    <s v="Yoga Leggings"/>
  </r>
  <r>
    <x v="31"/>
    <s v="Bookshelf"/>
  </r>
  <r>
    <x v="43"/>
    <s v="Shoe Rack"/>
  </r>
  <r>
    <x v="64"/>
    <s v="USB-C Charger"/>
  </r>
  <r>
    <x v="77"/>
    <s v="Running Shoes"/>
  </r>
  <r>
    <x v="42"/>
    <s v="Green Tea Pack"/>
  </r>
  <r>
    <x v="75"/>
    <s v="Instant Coffee"/>
  </r>
  <r>
    <x v="4"/>
    <s v="Chocolate Cookies"/>
  </r>
  <r>
    <x v="60"/>
    <s v="Coffee Table"/>
  </r>
  <r>
    <x v="19"/>
    <s v="Webcam"/>
  </r>
  <r>
    <x v="1"/>
    <s v="Smartphone Stand"/>
  </r>
  <r>
    <x v="71"/>
    <s v="Desk Organizer"/>
  </r>
  <r>
    <x v="78"/>
    <s v="Printer Paper Ream"/>
  </r>
  <r>
    <x v="6"/>
    <s v="Glue Stick"/>
  </r>
  <r>
    <x v="46"/>
    <s v="Denim Jeans"/>
  </r>
  <r>
    <x v="20"/>
    <s v="Casual Sneakers"/>
  </r>
  <r>
    <x v="20"/>
    <s v="Casual Sneakers"/>
  </r>
  <r>
    <x v="39"/>
    <s v="Dining Chair"/>
  </r>
  <r>
    <x v="52"/>
    <s v="Computer Desk"/>
  </r>
  <r>
    <x v="52"/>
    <s v="Computer Desk"/>
  </r>
  <r>
    <x v="5"/>
    <s v="Sticky Notes"/>
  </r>
  <r>
    <x v="70"/>
    <s v="Portable SSD"/>
  </r>
  <r>
    <x v="27"/>
    <s v="Basmati Rice 5kg"/>
  </r>
  <r>
    <x v="42"/>
    <s v="Green Tea Pack"/>
  </r>
  <r>
    <x v="21"/>
    <s v="Mineral Water 1.5L"/>
  </r>
  <r>
    <x v="70"/>
    <s v="Portable SSD"/>
  </r>
  <r>
    <x v="46"/>
    <s v="Denim Jeans"/>
  </r>
  <r>
    <x v="27"/>
    <s v="Basmati Rice 5kg"/>
  </r>
  <r>
    <x v="75"/>
    <s v="Instant Coffee"/>
  </r>
  <r>
    <x v="67"/>
    <s v="Peanut Butter"/>
  </r>
  <r>
    <x v="78"/>
    <s v="Printer Paper Ream"/>
  </r>
  <r>
    <x v="79"/>
    <s v="Scissors"/>
  </r>
  <r>
    <x v="46"/>
    <s v="Denim Jeans"/>
  </r>
  <r>
    <x v="66"/>
    <s v="Hooded Sweatshirt"/>
  </r>
  <r>
    <x v="20"/>
    <s v="Casual Sneakers"/>
  </r>
  <r>
    <x v="75"/>
    <s v="Instant Coffee"/>
  </r>
  <r>
    <x v="38"/>
    <s v="Pasta 500g"/>
  </r>
  <r>
    <x v="48"/>
    <s v="Orange Juice"/>
  </r>
  <r>
    <x v="60"/>
    <s v="Coffee Table"/>
  </r>
  <r>
    <x v="43"/>
    <s v="Shoe Rack"/>
  </r>
  <r>
    <x v="32"/>
    <s v="Display Shelf"/>
  </r>
  <r>
    <x v="77"/>
    <s v="Running Shoes"/>
  </r>
  <r>
    <x v="27"/>
    <s v="Basmati Rice 5kg"/>
  </r>
  <r>
    <x v="10"/>
    <s v="Office Chair"/>
  </r>
  <r>
    <x v="41"/>
    <s v="HDMI Cable"/>
  </r>
  <r>
    <x v="35"/>
    <s v="Mini Projector"/>
  </r>
  <r>
    <x v="26"/>
    <s v="Leather Belt"/>
  </r>
  <r>
    <x v="59"/>
    <s v="Whole Wheat Flour"/>
  </r>
  <r>
    <x v="67"/>
    <s v="Peanut Butter"/>
  </r>
  <r>
    <x v="48"/>
    <s v="Orange Juice"/>
  </r>
  <r>
    <x v="32"/>
    <s v="Display Shelf"/>
  </r>
  <r>
    <x v="13"/>
    <s v="Paper Clips Box"/>
  </r>
  <r>
    <x v="62"/>
    <s v="Noise Cancelling Headphones"/>
  </r>
  <r>
    <x v="37"/>
    <s v="Laptop Sleeve"/>
  </r>
  <r>
    <x v="4"/>
    <s v="Chocolate Cookies"/>
  </r>
  <r>
    <x v="55"/>
    <s v="Milk Powder"/>
  </r>
  <r>
    <x v="31"/>
    <s v="Bookshelf"/>
  </r>
  <r>
    <x v="31"/>
    <s v="Bookshelf"/>
  </r>
  <r>
    <x v="17"/>
    <s v="Stapler"/>
  </r>
  <r>
    <x v="58"/>
    <s v="Cardigan Sweater"/>
  </r>
  <r>
    <x v="42"/>
    <s v="Green Tea Pack"/>
  </r>
  <r>
    <x v="16"/>
    <s v="Folding Table"/>
  </r>
  <r>
    <x v="35"/>
    <s v="Mini Projector"/>
  </r>
  <r>
    <x v="17"/>
    <s v="Stapler"/>
  </r>
  <r>
    <x v="78"/>
    <s v="Printer Paper Ream"/>
  </r>
  <r>
    <x v="8"/>
    <s v="Correction Tape"/>
  </r>
  <r>
    <x v="0"/>
    <s v="LED Monitor"/>
  </r>
  <r>
    <x v="66"/>
    <s v="Hooded Sweatshirt"/>
  </r>
  <r>
    <x v="23"/>
    <s v="Polo Shirt"/>
  </r>
  <r>
    <x v="27"/>
    <s v="Basmati Rice 5kg"/>
  </r>
  <r>
    <x v="4"/>
    <s v="Chocolate Cookies"/>
  </r>
  <r>
    <x v="67"/>
    <s v="Peanut Butter"/>
  </r>
  <r>
    <x v="34"/>
    <s v="Wireless Mouse"/>
  </r>
  <r>
    <x v="57"/>
    <s v="Bluetooth Speaker"/>
  </r>
  <r>
    <x v="37"/>
    <s v="Laptop Sleeve"/>
  </r>
  <r>
    <x v="41"/>
    <s v="HDMI Cable"/>
  </r>
  <r>
    <x v="45"/>
    <s v="Cotton T-Shirt"/>
  </r>
  <r>
    <x v="54"/>
    <s v="Sports Cap"/>
  </r>
  <r>
    <x v="71"/>
    <s v="Desk Organizer"/>
  </r>
  <r>
    <x v="19"/>
    <s v="Webcam"/>
  </r>
  <r>
    <x v="1"/>
    <s v="Smartphone Stand"/>
  </r>
  <r>
    <x v="20"/>
    <s v="Casual Sneakers"/>
  </r>
  <r>
    <x v="63"/>
    <s v="Summer Dress"/>
  </r>
  <r>
    <x v="12"/>
    <s v="Wooden Bench"/>
  </r>
  <r>
    <x v="64"/>
    <s v="USB-C Charger"/>
  </r>
  <r>
    <x v="63"/>
    <s v="Summer Dress"/>
  </r>
  <r>
    <x v="3"/>
    <s v="Olive Oil 1L"/>
  </r>
  <r>
    <x v="24"/>
    <s v="Winter Jacket"/>
  </r>
  <r>
    <x v="26"/>
    <s v="Leather Belt"/>
  </r>
  <r>
    <x v="9"/>
    <s v="Yoga Leggings"/>
  </r>
  <r>
    <x v="9"/>
    <s v="Yoga Leggings"/>
  </r>
  <r>
    <x v="74"/>
    <s v="Sea Salt"/>
  </r>
  <r>
    <x v="13"/>
    <s v="Paper Clips Box"/>
  </r>
  <r>
    <x v="28"/>
    <s v="Graphic Tablet"/>
  </r>
  <r>
    <x v="76"/>
    <s v="Raincoat"/>
  </r>
  <r>
    <x v="59"/>
    <s v="Whole Wheat Flour"/>
  </r>
  <r>
    <x v="36"/>
    <s v="Bedside Table"/>
  </r>
  <r>
    <x v="11"/>
    <s v="Storage Drawer"/>
  </r>
  <r>
    <x v="78"/>
    <s v="Printer Paper Ream"/>
  </r>
  <r>
    <x v="44"/>
    <s v="Mechanical Pencil"/>
  </r>
  <r>
    <x v="79"/>
    <s v="Scissors"/>
  </r>
  <r>
    <x v="47"/>
    <s v="Power Bank"/>
  </r>
  <r>
    <x v="73"/>
    <s v="Fitness Tracker"/>
  </r>
  <r>
    <x v="45"/>
    <s v="Cotton T-Shirt"/>
  </r>
  <r>
    <x v="23"/>
    <s v="Polo Shirt"/>
  </r>
  <r>
    <x v="14"/>
    <s v="Wool Scarf"/>
  </r>
  <r>
    <x v="58"/>
    <s v="Cardigan Sweater"/>
  </r>
  <r>
    <x v="42"/>
    <s v="Green Tea Pack"/>
  </r>
  <r>
    <x v="67"/>
    <s v="Peanut Butter"/>
  </r>
  <r>
    <x v="6"/>
    <s v="Glue Stick"/>
  </r>
  <r>
    <x v="58"/>
    <s v="Cardigan Sweater"/>
  </r>
  <r>
    <x v="75"/>
    <s v="Instant Coffee"/>
  </r>
  <r>
    <x v="4"/>
    <s v="Chocolate Cookies"/>
  </r>
  <r>
    <x v="31"/>
    <s v="Bookshelf"/>
  </r>
  <r>
    <x v="50"/>
    <s v="Ring Binder"/>
  </r>
  <r>
    <x v="35"/>
    <s v="Mini Projector"/>
  </r>
  <r>
    <x v="53"/>
    <s v="Formal Trousers"/>
  </r>
  <r>
    <x v="54"/>
    <s v="Sports Cap"/>
  </r>
  <r>
    <x v="9"/>
    <s v="Yoga Leggings"/>
  </r>
  <r>
    <x v="59"/>
    <s v="Whole Wheat Flour"/>
  </r>
  <r>
    <x v="61"/>
    <s v="Canned Tuna"/>
  </r>
  <r>
    <x v="48"/>
    <s v="Orange Juice"/>
  </r>
  <r>
    <x v="72"/>
    <s v="Study Desk"/>
  </r>
  <r>
    <x v="60"/>
    <s v="Coffee Table"/>
  </r>
  <r>
    <x v="25"/>
    <s v="Ballpoint Pen Pack"/>
  </r>
  <r>
    <x v="24"/>
    <s v="Winter Jacket"/>
  </r>
  <r>
    <x v="54"/>
    <s v="Sports Cap"/>
  </r>
  <r>
    <x v="14"/>
    <s v="Wool Scarf"/>
  </r>
  <r>
    <x v="48"/>
    <s v="Orange Juice"/>
  </r>
  <r>
    <x v="74"/>
    <s v="Sea Salt"/>
  </r>
  <r>
    <x v="16"/>
    <s v="Folding Table"/>
  </r>
  <r>
    <x v="17"/>
    <s v="Stapler"/>
  </r>
  <r>
    <x v="44"/>
    <s v="Mechanical Pencil"/>
  </r>
  <r>
    <x v="18"/>
    <s v="Mechanical Keyboard"/>
  </r>
  <r>
    <x v="20"/>
    <s v="Casual Sneakers"/>
  </r>
  <r>
    <x v="76"/>
    <s v="Raincoat"/>
  </r>
  <r>
    <x v="71"/>
    <s v="Desk Organizer"/>
  </r>
  <r>
    <x v="53"/>
    <s v="Formal Trousers"/>
  </r>
  <r>
    <x v="36"/>
    <s v="Bedside Table"/>
  </r>
  <r>
    <x v="16"/>
    <s v="Folding Table"/>
  </r>
  <r>
    <x v="33"/>
    <s v="Whiteboard Marker"/>
  </r>
  <r>
    <x v="44"/>
    <s v="Mechanical Pencil"/>
  </r>
  <r>
    <x v="2"/>
    <s v="Wi-Fi Router"/>
  </r>
  <r>
    <x v="2"/>
    <s v="Wi-Fi Router"/>
  </r>
  <r>
    <x v="73"/>
    <s v="Fitness Tracker"/>
  </r>
  <r>
    <x v="22"/>
    <s v="Recliner Chair"/>
  </r>
  <r>
    <x v="33"/>
    <s v="Whiteboard Marker"/>
  </r>
  <r>
    <x v="8"/>
    <s v="Correction Tape"/>
  </r>
  <r>
    <x v="18"/>
    <s v="Mechanical Keyboard"/>
  </r>
  <r>
    <x v="0"/>
    <s v="LED Monitor"/>
  </r>
  <r>
    <x v="37"/>
    <s v="Laptop Sleeve"/>
  </r>
  <r>
    <x v="28"/>
    <s v="Graphic Tablet"/>
  </r>
  <r>
    <x v="73"/>
    <s v="Fitness Tracker"/>
  </r>
  <r>
    <x v="61"/>
    <s v="Canned Tuna"/>
  </r>
  <r>
    <x v="15"/>
    <s v="Breakfast Cereal"/>
  </r>
  <r>
    <x v="74"/>
    <s v="Sea Salt"/>
  </r>
  <r>
    <x v="33"/>
    <s v="Whiteboard Marker"/>
  </r>
  <r>
    <x v="44"/>
    <s v="Mechanical Pencil"/>
  </r>
  <r>
    <x v="35"/>
    <s v="Mini Projector"/>
  </r>
  <r>
    <x v="26"/>
    <s v="Leather Belt"/>
  </r>
  <r>
    <x v="3"/>
    <s v="Olive Oil 1L"/>
  </r>
  <r>
    <x v="72"/>
    <s v="Study Desk"/>
  </r>
  <r>
    <x v="43"/>
    <s v="Shoe Rack"/>
  </r>
  <r>
    <x v="32"/>
    <s v="Display Shelf"/>
  </r>
  <r>
    <x v="5"/>
    <s v="Sticky Notes"/>
  </r>
  <r>
    <x v="47"/>
    <s v="Power Bank"/>
  </r>
  <r>
    <x v="47"/>
    <s v="Power Bank"/>
  </r>
  <r>
    <x v="2"/>
    <s v="Wi-Fi Router"/>
  </r>
  <r>
    <x v="21"/>
    <s v="Mineral Water 1.5L"/>
  </r>
  <r>
    <x v="11"/>
    <s v="Storage Drawer"/>
  </r>
  <r>
    <x v="16"/>
    <s v="Folding Table"/>
  </r>
  <r>
    <x v="5"/>
    <s v="Sticky Notes"/>
  </r>
  <r>
    <x v="17"/>
    <s v="Stapler"/>
  </r>
  <r>
    <x v="54"/>
    <s v="Sports Cap"/>
  </r>
  <r>
    <x v="15"/>
    <s v="Breakfast Cereal"/>
  </r>
  <r>
    <x v="55"/>
    <s v="Milk Powder"/>
  </r>
  <r>
    <x v="51"/>
    <s v="Wardrobe Cabinet"/>
  </r>
  <r>
    <x v="9"/>
    <s v="Yoga Leggings"/>
  </r>
  <r>
    <x v="56"/>
    <s v="TV Stand"/>
  </r>
  <r>
    <x v="47"/>
    <s v="Power Bank"/>
  </r>
  <r>
    <x v="37"/>
    <s v="Laptop Sleeve"/>
  </r>
  <r>
    <x v="63"/>
    <s v="Summer Dress"/>
  </r>
  <r>
    <x v="58"/>
    <s v="Cardigan Sweater"/>
  </r>
  <r>
    <x v="59"/>
    <s v="Whole Wheat Flour"/>
  </r>
  <r>
    <x v="49"/>
    <s v="Brown Sugar"/>
  </r>
  <r>
    <x v="34"/>
    <s v="Wireless Mouse"/>
  </r>
  <r>
    <x v="41"/>
    <s v="HDMI Cable"/>
  </r>
  <r>
    <x v="15"/>
    <s v="Breakfast Cereal"/>
  </r>
  <r>
    <x v="31"/>
    <s v="Bookshelf"/>
  </r>
  <r>
    <x v="36"/>
    <s v="Bedside Table"/>
  </r>
  <r>
    <x v="5"/>
    <s v="Sticky Notes"/>
  </r>
  <r>
    <x v="6"/>
    <s v="Glue Stick"/>
  </r>
  <r>
    <x v="75"/>
    <s v="Instant Coffee"/>
  </r>
  <r>
    <x v="72"/>
    <s v="Study Desk"/>
  </r>
  <r>
    <x v="5"/>
    <s v="Sticky Notes"/>
  </r>
  <r>
    <x v="64"/>
    <s v="USB-C Charger"/>
  </r>
  <r>
    <x v="62"/>
    <s v="Noise Cancelling Headphones"/>
  </r>
  <r>
    <x v="37"/>
    <s v="Laptop Sleeve"/>
  </r>
  <r>
    <x v="66"/>
    <s v="Hooded Sweatshirt"/>
  </r>
  <r>
    <x v="26"/>
    <s v="Leather Belt"/>
  </r>
  <r>
    <x v="27"/>
    <s v="Basmati Rice 5kg"/>
  </r>
  <r>
    <x v="30"/>
    <s v="Tomato Ketchup"/>
  </r>
  <r>
    <x v="74"/>
    <s v="Sea Salt"/>
  </r>
  <r>
    <x v="68"/>
    <s v="Kitchen Stool"/>
  </r>
  <r>
    <x v="44"/>
    <s v="Mechanical Pencil"/>
  </r>
  <r>
    <x v="77"/>
    <s v="Running Shoes"/>
  </r>
  <r>
    <x v="77"/>
    <s v="Running Shoes"/>
  </r>
  <r>
    <x v="54"/>
    <s v="Sports Cap"/>
  </r>
  <r>
    <x v="20"/>
    <s v="Casual Sneakers"/>
  </r>
  <r>
    <x v="30"/>
    <s v="Tomato Ketchup"/>
  </r>
  <r>
    <x v="31"/>
    <s v="Bookshelf"/>
  </r>
  <r>
    <x v="11"/>
    <s v="Storage Drawer"/>
  </r>
  <r>
    <x v="12"/>
    <s v="Wooden Bench"/>
  </r>
  <r>
    <x v="17"/>
    <s v="Stapler"/>
  </r>
  <r>
    <x v="70"/>
    <s v="Portable SSD"/>
  </r>
  <r>
    <x v="73"/>
    <s v="Fitness Tracker"/>
  </r>
  <r>
    <x v="10"/>
    <s v="Office Chair"/>
  </r>
  <r>
    <x v="11"/>
    <s v="Storage Drawer"/>
  </r>
  <r>
    <x v="27"/>
    <s v="Basmati Rice 5kg"/>
  </r>
  <r>
    <x v="75"/>
    <s v="Instant Coffee"/>
  </r>
  <r>
    <x v="30"/>
    <s v="Tomato Ketchup"/>
  </r>
  <r>
    <x v="48"/>
    <s v="Orange Juice"/>
  </r>
  <r>
    <x v="49"/>
    <s v="Brown Sugar"/>
  </r>
  <r>
    <x v="10"/>
    <s v="Office Chair"/>
  </r>
  <r>
    <x v="71"/>
    <s v="Desk Organizer"/>
  </r>
  <r>
    <x v="18"/>
    <s v="Mechanical Keyboard"/>
  </r>
  <r>
    <x v="66"/>
    <s v="Hooded Sweatshirt"/>
  </r>
  <r>
    <x v="53"/>
    <s v="Formal Trousers"/>
  </r>
  <r>
    <x v="72"/>
    <s v="Study Desk"/>
  </r>
  <r>
    <x v="60"/>
    <s v="Coffee Table"/>
  </r>
  <r>
    <x v="8"/>
    <s v="Correction Tape"/>
  </r>
  <r>
    <x v="66"/>
    <s v="Hooded Sweatshirt"/>
  </r>
  <r>
    <x v="53"/>
    <s v="Formal Trousers"/>
  </r>
  <r>
    <x v="42"/>
    <s v="Green Tea Pack"/>
  </r>
  <r>
    <x v="59"/>
    <s v="Whole Wheat Flour"/>
  </r>
  <r>
    <x v="39"/>
    <s v="Dining Chair"/>
  </r>
  <r>
    <x v="12"/>
    <s v="Wooden Bench"/>
  </r>
  <r>
    <x v="12"/>
    <s v="Wooden Bench"/>
  </r>
  <r>
    <x v="76"/>
    <s v="Raincoat"/>
  </r>
  <r>
    <x v="48"/>
    <s v="Orange Juice"/>
  </r>
  <r>
    <x v="51"/>
    <s v="Wardrobe Cabinet"/>
  </r>
  <r>
    <x v="56"/>
    <s v="TV Stand"/>
  </r>
  <r>
    <x v="79"/>
    <s v="Scissors"/>
  </r>
  <r>
    <x v="39"/>
    <s v="Dining Chair"/>
  </r>
  <r>
    <x v="11"/>
    <s v="Storage Drawer"/>
  </r>
  <r>
    <x v="64"/>
    <s v="USB-C Charger"/>
  </r>
  <r>
    <x v="1"/>
    <s v="Smartphone Stand"/>
  </r>
  <r>
    <x v="1"/>
    <s v="Smartphone Stand"/>
  </r>
  <r>
    <x v="45"/>
    <s v="Cotton T-Shirt"/>
  </r>
  <r>
    <x v="51"/>
    <s v="Wardrobe Cabinet"/>
  </r>
  <r>
    <x v="41"/>
    <s v="HDMI Cable"/>
  </r>
  <r>
    <x v="59"/>
    <s v="Whole Wheat Flour"/>
  </r>
  <r>
    <x v="18"/>
    <s v="Mechanical Keyboard"/>
  </r>
  <r>
    <x v="1"/>
    <s v="Smartphone Stand"/>
  </r>
  <r>
    <x v="66"/>
    <s v="Hooded Sweatshirt"/>
  </r>
  <r>
    <x v="63"/>
    <s v="Summer Dress"/>
  </r>
  <r>
    <x v="15"/>
    <s v="Breakfast Cereal"/>
  </r>
  <r>
    <x v="55"/>
    <s v="Milk Powder"/>
  </r>
  <r>
    <x v="68"/>
    <s v="Kitchen Stool"/>
  </r>
  <r>
    <x v="17"/>
    <s v="Stapler"/>
  </r>
  <r>
    <x v="78"/>
    <s v="Printer Paper Ream"/>
  </r>
  <r>
    <x v="46"/>
    <s v="Denim Jeans"/>
  </r>
  <r>
    <x v="11"/>
    <s v="Storage Drawer"/>
  </r>
  <r>
    <x v="68"/>
    <s v="Kitchen Stool"/>
  </r>
  <r>
    <x v="7"/>
    <s v="Eraser Pack"/>
  </r>
  <r>
    <x v="58"/>
    <s v="Cardigan Sweater"/>
  </r>
  <r>
    <x v="30"/>
    <s v="Tomato Ketchup"/>
  </r>
  <r>
    <x v="39"/>
    <s v="Dining Chair"/>
  </r>
  <r>
    <x v="16"/>
    <s v="Folding Table"/>
  </r>
  <r>
    <x v="12"/>
    <s v="Wooden Bench"/>
  </r>
  <r>
    <x v="8"/>
    <s v="Correction Tape"/>
  </r>
  <r>
    <x v="57"/>
    <s v="Bluetooth Speaker"/>
  </r>
  <r>
    <x v="41"/>
    <s v="HDMI Cable"/>
  </r>
  <r>
    <x v="55"/>
    <s v="Milk Powder"/>
  </r>
  <r>
    <x v="74"/>
    <s v="Sea Salt"/>
  </r>
  <r>
    <x v="51"/>
    <s v="Wardrobe Cabinet"/>
  </r>
  <r>
    <x v="68"/>
    <s v="Kitchen Stool"/>
  </r>
  <r>
    <x v="25"/>
    <s v="Ballpoint Pen Pack"/>
  </r>
  <r>
    <x v="13"/>
    <s v="Paper Clips Box"/>
  </r>
  <r>
    <x v="8"/>
    <s v="Correction Tape"/>
  </r>
  <r>
    <x v="57"/>
    <s v="Bluetooth Speaker"/>
  </r>
  <r>
    <x v="26"/>
    <s v="Leather Belt"/>
  </r>
  <r>
    <x v="11"/>
    <s v="Storage Drawer"/>
  </r>
  <r>
    <x v="16"/>
    <s v="Folding Table"/>
  </r>
  <r>
    <x v="64"/>
    <s v="USB-C Charger"/>
  </r>
  <r>
    <x v="36"/>
    <s v="Bedside Table"/>
  </r>
  <r>
    <x v="16"/>
    <s v="Folding Table"/>
  </r>
  <r>
    <x v="68"/>
    <s v="Kitchen Stool"/>
  </r>
  <r>
    <x v="6"/>
    <s v="Glue Stick"/>
  </r>
  <r>
    <x v="2"/>
    <s v="Wi-Fi Router"/>
  </r>
  <r>
    <x v="20"/>
    <s v="Casual Sneakers"/>
  </r>
  <r>
    <x v="49"/>
    <s v="Brown Sugar"/>
  </r>
  <r>
    <x v="33"/>
    <s v="Whiteboard Marker"/>
  </r>
  <r>
    <x v="44"/>
    <s v="Mechanical Pencil"/>
  </r>
  <r>
    <x v="34"/>
    <s v="Wireless Mouse"/>
  </r>
  <r>
    <x v="58"/>
    <s v="Cardigan Sweater"/>
  </r>
  <r>
    <x v="31"/>
    <s v="Bookshelf"/>
  </r>
  <r>
    <x v="43"/>
    <s v="Shoe Rack"/>
  </r>
  <r>
    <x v="36"/>
    <s v="Bedside Table"/>
  </r>
  <r>
    <x v="71"/>
    <s v="Desk Organizer"/>
  </r>
  <r>
    <x v="78"/>
    <s v="Printer Paper Ream"/>
  </r>
  <r>
    <x v="6"/>
    <s v="Glue Stick"/>
  </r>
  <r>
    <x v="6"/>
    <s v="Glue Stick"/>
  </r>
  <r>
    <x v="62"/>
    <s v="Noise Cancelling Headphones"/>
  </r>
  <r>
    <x v="46"/>
    <s v="Denim Jeans"/>
  </r>
  <r>
    <x v="58"/>
    <s v="Cardigan Sweater"/>
  </r>
  <r>
    <x v="27"/>
    <s v="Basmati Rice 5kg"/>
  </r>
  <r>
    <x v="75"/>
    <s v="Instant Coffee"/>
  </r>
  <r>
    <x v="52"/>
    <s v="Computer Desk"/>
  </r>
  <r>
    <x v="62"/>
    <s v="Noise Cancelling Headphones"/>
  </r>
  <r>
    <x v="29"/>
    <s v="Ankle Socks"/>
  </r>
  <r>
    <x v="63"/>
    <s v="Summer Dress"/>
  </r>
  <r>
    <x v="58"/>
    <s v="Cardigan Sweater"/>
  </r>
  <r>
    <x v="12"/>
    <s v="Wooden Bench"/>
  </r>
  <r>
    <x v="71"/>
    <s v="Desk Organizer"/>
  </r>
  <r>
    <x v="37"/>
    <s v="Laptop Sleeve"/>
  </r>
  <r>
    <x v="26"/>
    <s v="Leather Belt"/>
  </r>
  <r>
    <x v="4"/>
    <s v="Chocolate Cookies"/>
  </r>
  <r>
    <x v="72"/>
    <s v="Study Desk"/>
  </r>
  <r>
    <x v="68"/>
    <s v="Kitchen Stool"/>
  </r>
  <r>
    <x v="40"/>
    <s v="Highlighter Set"/>
  </r>
  <r>
    <x v="73"/>
    <s v="Fitness Tracker"/>
  </r>
  <r>
    <x v="35"/>
    <s v="Mini Projector"/>
  </r>
  <r>
    <x v="51"/>
    <s v="Wardrobe Cabinet"/>
  </r>
  <r>
    <x v="5"/>
    <s v="Sticky Notes"/>
  </r>
  <r>
    <x v="65"/>
    <s v="File Folder Set"/>
  </r>
  <r>
    <x v="77"/>
    <s v="Running Shoes"/>
  </r>
  <r>
    <x v="59"/>
    <s v="Whole Wheat Flour"/>
  </r>
  <r>
    <x v="21"/>
    <s v="Mineral Water 1.5L"/>
  </r>
  <r>
    <x v="12"/>
    <s v="Wooden Bench"/>
  </r>
  <r>
    <x v="19"/>
    <s v="Webcam"/>
  </r>
  <r>
    <x v="70"/>
    <s v="Portable SSD"/>
  </r>
  <r>
    <x v="24"/>
    <s v="Winter Jacket"/>
  </r>
  <r>
    <x v="30"/>
    <s v="Tomato Ketchup"/>
  </r>
  <r>
    <x v="61"/>
    <s v="Canned Tuna"/>
  </r>
  <r>
    <x v="44"/>
    <s v="Mechanical Pencil"/>
  </r>
  <r>
    <x v="65"/>
    <s v="File Folder Set"/>
  </r>
  <r>
    <x v="8"/>
    <s v="Correction Tape"/>
  </r>
  <r>
    <x v="32"/>
    <s v="Display Shelf"/>
  </r>
  <r>
    <x v="5"/>
    <s v="Sticky Notes"/>
  </r>
  <r>
    <x v="0"/>
    <s v="LED Monitor"/>
  </r>
  <r>
    <x v="9"/>
    <s v="Yoga Leggings"/>
  </r>
  <r>
    <x v="33"/>
    <s v="Whiteboard Marker"/>
  </r>
  <r>
    <x v="44"/>
    <s v="Mechanical Pencil"/>
  </r>
  <r>
    <x v="7"/>
    <s v="Eraser Pack"/>
  </r>
  <r>
    <x v="64"/>
    <s v="USB-C Charger"/>
  </r>
  <r>
    <x v="41"/>
    <s v="HDMI Cable"/>
  </r>
  <r>
    <x v="20"/>
    <s v="Casual Sneakers"/>
  </r>
  <r>
    <x v="48"/>
    <s v="Orange Juice"/>
  </r>
  <r>
    <x v="74"/>
    <s v="Sea Salt"/>
  </r>
  <r>
    <x v="71"/>
    <s v="Desk Organizer"/>
  </r>
  <r>
    <x v="50"/>
    <s v="Ring Binder"/>
  </r>
  <r>
    <x v="0"/>
    <s v="LED Monitor"/>
  </r>
  <r>
    <x v="58"/>
    <s v="Cardigan Sweater"/>
  </r>
  <r>
    <x v="61"/>
    <s v="Canned Tuna"/>
  </r>
  <r>
    <x v="55"/>
    <s v="Milk Powder"/>
  </r>
  <r>
    <x v="72"/>
    <s v="Study Desk"/>
  </r>
  <r>
    <x v="31"/>
    <s v="Bookshelf"/>
  </r>
  <r>
    <x v="12"/>
    <s v="Wooden Bench"/>
  </r>
  <r>
    <x v="69"/>
    <s v="A4 Notebook"/>
  </r>
  <r>
    <x v="67"/>
    <s v="Peanut Butter"/>
  </r>
  <r>
    <x v="33"/>
    <s v="Whiteboard Marker"/>
  </r>
  <r>
    <x v="44"/>
    <s v="Mechanical Pencil"/>
  </r>
  <r>
    <x v="35"/>
    <s v="Mini Projector"/>
  </r>
  <r>
    <x v="45"/>
    <s v="Cotton T-Shirt"/>
  </r>
  <r>
    <x v="45"/>
    <s v="Cotton T-Shirt"/>
  </r>
  <r>
    <x v="14"/>
    <s v="Wool Scarf"/>
  </r>
  <r>
    <x v="30"/>
    <s v="Tomato Ketchup"/>
  </r>
  <r>
    <x v="52"/>
    <s v="Computer Desk"/>
  </r>
  <r>
    <x v="32"/>
    <s v="Display Shelf"/>
  </r>
  <r>
    <x v="20"/>
    <s v="Casual Sneakers"/>
  </r>
  <r>
    <x v="39"/>
    <s v="Dining Chair"/>
  </r>
  <r>
    <x v="68"/>
    <s v="Kitchen Stool"/>
  </r>
  <r>
    <x v="65"/>
    <s v="File Folder Set"/>
  </r>
  <r>
    <x v="0"/>
    <s v="LED Monitor"/>
  </r>
  <r>
    <x v="53"/>
    <s v="Formal Trousers"/>
  </r>
  <r>
    <x v="20"/>
    <s v="Casual Sneakers"/>
  </r>
  <r>
    <x v="38"/>
    <s v="Pasta 500g"/>
  </r>
  <r>
    <x v="61"/>
    <s v="Canned Tuna"/>
  </r>
  <r>
    <x v="43"/>
    <s v="Shoe Rack"/>
  </r>
  <r>
    <x v="52"/>
    <s v="Computer Desk"/>
  </r>
  <r>
    <x v="5"/>
    <s v="Sticky Notes"/>
  </r>
  <r>
    <x v="6"/>
    <s v="Glue Stick"/>
  </r>
  <r>
    <x v="37"/>
    <s v="Laptop Sleeve"/>
  </r>
  <r>
    <x v="28"/>
    <s v="Graphic Tablet"/>
  </r>
  <r>
    <x v="22"/>
    <s v="Recliner Chair"/>
  </r>
  <r>
    <x v="63"/>
    <s v="Summer Dress"/>
  </r>
  <r>
    <x v="4"/>
    <s v="Chocolate Cookies"/>
  </r>
  <r>
    <x v="48"/>
    <s v="Orange Juice"/>
  </r>
  <r>
    <x v="51"/>
    <s v="Wardrobe Cabinet"/>
  </r>
  <r>
    <x v="50"/>
    <s v="Ring Binder"/>
  </r>
  <r>
    <x v="62"/>
    <s v="Noise Cancelling Headphones"/>
  </r>
  <r>
    <x v="0"/>
    <s v="LED Monitor"/>
  </r>
  <r>
    <x v="27"/>
    <s v="Basmati Rice 5kg"/>
  </r>
  <r>
    <x v="30"/>
    <s v="Tomato Ketchup"/>
  </r>
  <r>
    <x v="31"/>
    <s v="Bookshelf"/>
  </r>
  <r>
    <x v="40"/>
    <s v="Highlighter Set"/>
  </r>
  <r>
    <x v="6"/>
    <s v="Glue Stick"/>
  </r>
  <r>
    <x v="47"/>
    <s v="Power Bank"/>
  </r>
  <r>
    <x v="45"/>
    <s v="Cotton T-Shirt"/>
  </r>
  <r>
    <x v="46"/>
    <s v="Denim Jeans"/>
  </r>
  <r>
    <x v="58"/>
    <s v="Cardigan Sweater"/>
  </r>
  <r>
    <x v="2"/>
    <s v="Wi-Fi Router"/>
  </r>
  <r>
    <x v="51"/>
    <s v="Wardrobe Cabinet"/>
  </r>
  <r>
    <x v="65"/>
    <s v="File Folder Set"/>
  </r>
  <r>
    <x v="34"/>
    <s v="Wireless Mouse"/>
  </r>
  <r>
    <x v="47"/>
    <s v="Power Bank"/>
  </r>
  <r>
    <x v="41"/>
    <s v="HDMI Cable"/>
  </r>
  <r>
    <x v="41"/>
    <s v="HDMI Cable"/>
  </r>
  <r>
    <x v="75"/>
    <s v="Instant Coffee"/>
  </r>
  <r>
    <x v="36"/>
    <s v="Bedside Table"/>
  </r>
  <r>
    <x v="69"/>
    <s v="A4 Notebook"/>
  </r>
  <r>
    <x v="79"/>
    <s v="Scissors"/>
  </r>
  <r>
    <x v="27"/>
    <s v="Basmati Rice 5kg"/>
  </r>
  <r>
    <x v="75"/>
    <s v="Instant Coffee"/>
  </r>
  <r>
    <x v="49"/>
    <s v="Brown Sugar"/>
  </r>
  <r>
    <x v="6"/>
    <s v="Glue Stick"/>
  </r>
  <r>
    <x v="18"/>
    <s v="Mechanical Keyboard"/>
  </r>
  <r>
    <x v="30"/>
    <s v="Tomato Ketchup"/>
  </r>
  <r>
    <x v="1"/>
    <s v="Smartphone Stand"/>
  </r>
  <r>
    <x v="67"/>
    <s v="Peanut Butter"/>
  </r>
  <r>
    <x v="52"/>
    <s v="Computer Desk"/>
  </r>
  <r>
    <x v="25"/>
    <s v="Ballpoint Pen Pack"/>
  </r>
  <r>
    <x v="33"/>
    <s v="Whiteboard Marker"/>
  </r>
  <r>
    <x v="17"/>
    <s v="Stapler"/>
  </r>
  <r>
    <x v="64"/>
    <s v="USB-C Charger"/>
  </r>
  <r>
    <x v="41"/>
    <s v="HDMI Cable"/>
  </r>
  <r>
    <x v="3"/>
    <s v="Olive Oil 1L"/>
  </r>
  <r>
    <x v="74"/>
    <s v="Sea Salt"/>
  </r>
  <r>
    <x v="10"/>
    <s v="Office Chair"/>
  </r>
  <r>
    <x v="68"/>
    <s v="Kitchen Stool"/>
  </r>
  <r>
    <x v="71"/>
    <s v="Desk Organizer"/>
  </r>
  <r>
    <x v="71"/>
    <s v="Desk Organizer"/>
  </r>
  <r>
    <x v="76"/>
    <s v="Raincoat"/>
  </r>
  <r>
    <x v="3"/>
    <s v="Olive Oil 1L"/>
  </r>
  <r>
    <x v="71"/>
    <s v="Desk Organizer"/>
  </r>
  <r>
    <x v="41"/>
    <s v="HDMI Cable"/>
  </r>
  <r>
    <x v="28"/>
    <s v="Graphic Tablet"/>
  </r>
  <r>
    <x v="77"/>
    <s v="Running Shoes"/>
  </r>
  <r>
    <x v="49"/>
    <s v="Brown Sugar"/>
  </r>
  <r>
    <x v="0"/>
    <s v="LED Monitor"/>
  </r>
  <r>
    <x v="67"/>
    <s v="Peanut Butter"/>
  </r>
  <r>
    <x v="55"/>
    <s v="Milk Powder"/>
  </r>
  <r>
    <x v="19"/>
    <s v="Webcam"/>
  </r>
  <r>
    <x v="36"/>
    <s v="Bedside Table"/>
  </r>
  <r>
    <x v="44"/>
    <s v="Mechanical Pencil"/>
  </r>
  <r>
    <x v="8"/>
    <s v="Correction Tape"/>
  </r>
  <r>
    <x v="2"/>
    <s v="Wi-Fi Router"/>
  </r>
  <r>
    <x v="20"/>
    <s v="Casual Sneakers"/>
  </r>
  <r>
    <x v="26"/>
    <s v="Leather Belt"/>
  </r>
  <r>
    <x v="65"/>
    <s v="File Folder Set"/>
  </r>
  <r>
    <x v="19"/>
    <s v="Webcam"/>
  </r>
  <r>
    <x v="63"/>
    <s v="Summer Dress"/>
  </r>
  <r>
    <x v="49"/>
    <s v="Brown Sugar"/>
  </r>
  <r>
    <x v="31"/>
    <s v="Bookshelf"/>
  </r>
  <r>
    <x v="65"/>
    <s v="File Folder Set"/>
  </r>
  <r>
    <x v="34"/>
    <s v="Wireless Mouse"/>
  </r>
  <r>
    <x v="59"/>
    <s v="Whole Wheat Flour"/>
  </r>
  <r>
    <x v="74"/>
    <s v="Sea Salt"/>
  </r>
  <r>
    <x v="58"/>
    <s v="Cardigan Sweater"/>
  </r>
  <r>
    <x v="59"/>
    <s v="Whole Wheat Flour"/>
  </r>
  <r>
    <x v="48"/>
    <s v="Orange Juice"/>
  </r>
  <r>
    <x v="43"/>
    <s v="Shoe Rack"/>
  </r>
  <r>
    <x v="42"/>
    <s v="Green Tea Pack"/>
  </r>
  <r>
    <x v="75"/>
    <s v="Instant Coffee"/>
  </r>
  <r>
    <x v="45"/>
    <s v="Cotton T-Shirt"/>
  </r>
  <r>
    <x v="3"/>
    <s v="Olive Oil 1L"/>
  </r>
  <r>
    <x v="7"/>
    <s v="Eraser Pack"/>
  </r>
  <r>
    <x v="35"/>
    <s v="Mini Projector"/>
  </r>
  <r>
    <x v="14"/>
    <s v="Wool Scarf"/>
  </r>
  <r>
    <x v="38"/>
    <s v="Pasta 500g"/>
  </r>
  <r>
    <x v="12"/>
    <s v="Wooden Bench"/>
  </r>
  <r>
    <x v="24"/>
    <s v="Winter Jacket"/>
  </r>
  <r>
    <x v="67"/>
    <s v="Peanut Butter"/>
  </r>
  <r>
    <x v="61"/>
    <s v="Canned Tuna"/>
  </r>
  <r>
    <x v="13"/>
    <s v="Paper Clips Box"/>
  </r>
  <r>
    <x v="7"/>
    <s v="Eraser Pack"/>
  </r>
  <r>
    <x v="7"/>
    <s v="Eraser Pack"/>
  </r>
  <r>
    <x v="18"/>
    <s v="Mechanical Keyboard"/>
  </r>
  <r>
    <x v="41"/>
    <s v="HDMI Cable"/>
  </r>
  <r>
    <x v="53"/>
    <s v="Formal Trousers"/>
  </r>
  <r>
    <x v="26"/>
    <s v="Leather Belt"/>
  </r>
  <r>
    <x v="30"/>
    <s v="Tomato Ketchup"/>
  </r>
  <r>
    <x v="39"/>
    <s v="Dining Chair"/>
  </r>
  <r>
    <x v="12"/>
    <s v="Wooden Bench"/>
  </r>
  <r>
    <x v="12"/>
    <s v="Wooden Bench"/>
  </r>
  <r>
    <x v="33"/>
    <s v="Whiteboard Marker"/>
  </r>
  <r>
    <x v="7"/>
    <s v="Eraser Pack"/>
  </r>
  <r>
    <x v="50"/>
    <s v="Ring Binder"/>
  </r>
  <r>
    <x v="37"/>
    <s v="Laptop Sleeve"/>
  </r>
  <r>
    <x v="28"/>
    <s v="Graphic Tablet"/>
  </r>
  <r>
    <x v="9"/>
    <s v="Yoga Leggings"/>
  </r>
  <r>
    <x v="42"/>
    <s v="Green Tea Pack"/>
  </r>
  <r>
    <x v="52"/>
    <s v="Computer Desk"/>
  </r>
  <r>
    <x v="32"/>
    <s v="Display Shelf"/>
  </r>
  <r>
    <x v="19"/>
    <s v="Webcam"/>
  </r>
  <r>
    <x v="19"/>
    <s v="Webcam"/>
  </r>
  <r>
    <x v="1"/>
    <s v="Smartphone Stand"/>
  </r>
  <r>
    <x v="45"/>
    <s v="Cotton T-Shirt"/>
  </r>
  <r>
    <x v="9"/>
    <s v="Yoga Leggings"/>
  </r>
  <r>
    <x v="75"/>
    <s v="Instant Coffee"/>
  </r>
  <r>
    <x v="22"/>
    <s v="Recliner Chair"/>
  </r>
  <r>
    <x v="50"/>
    <s v="Ring Binder"/>
  </r>
  <r>
    <x v="34"/>
    <s v="Wireless Mouse"/>
  </r>
  <r>
    <x v="47"/>
    <s v="Power Bank"/>
  </r>
  <r>
    <x v="28"/>
    <s v="Graphic Tablet"/>
  </r>
  <r>
    <x v="73"/>
    <s v="Fitness Tracker"/>
  </r>
  <r>
    <x v="4"/>
    <s v="Chocolate Cookies"/>
  </r>
  <r>
    <x v="51"/>
    <s v="Wardrobe Cabinet"/>
  </r>
  <r>
    <x v="65"/>
    <s v="File Folder Set"/>
  </r>
  <r>
    <x v="14"/>
    <s v="Wool Scarf"/>
  </r>
  <r>
    <x v="10"/>
    <s v="Office Chair"/>
  </r>
  <r>
    <x v="57"/>
    <s v="Bluetooth Speaker"/>
  </r>
  <r>
    <x v="62"/>
    <s v="Noise Cancelling Headphones"/>
  </r>
  <r>
    <x v="19"/>
    <s v="Webcam"/>
  </r>
  <r>
    <x v="70"/>
    <s v="Portable SSD"/>
  </r>
  <r>
    <x v="66"/>
    <s v="Hooded Sweatshirt"/>
  </r>
  <r>
    <x v="75"/>
    <s v="Instant Coffee"/>
  </r>
  <r>
    <x v="75"/>
    <s v="Instant Coffee"/>
  </r>
  <r>
    <x v="10"/>
    <s v="Office Chair"/>
  </r>
  <r>
    <x v="54"/>
    <s v="Sports Cap"/>
  </r>
  <r>
    <x v="49"/>
    <s v="Brown Sugar"/>
  </r>
  <r>
    <x v="2"/>
    <s v="Wi-Fi Router"/>
  </r>
  <r>
    <x v="35"/>
    <s v="Mini Projector"/>
  </r>
  <r>
    <x v="29"/>
    <s v="Ankle Socks"/>
  </r>
  <r>
    <x v="29"/>
    <s v="Ankle Socks"/>
  </r>
  <r>
    <x v="63"/>
    <s v="Summer Dress"/>
  </r>
  <r>
    <x v="52"/>
    <s v="Computer Desk"/>
  </r>
  <r>
    <x v="68"/>
    <s v="Kitchen Stool"/>
  </r>
  <r>
    <x v="18"/>
    <s v="Mechanical Keyboard"/>
  </r>
  <r>
    <x v="41"/>
    <s v="HDMI Cable"/>
  </r>
  <r>
    <x v="45"/>
    <s v="Cotton T-Shirt"/>
  </r>
  <r>
    <x v="29"/>
    <s v="Ankle Socks"/>
  </r>
  <r>
    <x v="75"/>
    <s v="Instant Coffee"/>
  </r>
  <r>
    <x v="67"/>
    <s v="Peanut Butter"/>
  </r>
  <r>
    <x v="60"/>
    <s v="Coffee Table"/>
  </r>
  <r>
    <x v="16"/>
    <s v="Folding Table"/>
  </r>
  <r>
    <x v="40"/>
    <s v="Highlighter Set"/>
  </r>
  <r>
    <x v="23"/>
    <s v="Polo Shirt"/>
  </r>
  <r>
    <x v="23"/>
    <s v="Polo Shirt"/>
  </r>
  <r>
    <x v="76"/>
    <s v="Raincoat"/>
  </r>
  <r>
    <x v="75"/>
    <s v="Instant Coffee"/>
  </r>
  <r>
    <x v="61"/>
    <s v="Canned Tuna"/>
  </r>
  <r>
    <x v="72"/>
    <s v="Study Desk"/>
  </r>
  <r>
    <x v="68"/>
    <s v="Kitchen Stool"/>
  </r>
  <r>
    <x v="32"/>
    <s v="Display Shelf"/>
  </r>
  <r>
    <x v="78"/>
    <s v="Printer Paper Ream"/>
  </r>
  <r>
    <x v="18"/>
    <s v="Mechanical Keyboard"/>
  </r>
  <r>
    <x v="66"/>
    <s v="Hooded Sweatshirt"/>
  </r>
  <r>
    <x v="77"/>
    <s v="Running Shoes"/>
  </r>
  <r>
    <x v="48"/>
    <s v="Orange Juice"/>
  </r>
  <r>
    <x v="12"/>
    <s v="Wooden Bench"/>
  </r>
  <r>
    <x v="33"/>
    <s v="Whiteboard Marker"/>
  </r>
  <r>
    <x v="40"/>
    <s v="Highlighter Set"/>
  </r>
  <r>
    <x v="18"/>
    <s v="Mechanical Keyboard"/>
  </r>
  <r>
    <x v="73"/>
    <s v="Fitness Tracker"/>
  </r>
  <r>
    <x v="3"/>
    <s v="Olive Oil 1L"/>
  </r>
  <r>
    <x v="4"/>
    <s v="Chocolate Cookies"/>
  </r>
  <r>
    <x v="67"/>
    <s v="Peanut Butter"/>
  </r>
  <r>
    <x v="56"/>
    <s v="TV Stand"/>
  </r>
  <r>
    <x v="56"/>
    <s v="TV Stand"/>
  </r>
  <r>
    <x v="50"/>
    <s v="Ring Binder"/>
  </r>
  <r>
    <x v="8"/>
    <s v="Correction Tape"/>
  </r>
  <r>
    <x v="41"/>
    <s v="HDMI Cable"/>
  </r>
  <r>
    <x v="45"/>
    <s v="Cotton T-Shirt"/>
  </r>
  <r>
    <x v="66"/>
    <s v="Hooded Sweatshirt"/>
  </r>
  <r>
    <x v="58"/>
    <s v="Cardigan Sweater"/>
  </r>
  <r>
    <x v="30"/>
    <s v="Tomato Ketchup"/>
  </r>
  <r>
    <x v="38"/>
    <s v="Pasta 500g"/>
  </r>
  <r>
    <x v="49"/>
    <s v="Brown Sugar"/>
  </r>
  <r>
    <x v="31"/>
    <s v="Bookshelf"/>
  </r>
  <r>
    <x v="11"/>
    <s v="Storage Drawer"/>
  </r>
  <r>
    <x v="68"/>
    <s v="Kitchen Stool"/>
  </r>
  <r>
    <x v="50"/>
    <s v="Ring Binder"/>
  </r>
  <r>
    <x v="19"/>
    <s v="Webcam"/>
  </r>
  <r>
    <x v="0"/>
    <s v="LED Monitor"/>
  </r>
  <r>
    <x v="45"/>
    <s v="Cotton T-Shirt"/>
  </r>
  <r>
    <x v="72"/>
    <s v="Study Desk"/>
  </r>
  <r>
    <x v="56"/>
    <s v="TV Stand"/>
  </r>
  <r>
    <x v="64"/>
    <s v="USB-C Charger"/>
  </r>
  <r>
    <x v="2"/>
    <s v="Wi-Fi Router"/>
  </r>
  <r>
    <x v="45"/>
    <s v="Cotton T-Shirt"/>
  </r>
  <r>
    <x v="27"/>
    <s v="Basmati Rice 5kg"/>
  </r>
  <r>
    <x v="74"/>
    <s v="Sea Salt"/>
  </r>
  <r>
    <x v="60"/>
    <s v="Coffee Table"/>
  </r>
  <r>
    <x v="51"/>
    <s v="Wardrobe Cabinet"/>
  </r>
  <r>
    <x v="5"/>
    <s v="Sticky Notes"/>
  </r>
  <r>
    <x v="7"/>
    <s v="Eraser Pack"/>
  </r>
  <r>
    <x v="54"/>
    <s v="Sports Cap"/>
  </r>
  <r>
    <x v="38"/>
    <s v="Pasta 500g"/>
  </r>
  <r>
    <x v="64"/>
    <s v="USB-C Charger"/>
  </r>
  <r>
    <x v="41"/>
    <s v="HDMI Cable"/>
  </r>
  <r>
    <x v="66"/>
    <s v="Hooded Sweatshirt"/>
  </r>
  <r>
    <x v="29"/>
    <s v="Ankle Socks"/>
  </r>
  <r>
    <x v="58"/>
    <s v="Cardigan Sweater"/>
  </r>
  <r>
    <x v="30"/>
    <s v="Tomato Ketchup"/>
  </r>
  <r>
    <x v="15"/>
    <s v="Breakfast Cereal"/>
  </r>
  <r>
    <x v="68"/>
    <s v="Kitchen Stool"/>
  </r>
  <r>
    <x v="37"/>
    <s v="Laptop Sleeve"/>
  </r>
  <r>
    <x v="18"/>
    <s v="Mechanical Keyboard"/>
  </r>
  <r>
    <x v="37"/>
    <s v="Laptop Sleeve"/>
  </r>
  <r>
    <x v="45"/>
    <s v="Cotton T-Shirt"/>
  </r>
  <r>
    <x v="27"/>
    <s v="Basmati Rice 5kg"/>
  </r>
  <r>
    <x v="3"/>
    <s v="Olive Oil 1L"/>
  </r>
  <r>
    <x v="59"/>
    <s v="Whole Wheat Flour"/>
  </r>
  <r>
    <x v="31"/>
    <s v="Bookshelf"/>
  </r>
  <r>
    <x v="36"/>
    <s v="Bedside Table"/>
  </r>
  <r>
    <x v="11"/>
    <s v="Storage Drawer"/>
  </r>
  <r>
    <x v="22"/>
    <s v="Recliner Chair"/>
  </r>
  <r>
    <x v="25"/>
    <s v="Ballpoint Pen Pack"/>
  </r>
  <r>
    <x v="58"/>
    <s v="Cardigan Sweater"/>
  </r>
  <r>
    <x v="13"/>
    <s v="Paper Clips Box"/>
  </r>
  <r>
    <x v="54"/>
    <s v="Sports Cap"/>
  </r>
  <r>
    <x v="29"/>
    <s v="Ankle Socks"/>
  </r>
  <r>
    <x v="59"/>
    <s v="Whole Wheat Flour"/>
  </r>
  <r>
    <x v="13"/>
    <s v="Paper Clips Box"/>
  </r>
  <r>
    <x v="0"/>
    <s v="LED Monitor"/>
  </r>
  <r>
    <x v="73"/>
    <s v="Fitness Tracker"/>
  </r>
  <r>
    <x v="77"/>
    <s v="Running Shoes"/>
  </r>
  <r>
    <x v="20"/>
    <s v="Casual Sneakers"/>
  </r>
  <r>
    <x v="26"/>
    <s v="Leather Belt"/>
  </r>
  <r>
    <x v="61"/>
    <s v="Canned Tuna"/>
  </r>
  <r>
    <x v="56"/>
    <s v="TV Stand"/>
  </r>
  <r>
    <x v="32"/>
    <s v="Display Shelf"/>
  </r>
  <r>
    <x v="73"/>
    <s v="Fitness Tracker"/>
  </r>
  <r>
    <x v="3"/>
    <s v="Olive Oil 1L"/>
  </r>
  <r>
    <x v="42"/>
    <s v="Green Tea Pack"/>
  </r>
  <r>
    <x v="48"/>
    <s v="Orange Juice"/>
  </r>
  <r>
    <x v="15"/>
    <s v="Breakfast Cereal"/>
  </r>
  <r>
    <x v="12"/>
    <s v="Wooden Bench"/>
  </r>
  <r>
    <x v="78"/>
    <s v="Printer Paper Ream"/>
  </r>
  <r>
    <x v="79"/>
    <s v="Scissors"/>
  </r>
  <r>
    <x v="42"/>
    <s v="Green Tea Pack"/>
  </r>
  <r>
    <x v="59"/>
    <s v="Whole Wheat Flour"/>
  </r>
  <r>
    <x v="21"/>
    <s v="Mineral Water 1.5L"/>
  </r>
  <r>
    <x v="52"/>
    <s v="Computer Desk"/>
  </r>
  <r>
    <x v="18"/>
    <s v="Mechanical Keyboard"/>
  </r>
  <r>
    <x v="62"/>
    <s v="Noise Cancelling Headphones"/>
  </r>
  <r>
    <x v="0"/>
    <s v="LED Monitor"/>
  </r>
  <r>
    <x v="1"/>
    <s v="Smartphone Stand"/>
  </r>
  <r>
    <x v="41"/>
    <s v="HDMI Cable"/>
  </r>
  <r>
    <x v="29"/>
    <s v="Ankle Socks"/>
  </r>
  <r>
    <x v="55"/>
    <s v="Milk Powder"/>
  </r>
  <r>
    <x v="22"/>
    <s v="Recliner Chair"/>
  </r>
  <r>
    <x v="47"/>
    <s v="Power Bank"/>
  </r>
  <r>
    <x v="39"/>
    <s v="Dining Chair"/>
  </r>
  <r>
    <x v="69"/>
    <s v="A4 Notebook"/>
  </r>
  <r>
    <x v="17"/>
    <s v="Stapler"/>
  </r>
  <r>
    <x v="68"/>
    <s v="Kitchen Stool"/>
  </r>
  <r>
    <x v="40"/>
    <s v="Highlighter Set"/>
  </r>
  <r>
    <x v="71"/>
    <s v="Desk Organizer"/>
  </r>
  <r>
    <x v="57"/>
    <s v="Bluetooth Speaker"/>
  </r>
  <r>
    <x v="0"/>
    <s v="LED Monitor"/>
  </r>
  <r>
    <x v="1"/>
    <s v="Smartphone Stand"/>
  </r>
  <r>
    <x v="77"/>
    <s v="Running Shoes"/>
  </r>
  <r>
    <x v="69"/>
    <s v="A4 Notebook"/>
  </r>
  <r>
    <x v="17"/>
    <s v="Stapler"/>
  </r>
  <r>
    <x v="64"/>
    <s v="USB-C Charger"/>
  </r>
  <r>
    <x v="64"/>
    <s v="USB-C Charger"/>
  </r>
  <r>
    <x v="63"/>
    <s v="Summer Dress"/>
  </r>
  <r>
    <x v="27"/>
    <s v="Basmati Rice 5kg"/>
  </r>
  <r>
    <x v="75"/>
    <s v="Instant Coffee"/>
  </r>
  <r>
    <x v="59"/>
    <s v="Whole Wheat Flour"/>
  </r>
  <r>
    <x v="65"/>
    <s v="File Folder Set"/>
  </r>
  <r>
    <x v="14"/>
    <s v="Wool Scarf"/>
  </r>
  <r>
    <x v="67"/>
    <s v="Peanut Butter"/>
  </r>
  <r>
    <x v="78"/>
    <s v="Printer Paper Ream"/>
  </r>
  <r>
    <x v="44"/>
    <s v="Mechanical Pencil"/>
  </r>
  <r>
    <x v="70"/>
    <s v="Portable SSD"/>
  </r>
  <r>
    <x v="41"/>
    <s v="HDMI Cable"/>
  </r>
  <r>
    <x v="35"/>
    <s v="Mini Projector"/>
  </r>
  <r>
    <x v="46"/>
    <s v="Denim Jeans"/>
  </r>
  <r>
    <x v="22"/>
    <s v="Recliner Chair"/>
  </r>
  <r>
    <x v="62"/>
    <s v="Noise Cancelling Headphones"/>
  </r>
  <r>
    <x v="35"/>
    <s v="Mini Projector"/>
  </r>
  <r>
    <x v="45"/>
    <s v="Cotton T-Shirt"/>
  </r>
  <r>
    <x v="77"/>
    <s v="Running Shoes"/>
  </r>
  <r>
    <x v="24"/>
    <s v="Winter Jacket"/>
  </r>
  <r>
    <x v="27"/>
    <s v="Basmati Rice 5kg"/>
  </r>
  <r>
    <x v="30"/>
    <s v="Tomato Ketchup"/>
  </r>
  <r>
    <x v="72"/>
    <s v="Study Desk"/>
  </r>
  <r>
    <x v="57"/>
    <s v="Bluetooth Speaker"/>
  </r>
  <r>
    <x v="70"/>
    <s v="Portable SSD"/>
  </r>
  <r>
    <x v="76"/>
    <s v="Raincoat"/>
  </r>
  <r>
    <x v="59"/>
    <s v="Whole Wheat Flour"/>
  </r>
  <r>
    <x v="48"/>
    <s v="Orange Juice"/>
  </r>
  <r>
    <x v="11"/>
    <s v="Storage Drawer"/>
  </r>
  <r>
    <x v="76"/>
    <s v="Raincoat"/>
  </r>
  <r>
    <x v="74"/>
    <s v="Sea Salt"/>
  </r>
  <r>
    <x v="10"/>
    <s v="Office Chair"/>
  </r>
  <r>
    <x v="56"/>
    <s v="TV Stand"/>
  </r>
  <r>
    <x v="16"/>
    <s v="Folding Table"/>
  </r>
  <r>
    <x v="65"/>
    <s v="File Folder Set"/>
  </r>
  <r>
    <x v="57"/>
    <s v="Bluetooth Speaker"/>
  </r>
  <r>
    <x v="2"/>
    <s v="Wi-Fi Router"/>
  </r>
  <r>
    <x v="14"/>
    <s v="Wool Scarf"/>
  </r>
  <r>
    <x v="4"/>
    <s v="Chocolate Cookies"/>
  </r>
  <r>
    <x v="13"/>
    <s v="Paper Clips Box"/>
  </r>
  <r>
    <x v="6"/>
    <s v="Glue Stick"/>
  </r>
  <r>
    <x v="65"/>
    <s v="File Folder Set"/>
  </r>
  <r>
    <x v="34"/>
    <s v="Wireless Mouse"/>
  </r>
  <r>
    <x v="46"/>
    <s v="Denim Jeans"/>
  </r>
  <r>
    <x v="54"/>
    <s v="Sports Cap"/>
  </r>
  <r>
    <x v="27"/>
    <s v="Basmati Rice 5kg"/>
  </r>
  <r>
    <x v="10"/>
    <s v="Office Chair"/>
  </r>
  <r>
    <x v="43"/>
    <s v="Shoe Rack"/>
  </r>
  <r>
    <x v="43"/>
    <s v="Shoe Rack"/>
  </r>
  <r>
    <x v="29"/>
    <s v="Ankle Socks"/>
  </r>
  <r>
    <x v="61"/>
    <s v="Canned Tuna"/>
  </r>
  <r>
    <x v="21"/>
    <s v="Mineral Water 1.5L"/>
  </r>
  <r>
    <x v="52"/>
    <s v="Computer Desk"/>
  </r>
  <r>
    <x v="16"/>
    <s v="Folding Table"/>
  </r>
  <r>
    <x v="79"/>
    <s v="Scissors"/>
  </r>
  <r>
    <x v="34"/>
    <s v="Wireless Mouse"/>
  </r>
  <r>
    <x v="74"/>
    <s v="Sea Salt"/>
  </r>
  <r>
    <x v="51"/>
    <s v="Wardrobe Cabinet"/>
  </r>
  <r>
    <x v="68"/>
    <s v="Kitchen Stool"/>
  </r>
  <r>
    <x v="5"/>
    <s v="Sticky Notes"/>
  </r>
  <r>
    <x v="70"/>
    <s v="Portable SSD"/>
  </r>
  <r>
    <x v="35"/>
    <s v="Mini Projector"/>
  </r>
  <r>
    <x v="45"/>
    <s v="Cotton T-Shirt"/>
  </r>
  <r>
    <x v="21"/>
    <s v="Mineral Water 1.5L"/>
  </r>
  <r>
    <x v="24"/>
    <s v="Winter Jacket"/>
  </r>
  <r>
    <x v="36"/>
    <s v="Bedside Table"/>
  </r>
  <r>
    <x v="68"/>
    <s v="Kitchen Stool"/>
  </r>
  <r>
    <x v="18"/>
    <s v="Mechanical Keyboard"/>
  </r>
  <r>
    <x v="57"/>
    <s v="Bluetooth Speaker"/>
  </r>
  <r>
    <x v="45"/>
    <s v="Cotton T-Shirt"/>
  </r>
  <r>
    <x v="42"/>
    <s v="Green Tea Pack"/>
  </r>
  <r>
    <x v="61"/>
    <s v="Canned Tuna"/>
  </r>
  <r>
    <x v="21"/>
    <s v="Mineral Water 1.5L"/>
  </r>
  <r>
    <x v="55"/>
    <s v="Milk Powder"/>
  </r>
  <r>
    <x v="17"/>
    <s v="Stapler"/>
  </r>
  <r>
    <x v="27"/>
    <s v="Basmati Rice 5kg"/>
  </r>
  <r>
    <x v="36"/>
    <s v="Bedside Table"/>
  </r>
  <r>
    <x v="12"/>
    <s v="Wooden Bench"/>
  </r>
  <r>
    <x v="18"/>
    <s v="Mechanical Keyboard"/>
  </r>
  <r>
    <x v="45"/>
    <s v="Cotton T-Shirt"/>
  </r>
  <r>
    <x v="23"/>
    <s v="Polo Shirt"/>
  </r>
  <r>
    <x v="24"/>
    <s v="Winter Jacket"/>
  </r>
  <r>
    <x v="14"/>
    <s v="Wool Scarf"/>
  </r>
  <r>
    <x v="49"/>
    <s v="Brown Sugar"/>
  </r>
  <r>
    <x v="69"/>
    <s v="A4 Notebook"/>
  </r>
  <r>
    <x v="3"/>
    <s v="Olive Oil 1L"/>
  </r>
  <r>
    <x v="56"/>
    <s v="TV Stand"/>
  </r>
  <r>
    <x v="40"/>
    <s v="Highlighter Set"/>
  </r>
  <r>
    <x v="77"/>
    <s v="Running Shoes"/>
  </r>
  <r>
    <x v="24"/>
    <s v="Winter Jacket"/>
  </r>
  <r>
    <x v="27"/>
    <s v="Basmati Rice 5kg"/>
  </r>
  <r>
    <x v="74"/>
    <s v="Sea Salt"/>
  </r>
  <r>
    <x v="36"/>
    <s v="Bedside Table"/>
  </r>
  <r>
    <x v="68"/>
    <s v="Kitchen Stool"/>
  </r>
  <r>
    <x v="33"/>
    <s v="Whiteboard Marker"/>
  </r>
  <r>
    <x v="64"/>
    <s v="USB-C Charger"/>
  </r>
  <r>
    <x v="19"/>
    <s v="Webcam"/>
  </r>
  <r>
    <x v="1"/>
    <s v="Smartphone Stand"/>
  </r>
  <r>
    <x v="73"/>
    <s v="Fitness Tracker"/>
  </r>
  <r>
    <x v="66"/>
    <s v="Hooded Sweatshirt"/>
  </r>
  <r>
    <x v="29"/>
    <s v="Ankle Socks"/>
  </r>
  <r>
    <x v="61"/>
    <s v="Canned Tuna"/>
  </r>
  <r>
    <x v="57"/>
    <s v="Bluetooth Speaker"/>
  </r>
  <r>
    <x v="33"/>
    <s v="Whiteboard Marker"/>
  </r>
  <r>
    <x v="34"/>
    <s v="Wireless Mouse"/>
  </r>
  <r>
    <x v="57"/>
    <s v="Bluetooth Speaker"/>
  </r>
  <r>
    <x v="70"/>
    <s v="Portable SSD"/>
  </r>
  <r>
    <x v="66"/>
    <s v="Hooded Sweatshirt"/>
  </r>
  <r>
    <x v="24"/>
    <s v="Winter Jacket"/>
  </r>
  <r>
    <x v="63"/>
    <s v="Summer Dress"/>
  </r>
  <r>
    <x v="76"/>
    <s v="Raincoat"/>
  </r>
  <r>
    <x v="27"/>
    <s v="Basmati Rice 5kg"/>
  </r>
  <r>
    <x v="11"/>
    <s v="Storage Drawer"/>
  </r>
  <r>
    <x v="71"/>
    <s v="Desk Organizer"/>
  </r>
  <r>
    <x v="79"/>
    <s v="Scissors"/>
  </r>
  <r>
    <x v="77"/>
    <s v="Running Shoes"/>
  </r>
  <r>
    <x v="55"/>
    <s v="Milk Powder"/>
  </r>
  <r>
    <x v="6"/>
    <s v="Glue Stick"/>
  </r>
  <r>
    <x v="73"/>
    <s v="Fitness Tracker"/>
  </r>
  <r>
    <x v="9"/>
    <s v="Yoga Leggings"/>
  </r>
  <r>
    <x v="65"/>
    <s v="File Folder Set"/>
  </r>
  <r>
    <x v="79"/>
    <s v="Scissors"/>
  </r>
  <r>
    <x v="46"/>
    <s v="Denim Jeans"/>
  </r>
  <r>
    <x v="66"/>
    <s v="Hooded Sweatshirt"/>
  </r>
  <r>
    <x v="20"/>
    <s v="Casual Sneakers"/>
  </r>
  <r>
    <x v="58"/>
    <s v="Cardigan Sweater"/>
  </r>
  <r>
    <x v="55"/>
    <s v="Milk Powder"/>
  </r>
  <r>
    <x v="7"/>
    <s v="Eraser Pack"/>
  </r>
  <r>
    <x v="79"/>
    <s v="Scissors"/>
  </r>
  <r>
    <x v="34"/>
    <s v="Wireless Mouse"/>
  </r>
  <r>
    <x v="37"/>
    <s v="Laptop Sleeve"/>
  </r>
  <r>
    <x v="4"/>
    <s v="Chocolate Cookies"/>
  </r>
  <r>
    <x v="49"/>
    <s v="Brown Sugar"/>
  </r>
  <r>
    <x v="22"/>
    <s v="Recliner Chair"/>
  </r>
  <r>
    <x v="22"/>
    <s v="Recliner Chair"/>
  </r>
  <r>
    <x v="44"/>
    <s v="Mechanical Pencil"/>
  </r>
  <r>
    <x v="65"/>
    <s v="File Folder Set"/>
  </r>
  <r>
    <x v="18"/>
    <s v="Mechanical Keyboard"/>
  </r>
  <r>
    <x v="0"/>
    <s v="LED Monitor"/>
  </r>
  <r>
    <x v="2"/>
    <s v="Wi-Fi Router"/>
  </r>
  <r>
    <x v="73"/>
    <s v="Fitness Tracker"/>
  </r>
  <r>
    <x v="37"/>
    <s v="Laptop Sleeve"/>
  </r>
  <r>
    <x v="4"/>
    <s v="Chocolate Cookies"/>
  </r>
  <r>
    <x v="13"/>
    <s v="Paper Clips Box"/>
  </r>
  <r>
    <x v="65"/>
    <s v="File Folder Set"/>
  </r>
  <r>
    <x v="8"/>
    <s v="Correction Tape"/>
  </r>
  <r>
    <x v="35"/>
    <s v="Mini Projector"/>
  </r>
  <r>
    <x v="23"/>
    <s v="Polo Shirt"/>
  </r>
  <r>
    <x v="76"/>
    <s v="Raincoat"/>
  </r>
  <r>
    <x v="51"/>
    <s v="Wardrobe Cabinet"/>
  </r>
  <r>
    <x v="71"/>
    <s v="Desk Organizer"/>
  </r>
  <r>
    <x v="79"/>
    <s v="Scissors"/>
  </r>
  <r>
    <x v="70"/>
    <s v="Portable SSD"/>
  </r>
  <r>
    <x v="4"/>
    <s v="Chocolate Cookies"/>
  </r>
  <r>
    <x v="56"/>
    <s v="TV Stand"/>
  </r>
  <r>
    <x v="1"/>
    <s v="Smartphone Stand"/>
  </r>
  <r>
    <x v="28"/>
    <s v="Graphic Tablet"/>
  </r>
  <r>
    <x v="30"/>
    <s v="Tomato Ketchup"/>
  </r>
  <r>
    <x v="51"/>
    <s v="Wardrobe Cabinet"/>
  </r>
  <r>
    <x v="56"/>
    <s v="TV Stand"/>
  </r>
  <r>
    <x v="68"/>
    <s v="Kitchen Stool"/>
  </r>
  <r>
    <x v="25"/>
    <s v="Ballpoint Pen Pack"/>
  </r>
  <r>
    <x v="18"/>
    <s v="Mechanical Keyboard"/>
  </r>
  <r>
    <x v="62"/>
    <s v="Noise Cancelling Headphones"/>
  </r>
  <r>
    <x v="63"/>
    <s v="Summer Dress"/>
  </r>
  <r>
    <x v="22"/>
    <s v="Recliner Chair"/>
  </r>
  <r>
    <x v="65"/>
    <s v="File Folder Set"/>
  </r>
  <r>
    <x v="37"/>
    <s v="Laptop Sleeve"/>
  </r>
  <r>
    <x v="4"/>
    <s v="Chocolate Cookies"/>
  </r>
  <r>
    <x v="21"/>
    <s v="Mineral Water 1.5L"/>
  </r>
  <r>
    <x v="22"/>
    <s v="Recliner Chair"/>
  </r>
  <r>
    <x v="42"/>
    <s v="Green Tea Pack"/>
  </r>
  <r>
    <x v="45"/>
    <s v="Cotton T-Shirt"/>
  </r>
  <r>
    <x v="66"/>
    <s v="Hooded Sweatshirt"/>
  </r>
  <r>
    <x v="63"/>
    <s v="Summer Dress"/>
  </r>
  <r>
    <x v="10"/>
    <s v="Office Chair"/>
  </r>
  <r>
    <x v="16"/>
    <s v="Folding Table"/>
  </r>
  <r>
    <x v="69"/>
    <s v="A4 Notebook"/>
  </r>
  <r>
    <x v="13"/>
    <s v="Paper Clips Box"/>
  </r>
  <r>
    <x v="64"/>
    <s v="USB-C Charger"/>
  </r>
  <r>
    <x v="63"/>
    <s v="Summer Dress"/>
  </r>
  <r>
    <x v="11"/>
    <s v="Storage Drawer"/>
  </r>
  <r>
    <x v="64"/>
    <s v="USB-C Charger"/>
  </r>
  <r>
    <x v="67"/>
    <s v="Peanut Butter"/>
  </r>
  <r>
    <x v="18"/>
    <s v="Mechanical Keyboard"/>
  </r>
  <r>
    <x v="0"/>
    <s v="LED Monitor"/>
  </r>
  <r>
    <x v="35"/>
    <s v="Mini Projector"/>
  </r>
  <r>
    <x v="39"/>
    <s v="Dining Chair"/>
  </r>
  <r>
    <x v="25"/>
    <s v="Ballpoint Pen Pack"/>
  </r>
  <r>
    <x v="40"/>
    <s v="Highlighter Set"/>
  </r>
  <r>
    <x v="8"/>
    <s v="Correction Tape"/>
  </r>
  <r>
    <x v="73"/>
    <s v="Fitness Tracker"/>
  </r>
  <r>
    <x v="29"/>
    <s v="Ankle Socks"/>
  </r>
  <r>
    <x v="10"/>
    <s v="Office Chair"/>
  </r>
  <r>
    <x v="44"/>
    <s v="Mechanical Pencil"/>
  </r>
  <r>
    <x v="62"/>
    <s v="Noise Cancelling Headphones"/>
  </r>
  <r>
    <x v="1"/>
    <s v="Smartphone Stand"/>
  </r>
  <r>
    <x v="47"/>
    <s v="Power Bank"/>
  </r>
  <r>
    <x v="66"/>
    <s v="Hooded Sweatshirt"/>
  </r>
  <r>
    <x v="14"/>
    <s v="Wool Scarf"/>
  </r>
  <r>
    <x v="75"/>
    <s v="Instant Coffee"/>
  </r>
  <r>
    <x v="12"/>
    <s v="Wooden Bench"/>
  </r>
  <r>
    <x v="64"/>
    <s v="USB-C Charger"/>
  </r>
  <r>
    <x v="27"/>
    <s v="Basmati Rice 5kg"/>
  </r>
  <r>
    <x v="75"/>
    <s v="Instant Coffee"/>
  </r>
  <r>
    <x v="75"/>
    <s v="Instant Coffee"/>
  </r>
  <r>
    <x v="69"/>
    <s v="A4 Notebook"/>
  </r>
  <r>
    <x v="13"/>
    <s v="Paper Clips Box"/>
  </r>
  <r>
    <x v="38"/>
    <s v="Pasta 500g"/>
  </r>
  <r>
    <x v="21"/>
    <s v="Mineral Water 1.5L"/>
  </r>
  <r>
    <x v="48"/>
    <s v="Orange Juice"/>
  </r>
  <r>
    <x v="22"/>
    <s v="Recliner Chair"/>
  </r>
  <r>
    <x v="71"/>
    <s v="Desk Organizer"/>
  </r>
  <r>
    <x v="79"/>
    <s v="Scissors"/>
  </r>
  <r>
    <x v="70"/>
    <s v="Portable SSD"/>
  </r>
  <r>
    <x v="37"/>
    <s v="Laptop Sleeve"/>
  </r>
  <r>
    <x v="41"/>
    <s v="HDMI Cable"/>
  </r>
  <r>
    <x v="75"/>
    <s v="Instant Coffee"/>
  </r>
  <r>
    <x v="10"/>
    <s v="Office Chair"/>
  </r>
  <r>
    <x v="51"/>
    <s v="Wardrobe Cabinet"/>
  </r>
  <r>
    <x v="51"/>
    <s v="Wardrobe Cabinet"/>
  </r>
  <r>
    <x v="16"/>
    <s v="Folding Table"/>
  </r>
  <r>
    <x v="13"/>
    <s v="Paper Clips Box"/>
  </r>
  <r>
    <x v="19"/>
    <s v="Webcam"/>
  </r>
  <r>
    <x v="0"/>
    <s v="LED Monitor"/>
  </r>
  <r>
    <x v="20"/>
    <s v="Casual Sneakers"/>
  </r>
  <r>
    <x v="27"/>
    <s v="Basmati Rice 5kg"/>
  </r>
  <r>
    <x v="48"/>
    <s v="Orange Juice"/>
  </r>
  <r>
    <x v="10"/>
    <s v="Office Chair"/>
  </r>
  <r>
    <x v="60"/>
    <s v="Coffee Table"/>
  </r>
  <r>
    <x v="73"/>
    <s v="Fitness Tracker"/>
  </r>
  <r>
    <x v="14"/>
    <s v="Wool Scarf"/>
  </r>
  <r>
    <x v="43"/>
    <s v="Shoe Rack"/>
  </r>
  <r>
    <x v="41"/>
    <s v="HDMI Cable"/>
  </r>
  <r>
    <x v="28"/>
    <s v="Graphic Tablet"/>
  </r>
  <r>
    <x v="28"/>
    <s v="Graphic Tablet"/>
  </r>
  <r>
    <x v="55"/>
    <s v="Milk Powder"/>
  </r>
  <r>
    <x v="16"/>
    <s v="Folding Table"/>
  </r>
  <r>
    <x v="16"/>
    <s v="Folding Table"/>
  </r>
  <r>
    <x v="68"/>
    <s v="Kitchen Stool"/>
  </r>
  <r>
    <x v="32"/>
    <s v="Display Shelf"/>
  </r>
  <r>
    <x v="13"/>
    <s v="Paper Clips Box"/>
  </r>
  <r>
    <x v="79"/>
    <s v="Scissors"/>
  </r>
  <r>
    <x v="57"/>
    <s v="Bluetooth Speaker"/>
  </r>
  <r>
    <x v="45"/>
    <s v="Cotton T-Shirt"/>
  </r>
  <r>
    <x v="14"/>
    <s v="Wool Scarf"/>
  </r>
  <r>
    <x v="27"/>
    <s v="Basmati Rice 5kg"/>
  </r>
  <r>
    <x v="3"/>
    <s v="Olive Oil 1L"/>
  </r>
  <r>
    <x v="74"/>
    <s v="Sea Salt"/>
  </r>
  <r>
    <x v="39"/>
    <s v="Dining Chair"/>
  </r>
  <r>
    <x v="51"/>
    <s v="Wardrobe Cabinet"/>
  </r>
  <r>
    <x v="16"/>
    <s v="Folding Table"/>
  </r>
  <r>
    <x v="5"/>
    <s v="Sticky Notes"/>
  </r>
  <r>
    <x v="78"/>
    <s v="Printer Paper Ream"/>
  </r>
  <r>
    <x v="1"/>
    <s v="Smartphone Stand"/>
  </r>
  <r>
    <x v="49"/>
    <s v="Brown Sugar"/>
  </r>
  <r>
    <x v="45"/>
    <s v="Cotton T-Shirt"/>
  </r>
  <r>
    <x v="63"/>
    <s v="Summer Dress"/>
  </r>
  <r>
    <x v="15"/>
    <s v="Breakfast Cereal"/>
  </r>
  <r>
    <x v="74"/>
    <s v="Sea Salt"/>
  </r>
  <r>
    <x v="24"/>
    <s v="Winter Jacket"/>
  </r>
  <r>
    <x v="63"/>
    <s v="Summer Dress"/>
  </r>
  <r>
    <x v="4"/>
    <s v="Chocolate Cookies"/>
  </r>
  <r>
    <x v="25"/>
    <s v="Ballpoint Pen Pack"/>
  </r>
  <r>
    <x v="73"/>
    <s v="Fitness Tracker"/>
  </r>
  <r>
    <x v="46"/>
    <s v="Denim Jeans"/>
  </r>
  <r>
    <x v="46"/>
    <s v="Denim Jeans"/>
  </r>
  <r>
    <x v="14"/>
    <s v="Wool Scarf"/>
  </r>
  <r>
    <x v="26"/>
    <s v="Leather Belt"/>
  </r>
  <r>
    <x v="38"/>
    <s v="Pasta 500g"/>
  </r>
  <r>
    <x v="49"/>
    <s v="Brown Sugar"/>
  </r>
  <r>
    <x v="60"/>
    <s v="Coffee Table"/>
  </r>
  <r>
    <x v="68"/>
    <s v="Kitchen Stool"/>
  </r>
  <r>
    <x v="69"/>
    <s v="A4 Notebook"/>
  </r>
  <r>
    <x v="18"/>
    <s v="Mechanical Keyboard"/>
  </r>
  <r>
    <x v="0"/>
    <s v="LED Monitor"/>
  </r>
  <r>
    <x v="14"/>
    <s v="Wool Scarf"/>
  </r>
  <r>
    <x v="43"/>
    <s v="Shoe Rack"/>
  </r>
  <r>
    <x v="52"/>
    <s v="Computer Desk"/>
  </r>
  <r>
    <x v="16"/>
    <s v="Folding Table"/>
  </r>
  <r>
    <x v="62"/>
    <s v="Noise Cancelling Headphones"/>
  </r>
  <r>
    <x v="2"/>
    <s v="Wi-Fi Router"/>
  </r>
  <r>
    <x v="35"/>
    <s v="Mini Projector"/>
  </r>
  <r>
    <x v="26"/>
    <s v="Leather Belt"/>
  </r>
  <r>
    <x v="10"/>
    <s v="Office Chair"/>
  </r>
  <r>
    <x v="56"/>
    <s v="TV Stand"/>
  </r>
  <r>
    <x v="45"/>
    <s v="Cotton T-Shirt"/>
  </r>
  <r>
    <x v="59"/>
    <s v="Whole Wheat Flour"/>
  </r>
  <r>
    <x v="67"/>
    <s v="Peanut Butter"/>
  </r>
  <r>
    <x v="61"/>
    <s v="Canned Tuna"/>
  </r>
  <r>
    <x v="16"/>
    <s v="Folding Table"/>
  </r>
  <r>
    <x v="40"/>
    <s v="Highlighter Set"/>
  </r>
  <r>
    <x v="74"/>
    <s v="Sea Salt"/>
  </r>
  <r>
    <x v="44"/>
    <s v="Mechanical Pencil"/>
  </r>
  <r>
    <x v="38"/>
    <s v="Pasta 500g"/>
  </r>
  <r>
    <x v="71"/>
    <s v="Desk Organizer"/>
  </r>
  <r>
    <x v="66"/>
    <s v="Hooded Sweatshirt"/>
  </r>
  <r>
    <x v="60"/>
    <s v="Coffee Table"/>
  </r>
  <r>
    <x v="73"/>
    <s v="Fitness Tracker"/>
  </r>
  <r>
    <x v="24"/>
    <s v="Winter Jacket"/>
  </r>
  <r>
    <x v="49"/>
    <s v="Brown Sugar"/>
  </r>
  <r>
    <x v="62"/>
    <s v="Noise Cancelling Headphones"/>
  </r>
  <r>
    <x v="62"/>
    <s v="Noise Cancelling Headphones"/>
  </r>
  <r>
    <x v="19"/>
    <s v="Webcam"/>
  </r>
  <r>
    <x v="63"/>
    <s v="Summer Dress"/>
  </r>
  <r>
    <x v="9"/>
    <s v="Yoga Leggings"/>
  </r>
  <r>
    <x v="42"/>
    <s v="Green Tea Pack"/>
  </r>
  <r>
    <x v="74"/>
    <s v="Sea Salt"/>
  </r>
  <r>
    <x v="74"/>
    <s v="Sea Salt"/>
  </r>
  <r>
    <x v="64"/>
    <s v="USB-C Charger"/>
  </r>
  <r>
    <x v="62"/>
    <s v="Noise Cancelling Headphones"/>
  </r>
  <r>
    <x v="67"/>
    <s v="Peanut Butter"/>
  </r>
  <r>
    <x v="38"/>
    <s v="Pasta 500g"/>
  </r>
  <r>
    <x v="55"/>
    <s v="Milk Powder"/>
  </r>
  <r>
    <x v="16"/>
    <s v="Folding Table"/>
  </r>
  <r>
    <x v="7"/>
    <s v="Eraser Pack"/>
  </r>
  <r>
    <x v="34"/>
    <s v="Wireless Mouse"/>
  </r>
  <r>
    <x v="41"/>
    <s v="HDMI Cable"/>
  </r>
  <r>
    <x v="2"/>
    <s v="Wi-Fi Router"/>
  </r>
  <r>
    <x v="3"/>
    <s v="Olive Oil 1L"/>
  </r>
  <r>
    <x v="59"/>
    <s v="Whole Wheat Flour"/>
  </r>
  <r>
    <x v="61"/>
    <s v="Canned Tuna"/>
  </r>
  <r>
    <x v="48"/>
    <s v="Orange Juice"/>
  </r>
  <r>
    <x v="31"/>
    <s v="Bookshelf"/>
  </r>
  <r>
    <x v="44"/>
    <s v="Mechanical Pencil"/>
  </r>
  <r>
    <x v="79"/>
    <s v="Scissors"/>
  </r>
  <r>
    <x v="70"/>
    <s v="Portable SSD"/>
  </r>
  <r>
    <x v="41"/>
    <s v="HDMI Cable"/>
  </r>
  <r>
    <x v="4"/>
    <s v="Chocolate Cookies"/>
  </r>
  <r>
    <x v="30"/>
    <s v="Tomato Ketchup"/>
  </r>
  <r>
    <x v="67"/>
    <s v="Peanut Butter"/>
  </r>
  <r>
    <x v="12"/>
    <s v="Wooden Bench"/>
  </r>
  <r>
    <x v="62"/>
    <s v="Noise Cancelling Headphones"/>
  </r>
  <r>
    <x v="45"/>
    <s v="Cotton T-Shirt"/>
  </r>
  <r>
    <x v="66"/>
    <s v="Hooded Sweatshirt"/>
  </r>
  <r>
    <x v="24"/>
    <s v="Winter Jacket"/>
  </r>
  <r>
    <x v="42"/>
    <s v="Green Tea Pack"/>
  </r>
  <r>
    <x v="38"/>
    <s v="Pasta 500g"/>
  </r>
  <r>
    <x v="55"/>
    <s v="Milk Powder"/>
  </r>
  <r>
    <x v="32"/>
    <s v="Display Shelf"/>
  </r>
  <r>
    <x v="33"/>
    <s v="Whiteboard Marker"/>
  </r>
  <r>
    <x v="46"/>
    <s v="Denim Jeans"/>
  </r>
  <r>
    <x v="67"/>
    <s v="Peanut Butter"/>
  </r>
  <r>
    <x v="52"/>
    <s v="Computer Desk"/>
  </r>
  <r>
    <x v="17"/>
    <s v="Stapler"/>
  </r>
  <r>
    <x v="57"/>
    <s v="Bluetooth Speaker"/>
  </r>
  <r>
    <x v="58"/>
    <s v="Cardigan Sweater"/>
  </r>
  <r>
    <x v="55"/>
    <s v="Milk Powder"/>
  </r>
  <r>
    <x v="56"/>
    <s v="TV Stand"/>
  </r>
  <r>
    <x v="54"/>
    <s v="Sports Cap"/>
  </r>
  <r>
    <x v="4"/>
    <s v="Chocolate Cookies"/>
  </r>
  <r>
    <x v="32"/>
    <s v="Display Shelf"/>
  </r>
  <r>
    <x v="19"/>
    <s v="Webcam"/>
  </r>
  <r>
    <x v="46"/>
    <s v="Denim Jeans"/>
  </r>
  <r>
    <x v="77"/>
    <s v="Running Shoes"/>
  </r>
  <r>
    <x v="77"/>
    <s v="Running Shoes"/>
  </r>
  <r>
    <x v="63"/>
    <s v="Summer Dress"/>
  </r>
  <r>
    <x v="72"/>
    <s v="Study Desk"/>
  </r>
  <r>
    <x v="9"/>
    <s v="Yoga Leggings"/>
  </r>
  <r>
    <x v="16"/>
    <s v="Folding Table"/>
  </r>
  <r>
    <x v="33"/>
    <s v="Whiteboard Marker"/>
  </r>
  <r>
    <x v="6"/>
    <s v="Glue Stick"/>
  </r>
  <r>
    <x v="8"/>
    <s v="Correction Tape"/>
  </r>
  <r>
    <x v="79"/>
    <s v="Scissors"/>
  </r>
  <r>
    <x v="35"/>
    <s v="Mini Projector"/>
  </r>
  <r>
    <x v="24"/>
    <s v="Winter Jacket"/>
  </r>
  <r>
    <x v="14"/>
    <s v="Wool Scarf"/>
  </r>
  <r>
    <x v="63"/>
    <s v="Summer Dress"/>
  </r>
  <r>
    <x v="3"/>
    <s v="Olive Oil 1L"/>
  </r>
  <r>
    <x v="51"/>
    <s v="Wardrobe Cabinet"/>
  </r>
  <r>
    <x v="37"/>
    <s v="Laptop Sleeve"/>
  </r>
  <r>
    <x v="35"/>
    <s v="Mini Projector"/>
  </r>
  <r>
    <x v="59"/>
    <s v="Whole Wheat Flour"/>
  </r>
  <r>
    <x v="30"/>
    <s v="Tomato Ketchup"/>
  </r>
  <r>
    <x v="33"/>
    <s v="Whiteboard Marker"/>
  </r>
  <r>
    <x v="78"/>
    <s v="Printer Paper Ream"/>
  </r>
  <r>
    <x v="62"/>
    <s v="Noise Cancelling Headphones"/>
  </r>
  <r>
    <x v="45"/>
    <s v="Cotton T-Shirt"/>
  </r>
  <r>
    <x v="24"/>
    <s v="Winter Jacket"/>
  </r>
  <r>
    <x v="20"/>
    <s v="Casual Sneakers"/>
  </r>
  <r>
    <x v="20"/>
    <s v="Casual Sneakers"/>
  </r>
  <r>
    <x v="30"/>
    <s v="Tomato Ketchup"/>
  </r>
  <r>
    <x v="61"/>
    <s v="Canned Tuna"/>
  </r>
  <r>
    <x v="39"/>
    <s v="Dining Chair"/>
  </r>
  <r>
    <x v="1"/>
    <s v="Smartphone Stand"/>
  </r>
  <r>
    <x v="53"/>
    <s v="Formal Trousers"/>
  </r>
  <r>
    <x v="63"/>
    <s v="Summer Dress"/>
  </r>
  <r>
    <x v="61"/>
    <s v="Canned Tuna"/>
  </r>
  <r>
    <x v="40"/>
    <s v="Highlighter Set"/>
  </r>
  <r>
    <x v="45"/>
    <s v="Cotton T-Shirt"/>
  </r>
  <r>
    <x v="77"/>
    <s v="Running Shoes"/>
  </r>
  <r>
    <x v="51"/>
    <s v="Wardrobe Cabinet"/>
  </r>
  <r>
    <x v="36"/>
    <s v="Bedside Table"/>
  </r>
  <r>
    <x v="23"/>
    <s v="Polo Shirt"/>
  </r>
  <r>
    <x v="54"/>
    <s v="Sports Cap"/>
  </r>
  <r>
    <x v="9"/>
    <s v="Yoga Leggings"/>
  </r>
  <r>
    <x v="27"/>
    <s v="Basmati Rice 5kg"/>
  </r>
  <r>
    <x v="10"/>
    <s v="Office Chair"/>
  </r>
  <r>
    <x v="31"/>
    <s v="Bookshelf"/>
  </r>
  <r>
    <x v="68"/>
    <s v="Kitchen Stool"/>
  </r>
  <r>
    <x v="40"/>
    <s v="Highlighter Set"/>
  </r>
  <r>
    <x v="34"/>
    <s v="Wireless Mouse"/>
  </r>
  <r>
    <x v="34"/>
    <s v="Wireless Mouse"/>
  </r>
  <r>
    <x v="58"/>
    <s v="Cardigan Sweater"/>
  </r>
  <r>
    <x v="74"/>
    <s v="Sea Salt"/>
  </r>
  <r>
    <x v="39"/>
    <s v="Dining Chair"/>
  </r>
  <r>
    <x v="18"/>
    <s v="Mechanical Keyboard"/>
  </r>
  <r>
    <x v="64"/>
    <s v="USB-C Charger"/>
  </r>
  <r>
    <x v="37"/>
    <s v="Laptop Sleeve"/>
  </r>
  <r>
    <x v="53"/>
    <s v="Formal Trousers"/>
  </r>
  <r>
    <x v="58"/>
    <s v="Cardigan Sweater"/>
  </r>
  <r>
    <x v="58"/>
    <s v="Cardigan Sweater"/>
  </r>
  <r>
    <x v="27"/>
    <s v="Basmati Rice 5kg"/>
  </r>
  <r>
    <x v="42"/>
    <s v="Green Tea Pack"/>
  </r>
  <r>
    <x v="55"/>
    <s v="Milk Powder"/>
  </r>
  <r>
    <x v="72"/>
    <s v="Study Desk"/>
  </r>
  <r>
    <x v="12"/>
    <s v="Wooden Bench"/>
  </r>
  <r>
    <x v="17"/>
    <s v="Stapler"/>
  </r>
  <r>
    <x v="19"/>
    <s v="Webcam"/>
  </r>
  <r>
    <x v="0"/>
    <s v="LED Monitor"/>
  </r>
  <r>
    <x v="45"/>
    <s v="Cotton T-Shirt"/>
  </r>
  <r>
    <x v="26"/>
    <s v="Leather Belt"/>
  </r>
  <r>
    <x v="27"/>
    <s v="Basmati Rice 5kg"/>
  </r>
  <r>
    <x v="4"/>
    <s v="Chocolate Cookies"/>
  </r>
  <r>
    <x v="55"/>
    <s v="Milk Powder"/>
  </r>
  <r>
    <x v="71"/>
    <s v="Desk Organizer"/>
  </r>
  <r>
    <x v="63"/>
    <s v="Summer Dress"/>
  </r>
  <r>
    <x v="30"/>
    <s v="Tomato Ketchup"/>
  </r>
  <r>
    <x v="21"/>
    <s v="Mineral Water 1.5L"/>
  </r>
  <r>
    <x v="55"/>
    <s v="Milk Powder"/>
  </r>
  <r>
    <x v="31"/>
    <s v="Bookshelf"/>
  </r>
  <r>
    <x v="56"/>
    <s v="TV Stand"/>
  </r>
  <r>
    <x v="65"/>
    <s v="File Folder Set"/>
  </r>
  <r>
    <x v="77"/>
    <s v="Running Shoes"/>
  </r>
  <r>
    <x v="20"/>
    <s v="Casual Sneakers"/>
  </r>
  <r>
    <x v="52"/>
    <s v="Computer Desk"/>
  </r>
  <r>
    <x v="40"/>
    <s v="Highlighter Set"/>
  </r>
  <r>
    <x v="70"/>
    <s v="Portable SSD"/>
  </r>
  <r>
    <x v="75"/>
    <s v="Instant Coffee"/>
  </r>
  <r>
    <x v="22"/>
    <s v="Recliner Chair"/>
  </r>
  <r>
    <x v="73"/>
    <s v="Fitness Tracker"/>
  </r>
  <r>
    <x v="46"/>
    <s v="Denim Jeans"/>
  </r>
  <r>
    <x v="53"/>
    <s v="Formal Trousers"/>
  </r>
  <r>
    <x v="14"/>
    <s v="Wool Scarf"/>
  </r>
  <r>
    <x v="71"/>
    <s v="Desk Organizer"/>
  </r>
  <r>
    <x v="79"/>
    <s v="Scissors"/>
  </r>
  <r>
    <x v="1"/>
    <s v="Smartphone Stand"/>
  </r>
  <r>
    <x v="28"/>
    <s v="Graphic Tablet"/>
  </r>
  <r>
    <x v="73"/>
    <s v="Fitness Tracker"/>
  </r>
  <r>
    <x v="24"/>
    <s v="Winter Jacket"/>
  </r>
  <r>
    <x v="52"/>
    <s v="Computer Desk"/>
  </r>
  <r>
    <x v="16"/>
    <s v="Folding Table"/>
  </r>
  <r>
    <x v="34"/>
    <s v="Wireless Mouse"/>
  </r>
  <r>
    <x v="41"/>
    <s v="HDMI Cable"/>
  </r>
  <r>
    <x v="66"/>
    <s v="Hooded Sweatshirt"/>
  </r>
  <r>
    <x v="59"/>
    <s v="Whole Wheat Flour"/>
  </r>
  <r>
    <x v="2"/>
    <s v="Wi-Fi Router"/>
  </r>
  <r>
    <x v="75"/>
    <s v="Instant Coffee"/>
  </r>
  <r>
    <x v="68"/>
    <s v="Kitchen Stool"/>
  </r>
  <r>
    <x v="32"/>
    <s v="Display Shelf"/>
  </r>
  <r>
    <x v="69"/>
    <s v="A4 Notebook"/>
  </r>
  <r>
    <x v="7"/>
    <s v="Eraser Pack"/>
  </r>
  <r>
    <x v="79"/>
    <s v="Scissors"/>
  </r>
  <r>
    <x v="62"/>
    <s v="Noise Cancelling Headphones"/>
  </r>
  <r>
    <x v="56"/>
    <s v="TV Stand"/>
  </r>
  <r>
    <x v="22"/>
    <s v="Recliner Chair"/>
  </r>
  <r>
    <x v="68"/>
    <s v="Kitchen Stool"/>
  </r>
  <r>
    <x v="34"/>
    <s v="Wireless Mouse"/>
  </r>
  <r>
    <x v="28"/>
    <s v="Graphic Tablet"/>
  </r>
  <r>
    <x v="54"/>
    <s v="Sports Cap"/>
  </r>
  <r>
    <x v="20"/>
    <s v="Casual Sneakers"/>
  </r>
  <r>
    <x v="55"/>
    <s v="Milk Powder"/>
  </r>
  <r>
    <x v="16"/>
    <s v="Folding Table"/>
  </r>
  <r>
    <x v="32"/>
    <s v="Display Shelf"/>
  </r>
  <r>
    <x v="69"/>
    <s v="A4 Notebook"/>
  </r>
  <r>
    <x v="1"/>
    <s v="Smartphone Stand"/>
  </r>
  <r>
    <x v="38"/>
    <s v="Pasta 500g"/>
  </r>
  <r>
    <x v="39"/>
    <s v="Dining Chair"/>
  </r>
  <r>
    <x v="73"/>
    <s v="Fitness Tracker"/>
  </r>
  <r>
    <x v="23"/>
    <s v="Polo Shirt"/>
  </r>
  <r>
    <x v="4"/>
    <s v="Chocolate Cookies"/>
  </r>
  <r>
    <x v="55"/>
    <s v="Milk Powder"/>
  </r>
  <r>
    <x v="52"/>
    <s v="Computer Desk"/>
  </r>
  <r>
    <x v="68"/>
    <s v="Kitchen Stool"/>
  </r>
  <r>
    <x v="5"/>
    <s v="Sticky Notes"/>
  </r>
  <r>
    <x v="6"/>
    <s v="Glue Stick"/>
  </r>
  <r>
    <x v="0"/>
    <s v="LED Monitor"/>
  </r>
  <r>
    <x v="76"/>
    <s v="Raincoat"/>
  </r>
  <r>
    <x v="39"/>
    <s v="Dining Chair"/>
  </r>
  <r>
    <x v="68"/>
    <s v="Kitchen Stool"/>
  </r>
  <r>
    <x v="29"/>
    <s v="Ankle Socks"/>
  </r>
  <r>
    <x v="58"/>
    <s v="Cardigan Sweater"/>
  </r>
  <r>
    <x v="51"/>
    <s v="Wardrobe Cabinet"/>
  </r>
  <r>
    <x v="50"/>
    <s v="Ring Binder"/>
  </r>
  <r>
    <x v="34"/>
    <s v="Wireless Mouse"/>
  </r>
  <r>
    <x v="0"/>
    <s v="LED Monitor"/>
  </r>
  <r>
    <x v="44"/>
    <s v="Mechanical Pencil"/>
  </r>
  <r>
    <x v="79"/>
    <s v="Scissors"/>
  </r>
  <r>
    <x v="19"/>
    <s v="Webcam"/>
  </r>
  <r>
    <x v="26"/>
    <s v="Leather Belt"/>
  </r>
  <r>
    <x v="59"/>
    <s v="Whole Wheat Flour"/>
  </r>
  <r>
    <x v="61"/>
    <s v="Canned Tuna"/>
  </r>
  <r>
    <x v="60"/>
    <s v="Coffee Table"/>
  </r>
  <r>
    <x v="11"/>
    <s v="Storage Drawer"/>
  </r>
  <r>
    <x v="22"/>
    <s v="Recliner Chair"/>
  </r>
  <r>
    <x v="24"/>
    <s v="Winter Jacket"/>
  </r>
  <r>
    <x v="14"/>
    <s v="Wool Scarf"/>
  </r>
  <r>
    <x v="31"/>
    <s v="Bookshelf"/>
  </r>
  <r>
    <x v="73"/>
    <s v="Fitness Tracker"/>
  </r>
  <r>
    <x v="23"/>
    <s v="Polo Shirt"/>
  </r>
  <r>
    <x v="75"/>
    <s v="Instant Coffee"/>
  </r>
  <r>
    <x v="15"/>
    <s v="Breakfast Cereal"/>
  </r>
  <r>
    <x v="69"/>
    <s v="A4 Notebook"/>
  </r>
  <r>
    <x v="45"/>
    <s v="Cotton T-Shirt"/>
  </r>
  <r>
    <x v="3"/>
    <s v="Olive Oil 1L"/>
  </r>
  <r>
    <x v="38"/>
    <s v="Pasta 500g"/>
  </r>
  <r>
    <x v="15"/>
    <s v="Breakfast Cereal"/>
  </r>
  <r>
    <x v="32"/>
    <s v="Display Shelf"/>
  </r>
  <r>
    <x v="69"/>
    <s v="A4 Notebook"/>
  </r>
  <r>
    <x v="19"/>
    <s v="Webcam"/>
  </r>
  <r>
    <x v="23"/>
    <s v="Polo Shirt"/>
  </r>
  <r>
    <x v="29"/>
    <s v="Ankle Socks"/>
  </r>
  <r>
    <x v="30"/>
    <s v="Tomato Ketchup"/>
  </r>
  <r>
    <x v="19"/>
    <s v="Webcam"/>
  </r>
  <r>
    <x v="54"/>
    <s v="Sports Cap"/>
  </r>
  <r>
    <x v="58"/>
    <s v="Cardigan Sweater"/>
  </r>
  <r>
    <x v="75"/>
    <s v="Instant Coffee"/>
  </r>
  <r>
    <x v="21"/>
    <s v="Mineral Water 1.5L"/>
  </r>
  <r>
    <x v="39"/>
    <s v="Dining Chair"/>
  </r>
  <r>
    <x v="22"/>
    <s v="Recliner Chair"/>
  </r>
  <r>
    <x v="2"/>
    <s v="Wi-Fi Router"/>
  </r>
  <r>
    <x v="2"/>
    <s v="Wi-Fi Router"/>
  </r>
  <r>
    <x v="77"/>
    <s v="Running Shoes"/>
  </r>
  <r>
    <x v="40"/>
    <s v="Highlighter Set"/>
  </r>
  <r>
    <x v="62"/>
    <s v="Noise Cancelling Headphones"/>
  </r>
  <r>
    <x v="19"/>
    <s v="Webcam"/>
  </r>
  <r>
    <x v="53"/>
    <s v="Formal Trousers"/>
  </r>
  <r>
    <x v="20"/>
    <s v="Casual Sneakers"/>
  </r>
  <r>
    <x v="52"/>
    <s v="Computer Desk"/>
  </r>
  <r>
    <x v="69"/>
    <s v="A4 Notebook"/>
  </r>
  <r>
    <x v="17"/>
    <s v="Stapler"/>
  </r>
  <r>
    <x v="17"/>
    <s v="Stapler"/>
  </r>
  <r>
    <x v="78"/>
    <s v="Printer Paper Ream"/>
  </r>
  <r>
    <x v="66"/>
    <s v="Hooded Sweatshirt"/>
  </r>
  <r>
    <x v="20"/>
    <s v="Casual Sneakers"/>
  </r>
  <r>
    <x v="29"/>
    <s v="Ankle Socks"/>
  </r>
  <r>
    <x v="49"/>
    <s v="Brown Sugar"/>
  </r>
  <r>
    <x v="10"/>
    <s v="Office Chair"/>
  </r>
  <r>
    <x v="60"/>
    <s v="Coffee Table"/>
  </r>
  <r>
    <x v="11"/>
    <s v="Storage Drawer"/>
  </r>
  <r>
    <x v="7"/>
    <s v="Eraser Pack"/>
  </r>
  <r>
    <x v="66"/>
    <s v="Hooded Sweatshirt"/>
  </r>
  <r>
    <x v="27"/>
    <s v="Basmati Rice 5kg"/>
  </r>
  <r>
    <x v="51"/>
    <s v="Wardrobe Cabinet"/>
  </r>
  <r>
    <x v="68"/>
    <s v="Kitchen Stool"/>
  </r>
  <r>
    <x v="64"/>
    <s v="USB-C Charger"/>
  </r>
  <r>
    <x v="41"/>
    <s v="HDMI Cable"/>
  </r>
  <r>
    <x v="23"/>
    <s v="Polo Shirt"/>
  </r>
  <r>
    <x v="77"/>
    <s v="Running Shoes"/>
  </r>
  <r>
    <x v="27"/>
    <s v="Basmati Rice 5kg"/>
  </r>
  <r>
    <x v="3"/>
    <s v="Olive Oil 1L"/>
  </r>
  <r>
    <x v="42"/>
    <s v="Green Tea Pack"/>
  </r>
  <r>
    <x v="40"/>
    <s v="Highlighter Set"/>
  </r>
  <r>
    <x v="50"/>
    <s v="Ring Binder"/>
  </r>
  <r>
    <x v="14"/>
    <s v="Wool Scarf"/>
  </r>
  <r>
    <x v="25"/>
    <s v="Ballpoint Pen Pack"/>
  </r>
  <r>
    <x v="44"/>
    <s v="Mechanical Pencil"/>
  </r>
  <r>
    <x v="10"/>
    <s v="Office Chair"/>
  </r>
  <r>
    <x v="60"/>
    <s v="Coffee Table"/>
  </r>
  <r>
    <x v="12"/>
    <s v="Wooden Bench"/>
  </r>
  <r>
    <x v="6"/>
    <s v="Glue Stick"/>
  </r>
  <r>
    <x v="65"/>
    <s v="File Folder Set"/>
  </r>
  <r>
    <x v="64"/>
    <s v="USB-C Charger"/>
  </r>
  <r>
    <x v="47"/>
    <s v="Power Bank"/>
  </r>
  <r>
    <x v="28"/>
    <s v="Graphic Tablet"/>
  </r>
  <r>
    <x v="73"/>
    <s v="Fitness Tracker"/>
  </r>
  <r>
    <x v="75"/>
    <s v="Instant Coffee"/>
  </r>
  <r>
    <x v="38"/>
    <s v="Pasta 500g"/>
  </r>
  <r>
    <x v="10"/>
    <s v="Office Chair"/>
  </r>
  <r>
    <x v="31"/>
    <s v="Bookshelf"/>
  </r>
  <r>
    <x v="39"/>
    <s v="Dining Chair"/>
  </r>
  <r>
    <x v="43"/>
    <s v="Shoe Rack"/>
  </r>
  <r>
    <x v="8"/>
    <s v="Correction Tape"/>
  </r>
  <r>
    <x v="34"/>
    <s v="Wireless Mouse"/>
  </r>
  <r>
    <x v="0"/>
    <s v="LED Monitor"/>
  </r>
  <r>
    <x v="2"/>
    <s v="Wi-Fi Router"/>
  </r>
  <r>
    <x v="60"/>
    <s v="Coffee Table"/>
  </r>
  <r>
    <x v="36"/>
    <s v="Bedside Table"/>
  </r>
  <r>
    <x v="12"/>
    <s v="Wooden Bench"/>
  </r>
  <r>
    <x v="15"/>
    <s v="Breakfast Cereal"/>
  </r>
  <r>
    <x v="68"/>
    <s v="Kitchen Stool"/>
  </r>
  <r>
    <x v="73"/>
    <s v="Fitness Tracker"/>
  </r>
  <r>
    <x v="14"/>
    <s v="Wool Scarf"/>
  </r>
  <r>
    <x v="67"/>
    <s v="Peanut Butter"/>
  </r>
  <r>
    <x v="61"/>
    <s v="Canned Tuna"/>
  </r>
  <r>
    <x v="71"/>
    <s v="Desk Organizer"/>
  </r>
  <r>
    <x v="63"/>
    <s v="Summer Dress"/>
  </r>
  <r>
    <x v="63"/>
    <s v="Summer Dress"/>
  </r>
  <r>
    <x v="11"/>
    <s v="Storage Drawer"/>
  </r>
  <r>
    <x v="16"/>
    <s v="Folding Table"/>
  </r>
  <r>
    <x v="32"/>
    <s v="Display Shelf"/>
  </r>
  <r>
    <x v="35"/>
    <s v="Mini Projector"/>
  </r>
  <r>
    <x v="54"/>
    <s v="Sports Cap"/>
  </r>
  <r>
    <x v="68"/>
    <s v="Kitchen Stool"/>
  </r>
  <r>
    <x v="12"/>
    <s v="Wooden Bench"/>
  </r>
  <r>
    <x v="12"/>
    <s v="Wooden Bench"/>
  </r>
  <r>
    <x v="57"/>
    <s v="Bluetooth Speaker"/>
  </r>
  <r>
    <x v="1"/>
    <s v="Smartphone Stand"/>
  </r>
  <r>
    <x v="66"/>
    <s v="Hooded Sweatshirt"/>
  </r>
  <r>
    <x v="9"/>
    <s v="Yoga Leggings"/>
  </r>
  <r>
    <x v="68"/>
    <s v="Kitchen Stool"/>
  </r>
  <r>
    <x v="68"/>
    <s v="Kitchen Stool"/>
  </r>
  <r>
    <x v="57"/>
    <s v="Bluetooth Speaker"/>
  </r>
  <r>
    <x v="0"/>
    <s v="LED Monitor"/>
  </r>
  <r>
    <x v="28"/>
    <s v="Graphic Tablet"/>
  </r>
  <r>
    <x v="24"/>
    <s v="Winter Jacket"/>
  </r>
  <r>
    <x v="74"/>
    <s v="Sea Salt"/>
  </r>
  <r>
    <x v="43"/>
    <s v="Shoe Rack"/>
  </r>
  <r>
    <x v="47"/>
    <s v="Power Bank"/>
  </r>
  <r>
    <x v="36"/>
    <s v="Bedside Table"/>
  </r>
  <r>
    <x v="11"/>
    <s v="Storage Drawer"/>
  </r>
  <r>
    <x v="22"/>
    <s v="Recliner Chair"/>
  </r>
  <r>
    <x v="7"/>
    <s v="Eraser Pack"/>
  </r>
  <r>
    <x v="72"/>
    <s v="Study Desk"/>
  </r>
  <r>
    <x v="78"/>
    <s v="Printer Paper Ream"/>
  </r>
  <r>
    <x v="63"/>
    <s v="Summer Dress"/>
  </r>
  <r>
    <x v="10"/>
    <s v="Office Chair"/>
  </r>
  <r>
    <x v="43"/>
    <s v="Shoe Rack"/>
  </r>
  <r>
    <x v="11"/>
    <s v="Storage Drawer"/>
  </r>
  <r>
    <x v="71"/>
    <s v="Desk Organizer"/>
  </r>
  <r>
    <x v="44"/>
    <s v="Mechanical Pencil"/>
  </r>
  <r>
    <x v="7"/>
    <s v="Eraser Pack"/>
  </r>
  <r>
    <x v="73"/>
    <s v="Fitness Tracker"/>
  </r>
  <r>
    <x v="45"/>
    <s v="Cotton T-Shirt"/>
  </r>
  <r>
    <x v="23"/>
    <s v="Polo Shirt"/>
  </r>
  <r>
    <x v="4"/>
    <s v="Chocolate Cookies"/>
  </r>
  <r>
    <x v="43"/>
    <s v="Shoe Rack"/>
  </r>
  <r>
    <x v="43"/>
    <s v="Shoe Rack"/>
  </r>
  <r>
    <x v="43"/>
    <s v="Shoe Rack"/>
  </r>
  <r>
    <x v="69"/>
    <s v="A4 Notebook"/>
  </r>
  <r>
    <x v="17"/>
    <s v="Stapler"/>
  </r>
  <r>
    <x v="44"/>
    <s v="Mechanical Pencil"/>
  </r>
  <r>
    <x v="77"/>
    <s v="Running Shoes"/>
  </r>
  <r>
    <x v="20"/>
    <s v="Casual Sneakers"/>
  </r>
  <r>
    <x v="59"/>
    <s v="Whole Wheat Flour"/>
  </r>
  <r>
    <x v="68"/>
    <s v="Kitchen Stool"/>
  </r>
  <r>
    <x v="12"/>
    <s v="Wooden Bench"/>
  </r>
  <r>
    <x v="40"/>
    <s v="Highlighter Set"/>
  </r>
  <r>
    <x v="64"/>
    <s v="USB-C Charger"/>
  </r>
  <r>
    <x v="13"/>
    <s v="Paper Clips Box"/>
  </r>
  <r>
    <x v="28"/>
    <s v="Graphic Tablet"/>
  </r>
  <r>
    <x v="20"/>
    <s v="Casual Sneakers"/>
  </r>
  <r>
    <x v="29"/>
    <s v="Ankle Socks"/>
  </r>
  <r>
    <x v="59"/>
    <s v="Whole Wheat Flour"/>
  </r>
  <r>
    <x v="59"/>
    <s v="Whole Wheat Flour"/>
  </r>
  <r>
    <x v="62"/>
    <s v="Noise Cancelling Headphones"/>
  </r>
  <r>
    <x v="70"/>
    <s v="Portable SSD"/>
  </r>
  <r>
    <x v="14"/>
    <s v="Wool Scarf"/>
  </r>
  <r>
    <x v="63"/>
    <s v="Summer Dress"/>
  </r>
  <r>
    <x v="75"/>
    <s v="Instant Coffee"/>
  </r>
  <r>
    <x v="50"/>
    <s v="Ring Binder"/>
  </r>
  <r>
    <x v="53"/>
    <s v="Formal Trousers"/>
  </r>
  <r>
    <x v="26"/>
    <s v="Leather Belt"/>
  </r>
  <r>
    <x v="58"/>
    <s v="Cardigan Sweater"/>
  </r>
  <r>
    <x v="3"/>
    <s v="Olive Oil 1L"/>
  </r>
  <r>
    <x v="55"/>
    <s v="Milk Powder"/>
  </r>
  <r>
    <x v="31"/>
    <s v="Bookshelf"/>
  </r>
  <r>
    <x v="56"/>
    <s v="TV Stand"/>
  </r>
  <r>
    <x v="52"/>
    <s v="Computer Desk"/>
  </r>
  <r>
    <x v="16"/>
    <s v="Folding Table"/>
  </r>
  <r>
    <x v="68"/>
    <s v="Kitchen Stoo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7B0606-E21D-BA48-B5DD-A7CE6CBFEEE1}" name="PT_KPI"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3:AC4" firstHeaderRow="0" firstDataRow="1" firstDataCol="0"/>
  <pivotFields count="15">
    <pivotField numFmtId="165" showAll="0"/>
    <pivotField showAll="0"/>
    <pivotField showAll="0"/>
    <pivotField showAll="0"/>
    <pivotField showAll="0"/>
    <pivotField dataField="1" showAll="0"/>
    <pivotField showAll="0"/>
    <pivotField dataField="1" showAll="0"/>
    <pivotField dataField="1" showAll="0"/>
    <pivotField dataField="1" showAll="0"/>
    <pivotField dataField="1" showAll="0"/>
    <pivotField showAll="0"/>
    <pivotField numFmtId="164" showAll="0"/>
    <pivotField numFmtId="164" showAll="0"/>
    <pivotField showAll="0"/>
  </pivotFields>
  <rowItems count="1">
    <i/>
  </rowItems>
  <colFields count="1">
    <field x="-2"/>
  </colFields>
  <colItems count="5">
    <i>
      <x/>
    </i>
    <i i="1">
      <x v="1"/>
    </i>
    <i i="2">
      <x v="2"/>
    </i>
    <i i="3">
      <x v="3"/>
    </i>
    <i i="4">
      <x v="4"/>
    </i>
  </colItems>
  <dataFields count="5">
    <dataField name="Total Units Sold" fld="7" baseField="0" baseItem="0"/>
    <dataField name="Avg Opening Stock" fld="5" subtotal="average" baseField="0" baseItem="0"/>
    <dataField name="Avg Closing Stock" fld="8" subtotal="average" baseField="0" baseItem="0"/>
    <dataField name="Stockout Days" fld="9" baseField="0" baseItem="0"/>
    <dataField name="Lead Time Variance" fld="10"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FE88BB-4661-F247-A745-13CE4761FC83}" name="PT_ProductSales"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84" firstHeaderRow="1" firstDataRow="1" firstDataCol="1"/>
  <pivotFields count="15">
    <pivotField numFmtId="165" showAll="0"/>
    <pivotField showAll="0"/>
    <pivotField axis="axisRow" showAll="0">
      <items count="81">
        <item x="69"/>
        <item x="29"/>
        <item x="25"/>
        <item x="27"/>
        <item x="36"/>
        <item x="57"/>
        <item x="31"/>
        <item x="15"/>
        <item x="49"/>
        <item x="61"/>
        <item x="58"/>
        <item x="20"/>
        <item x="4"/>
        <item x="60"/>
        <item x="52"/>
        <item x="8"/>
        <item x="45"/>
        <item x="46"/>
        <item x="71"/>
        <item x="39"/>
        <item x="32"/>
        <item x="7"/>
        <item x="65"/>
        <item x="73"/>
        <item x="16"/>
        <item x="53"/>
        <item x="6"/>
        <item x="28"/>
        <item x="42"/>
        <item x="41"/>
        <item x="40"/>
        <item x="66"/>
        <item x="75"/>
        <item x="68"/>
        <item x="37"/>
        <item x="26"/>
        <item x="0"/>
        <item x="18"/>
        <item x="44"/>
        <item x="55"/>
        <item x="21"/>
        <item x="35"/>
        <item x="62"/>
        <item x="10"/>
        <item x="3"/>
        <item x="48"/>
        <item x="13"/>
        <item x="38"/>
        <item x="67"/>
        <item x="23"/>
        <item x="70"/>
        <item x="47"/>
        <item x="78"/>
        <item x="76"/>
        <item x="22"/>
        <item x="50"/>
        <item x="77"/>
        <item x="79"/>
        <item x="74"/>
        <item x="43"/>
        <item x="1"/>
        <item x="54"/>
        <item x="17"/>
        <item x="5"/>
        <item x="11"/>
        <item x="72"/>
        <item x="63"/>
        <item x="30"/>
        <item x="56"/>
        <item x="64"/>
        <item x="51"/>
        <item x="19"/>
        <item x="33"/>
        <item x="59"/>
        <item x="2"/>
        <item x="24"/>
        <item x="34"/>
        <item x="12"/>
        <item x="14"/>
        <item x="9"/>
        <item t="default"/>
      </items>
    </pivotField>
    <pivotField showAll="0">
      <items count="6">
        <item x="3"/>
        <item x="0"/>
        <item x="1"/>
        <item x="4"/>
        <item x="2"/>
        <item t="default"/>
      </items>
    </pivotField>
    <pivotField showAll="0">
      <items count="5">
        <item x="1"/>
        <item x="2"/>
        <item x="3"/>
        <item x="0"/>
        <item t="default"/>
      </items>
    </pivotField>
    <pivotField showAll="0"/>
    <pivotField showAll="0"/>
    <pivotField dataField="1" showAll="0"/>
    <pivotField showAll="0"/>
    <pivotField showAll="0"/>
    <pivotField showAll="0"/>
    <pivotField showAll="0">
      <items count="16">
        <item x="8"/>
        <item x="11"/>
        <item x="0"/>
        <item x="13"/>
        <item x="2"/>
        <item x="9"/>
        <item x="1"/>
        <item x="14"/>
        <item x="5"/>
        <item x="3"/>
        <item x="10"/>
        <item x="7"/>
        <item x="6"/>
        <item x="12"/>
        <item x="4"/>
        <item t="default"/>
      </items>
    </pivotField>
    <pivotField numFmtId="164" showAll="0"/>
    <pivotField numFmtId="164" showAll="0"/>
    <pivotField showAll="0">
      <items count="13">
        <item x="0"/>
        <item x="1"/>
        <item x="2"/>
        <item x="3"/>
        <item x="4"/>
        <item x="5"/>
        <item x="6"/>
        <item x="7"/>
        <item x="8"/>
        <item x="9"/>
        <item x="10"/>
        <item x="11"/>
        <item t="default"/>
      </items>
    </pivotField>
  </pivotFields>
  <rowFields count="1">
    <field x="2"/>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Total Units Sold" fld="7"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5D12DB-5652-AB49-8B09-46E9300A64C1}" name="PT_StockoutCategory"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R9" firstHeaderRow="1" firstDataRow="1" firstDataCol="1"/>
  <pivotFields count="15">
    <pivotField numFmtId="165" showAll="0"/>
    <pivotField showAll="0"/>
    <pivotField showAll="0"/>
    <pivotField axis="axisRow" showAll="0">
      <items count="6">
        <item x="3"/>
        <item x="0"/>
        <item x="1"/>
        <item x="4"/>
        <item x="2"/>
        <item t="default"/>
      </items>
    </pivotField>
    <pivotField showAll="0"/>
    <pivotField showAll="0"/>
    <pivotField showAll="0"/>
    <pivotField showAll="0"/>
    <pivotField showAll="0"/>
    <pivotField dataField="1" showAll="0"/>
    <pivotField showAll="0"/>
    <pivotField showAll="0"/>
    <pivotField numFmtId="164" showAll="0"/>
    <pivotField numFmtId="164"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Items count="1">
    <i/>
  </colItems>
  <dataFields count="1">
    <dataField name="Stockout Count" fld="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8F30BB-D6C3-9748-A929-46DB9401C7E4}" name="PT_MonthlyTrend" cacheId="3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M3:N16" firstHeaderRow="1" firstDataRow="1" firstDataCol="1"/>
  <pivotFields count="15">
    <pivotField numFmtId="165" showAll="0">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64" showAll="0"/>
    <pivotField numFmtId="164" showAll="0"/>
    <pivotField axis="axisRow" showAll="0">
      <items count="13">
        <item x="0"/>
        <item x="1"/>
        <item x="2"/>
        <item x="3"/>
        <item x="4"/>
        <item x="5"/>
        <item x="6"/>
        <item x="7"/>
        <item x="8"/>
        <item x="9"/>
        <item x="10"/>
        <item x="11"/>
        <item t="default"/>
      </items>
    </pivotField>
  </pivotFields>
  <rowFields count="1">
    <field x="14"/>
  </rowFields>
  <rowItems count="13">
    <i>
      <x/>
    </i>
    <i>
      <x v="1"/>
    </i>
    <i>
      <x v="2"/>
    </i>
    <i>
      <x v="3"/>
    </i>
    <i>
      <x v="4"/>
    </i>
    <i>
      <x v="5"/>
    </i>
    <i>
      <x v="6"/>
    </i>
    <i>
      <x v="7"/>
    </i>
    <i>
      <x v="8"/>
    </i>
    <i>
      <x v="9"/>
    </i>
    <i>
      <x v="10"/>
    </i>
    <i>
      <x v="11"/>
    </i>
    <i t="grand">
      <x/>
    </i>
  </rowItems>
  <colItems count="1">
    <i/>
  </colItems>
  <dataFields count="1">
    <dataField name="Monthly Units Sold"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dateBetween" evalOrder="-1" id="90" name="Date">
      <autoFilter ref="A1">
        <filterColumn colId="0">
          <customFilters and="1">
            <customFilter operator="greaterThanOrEqual" val="45658"/>
            <customFilter operator="lessThanOrEqual" val="462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A6369A-F73B-1D4D-A664-4ED21D3BF603}" name="PT_SupplierLeadTime"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3:J12" firstHeaderRow="1" firstDataRow="1" firstDataCol="1"/>
  <pivotFields count="15">
    <pivotField numFmtId="165" showAll="0"/>
    <pivotField showAll="0"/>
    <pivotField showAll="0"/>
    <pivotField showAll="0"/>
    <pivotField showAll="0"/>
    <pivotField showAll="0"/>
    <pivotField showAll="0"/>
    <pivotField showAll="0"/>
    <pivotField showAll="0"/>
    <pivotField showAll="0"/>
    <pivotField dataField="1" showAll="0"/>
    <pivotField axis="axisRow" showAll="0" measureFilter="1">
      <items count="16">
        <item x="8"/>
        <item x="11"/>
        <item x="0"/>
        <item x="13"/>
        <item x="2"/>
        <item x="9"/>
        <item x="1"/>
        <item x="14"/>
        <item x="5"/>
        <item x="3"/>
        <item x="10"/>
        <item x="7"/>
        <item x="6"/>
        <item x="12"/>
        <item x="4"/>
        <item t="default"/>
      </items>
    </pivotField>
    <pivotField numFmtId="164" showAll="0"/>
    <pivotField numFmtId="164" showAll="0"/>
    <pivotField showAll="0"/>
  </pivotFields>
  <rowFields count="1">
    <field x="11"/>
  </rowFields>
  <rowItems count="9">
    <i>
      <x/>
    </i>
    <i>
      <x v="2"/>
    </i>
    <i>
      <x v="7"/>
    </i>
    <i>
      <x v="9"/>
    </i>
    <i>
      <x v="10"/>
    </i>
    <i>
      <x v="11"/>
    </i>
    <i>
      <x v="12"/>
    </i>
    <i>
      <x v="13"/>
    </i>
    <i t="grand">
      <x/>
    </i>
  </rowItems>
  <colItems count="1">
    <i/>
  </colItems>
  <dataFields count="1">
    <dataField name="Average Lead Time" fld="10" subtotal="average"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1"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B0F520-8059-3B43-9C5A-5A5AB263E096}" name="PT_WarehouseSales"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8" firstHeaderRow="1" firstDataRow="1" firstDataCol="1"/>
  <pivotFields count="15">
    <pivotField numFmtId="165" showAll="0"/>
    <pivotField showAll="0"/>
    <pivotField showAll="0"/>
    <pivotField showAll="0">
      <items count="6">
        <item x="3"/>
        <item x="0"/>
        <item x="1"/>
        <item x="4"/>
        <item x="2"/>
        <item t="default"/>
      </items>
    </pivotField>
    <pivotField axis="axisRow" showAll="0">
      <items count="5">
        <item x="1"/>
        <item x="2"/>
        <item x="3"/>
        <item x="0"/>
        <item t="default"/>
      </items>
    </pivotField>
    <pivotField showAll="0"/>
    <pivotField showAll="0"/>
    <pivotField dataField="1" showAll="0"/>
    <pivotField showAll="0"/>
    <pivotField showAll="0"/>
    <pivotField showAll="0"/>
    <pivotField showAll="0"/>
    <pivotField numFmtId="164" showAll="0"/>
    <pivotField numFmtId="164" showAll="0"/>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Total Units Sold"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E8D682-342D-1A4A-98F5-7DD4CFB2210B}" name="PT_CategorySales"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5">
    <pivotField numFmtId="165" showAll="0"/>
    <pivotField showAll="0"/>
    <pivotField showAll="0"/>
    <pivotField axis="axisRow" showAll="0">
      <items count="6">
        <item x="3"/>
        <item x="0"/>
        <item x="1"/>
        <item x="4"/>
        <item x="2"/>
        <item t="default"/>
      </items>
    </pivotField>
    <pivotField showAll="0">
      <items count="5">
        <item x="1"/>
        <item x="2"/>
        <item x="3"/>
        <item x="0"/>
        <item t="default"/>
      </items>
    </pivotField>
    <pivotField showAll="0"/>
    <pivotField showAll="0"/>
    <pivotField dataField="1" showAll="0"/>
    <pivotField showAll="0"/>
    <pivotField showAll="0"/>
    <pivotField showAll="0"/>
    <pivotField showAll="0"/>
    <pivotField numFmtId="164" showAll="0"/>
    <pivotField numFmtId="164" showAll="0"/>
    <pivotField showAll="0">
      <items count="13">
        <item x="0"/>
        <item x="1"/>
        <item x="2"/>
        <item x="3"/>
        <item x="4"/>
        <item x="5"/>
        <item x="6"/>
        <item x="7"/>
        <item x="8"/>
        <item x="9"/>
        <item x="10"/>
        <item x="11"/>
        <item t="default"/>
      </items>
    </pivotField>
  </pivotFields>
  <rowFields count="1">
    <field x="3"/>
  </rowFields>
  <rowItems count="6">
    <i>
      <x/>
    </i>
    <i>
      <x v="1"/>
    </i>
    <i>
      <x v="2"/>
    </i>
    <i>
      <x v="3"/>
    </i>
    <i>
      <x v="4"/>
    </i>
    <i t="grand">
      <x/>
    </i>
  </rowItems>
  <colItems count="1">
    <i/>
  </colItems>
  <dataFields count="1">
    <dataField name="Total Units Sold"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D4C6B8-89E3-AF45-A17F-8546A0A0222F}"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6:D87" firstHeaderRow="1" firstDataRow="1" firstDataCol="1"/>
  <pivotFields count="2">
    <pivotField axis="axisRow" compact="0" outline="0" showAll="0">
      <items count="81">
        <item x="34"/>
        <item x="18"/>
        <item x="64"/>
        <item x="57"/>
        <item x="62"/>
        <item x="19"/>
        <item x="70"/>
        <item x="0"/>
        <item x="1"/>
        <item x="47"/>
        <item x="37"/>
        <item x="41"/>
        <item x="2"/>
        <item x="28"/>
        <item x="73"/>
        <item x="35"/>
        <item x="45"/>
        <item x="46"/>
        <item x="66"/>
        <item x="23"/>
        <item x="77"/>
        <item x="53"/>
        <item x="24"/>
        <item x="54"/>
        <item x="20"/>
        <item x="14"/>
        <item x="26"/>
        <item x="29"/>
        <item x="63"/>
        <item x="9"/>
        <item x="76"/>
        <item x="58"/>
        <item x="27"/>
        <item x="3"/>
        <item x="42"/>
        <item x="75"/>
        <item x="59"/>
        <item x="4"/>
        <item x="30"/>
        <item x="67"/>
        <item x="38"/>
        <item x="61"/>
        <item x="21"/>
        <item x="48"/>
        <item x="15"/>
        <item x="49"/>
        <item x="55"/>
        <item x="74"/>
        <item x="10"/>
        <item x="72"/>
        <item x="31"/>
        <item x="60"/>
        <item x="39"/>
        <item x="43"/>
        <item x="51"/>
        <item x="56"/>
        <item x="36"/>
        <item x="52"/>
        <item x="11"/>
        <item x="16"/>
        <item x="22"/>
        <item x="68"/>
        <item x="12"/>
        <item x="32"/>
        <item x="25"/>
        <item x="69"/>
        <item x="5"/>
        <item x="33"/>
        <item x="17"/>
        <item x="13"/>
        <item x="40"/>
        <item x="71"/>
        <item x="78"/>
        <item x="6"/>
        <item x="44"/>
        <item x="7"/>
        <item x="50"/>
        <item x="65"/>
        <item x="8"/>
        <item x="79"/>
        <item t="default"/>
      </items>
    </pivotField>
    <pivotField dataField="1" compact="0" outline="0" showAll="0"/>
  </pivotFields>
  <rowFields count="1">
    <field x="0"/>
  </rowFields>
  <rowItems count="8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t="grand">
      <x/>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B6B9A6C-FC1F-1248-AEC1-958A2297D9A9}" sourceName="Category">
  <pivotTables>
    <pivotTable tabId="3" name="PT_CategorySales"/>
    <pivotTable tabId="3" name="PT_WarehouseSales"/>
    <pivotTable tabId="3" name="PT_StockoutCategory"/>
    <pivotTable tabId="3" name="PT_ProductSales"/>
  </pivotTables>
  <data>
    <tabular pivotCacheId="83950758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6DEA7DAA-C39F-A44C-9964-AAC41CDDBE77}" sourceName="Warehouse">
  <pivotTables>
    <pivotTable tabId="3" name="PT_WarehouseSales"/>
    <pivotTable tabId="3" name="PT_CategorySales"/>
    <pivotTable tabId="3" name="PT_ProductSales"/>
  </pivotTables>
  <data>
    <tabular pivotCacheId="83950758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28BCC0E5-EDB5-174F-B3A8-BCFDEB50E77F}" sourceName="Supplier">
  <pivotTables>
    <pivotTable tabId="3" name="PT_SupplierLeadTime"/>
    <pivotTable tabId="3" name="PT_ProductSales"/>
  </pivotTables>
  <data>
    <tabular pivotCacheId="839507589">
      <items count="15">
        <i x="8" s="1"/>
        <i x="11" s="1"/>
        <i x="0" s="1"/>
        <i x="13" s="1"/>
        <i x="2" s="1"/>
        <i x="9" s="1"/>
        <i x="1" s="1"/>
        <i x="14" s="1"/>
        <i x="5" s="1"/>
        <i x="3" s="1"/>
        <i x="10" s="1"/>
        <i x="7" s="1"/>
        <i x="6" s="1"/>
        <i x="1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2F431DC-E81E-1640-8F5E-680344F906AA}" cache="Slicer_Category" caption="Category" style="SlicerStyleDark1" rowHeight="274320"/>
  <slicer name="Warehouse" xr10:uid="{B8C24433-190F-4747-81A9-332A66A07AD1}" cache="Slicer_Warehouse" caption="Warehouse" style="SlicerStyleDark1" rowHeight="274320"/>
  <slicer name="Supplier" xr10:uid="{5B8E286C-4F4B-7D40-90F0-EBBEE05781E4}" cache="Slicer_Supplier" caption="Supplier" style="SlicerStyleDark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2D0B8C-AD2C-A14C-8B22-C8765F91CEDB}" name="Inventory_Data" displayName="Inventory_Data" ref="A1:N2001" totalsRowShown="0" headerRowDxfId="7">
  <autoFilter ref="A1:N2001" xr:uid="{ED2D0B8C-AD2C-A14C-8B22-C8765F91CEDB}"/>
  <tableColumns count="14">
    <tableColumn id="1" xr3:uid="{3DF0D652-C388-C84A-9474-2F2422ED0B59}" name="Date" dataDxfId="3"/>
    <tableColumn id="2" xr3:uid="{B73B44D5-1B95-6B47-A6E5-7F34C08FB129}" name="Product_ID" dataDxfId="6"/>
    <tableColumn id="3" xr3:uid="{CEC5E864-B443-4C47-943B-856DD8A6549F}" name="Product_Name"/>
    <tableColumn id="4" xr3:uid="{96B394DB-5EFA-C74C-AE28-00A1E5E125B4}" name="Category"/>
    <tableColumn id="5" xr3:uid="{E5F9AC88-E2CB-0E41-913C-A50099214439}" name="Warehouse"/>
    <tableColumn id="6" xr3:uid="{836FE35C-3540-1E43-AFB4-62BC45904B8C}" name="Opening_Stock"/>
    <tableColumn id="7" xr3:uid="{34A37F25-33A1-5348-BB9C-DA1D3D36EC81}" name="Units_Received"/>
    <tableColumn id="8" xr3:uid="{611E8290-51B4-204F-B5F4-D3789BBFE3A1}" name="Units_Sold"/>
    <tableColumn id="9" xr3:uid="{F5D90FB9-5836-A14B-89CD-6F69D16B03CB}" name="Closing_Stock">
      <calculatedColumnFormula>Inventory_Data[[#This Row],[Opening_Stock]]+Inventory_Data[[#This Row],[Units_Received]]-Inventory_Data[[#This Row],[Units_Sold]]</calculatedColumnFormula>
    </tableColumn>
    <tableColumn id="10" xr3:uid="{2970939C-8F3E-6A48-820A-3E30C92AC250}" name="Stockout_Flag"/>
    <tableColumn id="11" xr3:uid="{D332D8A4-6D7D-CF4C-A092-1B87E09B8A62}" name="Lead_Time_Days"/>
    <tableColumn id="12" xr3:uid="{61C1C797-5B78-7F4D-AB18-E514F89B50E0}" name="Supplier"/>
    <tableColumn id="13" xr3:uid="{F820E501-3697-DD46-94A7-8FCC07C38404}" name="Unit_Cost" dataDxfId="5"/>
    <tableColumn id="14" xr3:uid="{C9C292AB-381E-4043-B606-0AD495E9A9A9}" name="Unit_Price" dataDxfId="4"/>
  </tableColumns>
  <tableStyleInfo name="TableStyleMedium1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A55DB79-0B6E-D847-8516-363C445BA4B1}" sourceName="Date">
  <pivotTables>
    <pivotTable tabId="3" name="PT_MonthlyTrend"/>
  </pivotTables>
  <state minimalRefreshVersion="6" lastRefreshVersion="6" pivotCacheId="839507589" filterType="dateBetween">
    <selection startDate="2025-01-01T00:00:00" endDate="2026-08-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7D66B8C-3266-C74B-BC10-1001E3B7FBD0}" cache="NativeTimeline_Date" caption="Date" level="2" selectionLevel="2" scrollPosition="2025-01-01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D6FB-F543-2944-9258-B56739F810E3}">
  <sheetPr codeName="Sheet5">
    <tabColor theme="3" tint="0.39997558519241921"/>
  </sheetPr>
  <dimension ref="A1:AA12"/>
  <sheetViews>
    <sheetView showGridLines="0" showRowColHeaders="0" tabSelected="1" zoomScale="75" workbookViewId="0">
      <selection activeCell="C7" sqref="C7"/>
    </sheetView>
  </sheetViews>
  <sheetFormatPr baseColWidth="10" defaultRowHeight="16" x14ac:dyDescent="0.2"/>
  <cols>
    <col min="1" max="25" width="10.7109375" style="15"/>
    <col min="26" max="27" width="0" style="15" hidden="1" customWidth="1"/>
    <col min="28" max="16384" width="10.7109375" style="15"/>
  </cols>
  <sheetData>
    <row r="1" spans="1:27" x14ac:dyDescent="0.2">
      <c r="A1" s="19"/>
      <c r="B1" s="19"/>
      <c r="C1" s="19"/>
      <c r="D1" s="19"/>
      <c r="E1" s="19"/>
      <c r="F1" s="19"/>
    </row>
    <row r="2" spans="1:27" x14ac:dyDescent="0.2">
      <c r="A2" s="19"/>
      <c r="B2" s="19"/>
      <c r="C2" s="19"/>
      <c r="D2" s="19"/>
      <c r="E2" s="19"/>
      <c r="F2" s="19"/>
      <c r="Z2" s="15" t="s">
        <v>202</v>
      </c>
      <c r="AA2" s="16">
        <f>GETPIVOTDATA("Total Units Sold",PivotTables!$Y$3)</f>
        <v>136024</v>
      </c>
    </row>
    <row r="3" spans="1:27" x14ac:dyDescent="0.2">
      <c r="A3" s="19"/>
      <c r="B3" s="19"/>
      <c r="C3" s="19"/>
      <c r="D3" s="19"/>
      <c r="E3" s="19"/>
      <c r="F3" s="19"/>
      <c r="Z3" s="15" t="s">
        <v>224</v>
      </c>
      <c r="AA3" s="16">
        <f>GETPIVOTDATA("Avg Opening Stock",PivotTables!$Y$3)</f>
        <v>164.0265</v>
      </c>
    </row>
    <row r="4" spans="1:27" x14ac:dyDescent="0.2">
      <c r="A4" s="19"/>
      <c r="B4" s="19"/>
      <c r="C4" s="19"/>
      <c r="D4" s="19"/>
      <c r="E4" s="19"/>
      <c r="F4" s="19"/>
      <c r="Z4" s="15" t="s">
        <v>225</v>
      </c>
      <c r="AA4" s="16">
        <f>GETPIVOTDATA("Avg Closing Stock",PivotTables!$Y$3)</f>
        <v>179.86750000000001</v>
      </c>
    </row>
    <row r="5" spans="1:27" x14ac:dyDescent="0.2">
      <c r="A5" s="19"/>
      <c r="B5" s="19"/>
      <c r="C5" s="19"/>
      <c r="D5" s="19"/>
      <c r="E5" s="19"/>
      <c r="F5" s="19"/>
      <c r="Z5" s="15" t="s">
        <v>226</v>
      </c>
      <c r="AA5" s="16">
        <f>GETPIVOTDATA("Stockout Days",PivotTables!$Y$3)</f>
        <v>22</v>
      </c>
    </row>
    <row r="6" spans="1:27" x14ac:dyDescent="0.2">
      <c r="A6" s="19"/>
      <c r="B6" s="19"/>
      <c r="C6" s="19"/>
      <c r="D6" s="19"/>
      <c r="E6" s="19"/>
      <c r="F6" s="19"/>
      <c r="Z6" s="15" t="s">
        <v>229</v>
      </c>
      <c r="AA6" s="18">
        <f>AA2/AVERAGE(AA3,AA4)</f>
        <v>791.08097262528565</v>
      </c>
    </row>
    <row r="7" spans="1:27" x14ac:dyDescent="0.2">
      <c r="A7" s="19"/>
      <c r="B7" s="19"/>
      <c r="C7" s="19"/>
      <c r="D7" s="19"/>
      <c r="E7" s="19"/>
      <c r="F7" s="19"/>
      <c r="Z7" s="15" t="s">
        <v>230</v>
      </c>
      <c r="AA7" s="17">
        <f>AA5/(COUNTA(Data!A:A)-1)</f>
        <v>1.0999999999999999E-2</v>
      </c>
    </row>
    <row r="8" spans="1:27" x14ac:dyDescent="0.2">
      <c r="A8" s="19"/>
      <c r="B8" s="19"/>
      <c r="C8" s="19"/>
      <c r="D8" s="19"/>
      <c r="E8" s="19"/>
      <c r="F8" s="19"/>
    </row>
    <row r="9" spans="1:27" x14ac:dyDescent="0.2">
      <c r="A9" s="19"/>
      <c r="B9" s="19"/>
      <c r="C9" s="19"/>
      <c r="D9" s="19"/>
      <c r="E9" s="19"/>
      <c r="F9" s="19"/>
    </row>
    <row r="10" spans="1:27" x14ac:dyDescent="0.2">
      <c r="A10" s="19"/>
      <c r="B10" s="19"/>
      <c r="C10" s="19"/>
      <c r="D10" s="19"/>
      <c r="E10" s="19"/>
      <c r="F10" s="19"/>
    </row>
    <row r="11" spans="1:27" x14ac:dyDescent="0.2">
      <c r="A11" s="19"/>
      <c r="B11" s="19"/>
      <c r="C11" s="19"/>
      <c r="D11" s="19"/>
      <c r="E11" s="19"/>
      <c r="F11" s="19"/>
    </row>
    <row r="12" spans="1:27" x14ac:dyDescent="0.2">
      <c r="A12" s="19"/>
      <c r="B12" s="19"/>
      <c r="C12" s="19"/>
      <c r="D12" s="19"/>
      <c r="E12" s="19"/>
      <c r="F12" s="1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0D2E3-269D-F641-B2AC-9874AE71150F}">
  <sheetPr codeName="Sheet3"/>
  <dimension ref="A1:AC84"/>
  <sheetViews>
    <sheetView zoomScale="33" workbookViewId="0">
      <selection activeCell="I3" sqref="I3"/>
    </sheetView>
  </sheetViews>
  <sheetFormatPr baseColWidth="10" defaultRowHeight="16" x14ac:dyDescent="0.2"/>
  <cols>
    <col min="1" max="1" width="12.42578125" bestFit="1" customWidth="1"/>
    <col min="2" max="2" width="13.28515625" bestFit="1" customWidth="1"/>
    <col min="5" max="5" width="18" bestFit="1" customWidth="1"/>
    <col min="6" max="6" width="13.28515625" bestFit="1" customWidth="1"/>
    <col min="9" max="9" width="20" bestFit="1" customWidth="1"/>
    <col min="10" max="10" width="17.42578125" bestFit="1" customWidth="1"/>
    <col min="13" max="13" width="12.42578125" bestFit="1" customWidth="1"/>
    <col min="14" max="14" width="16.140625" bestFit="1" customWidth="1"/>
    <col min="17" max="17" width="12.42578125" bestFit="1" customWidth="1"/>
    <col min="18" max="18" width="13.85546875" bestFit="1" customWidth="1"/>
    <col min="21" max="21" width="26.42578125" bestFit="1" customWidth="1"/>
    <col min="22" max="22" width="13.28515625" bestFit="1" customWidth="1"/>
    <col min="25" max="25" width="14.28515625" customWidth="1"/>
    <col min="26" max="26" width="16.7109375" customWidth="1"/>
    <col min="27" max="27" width="15.85546875" customWidth="1"/>
    <col min="28" max="28" width="13.42578125" customWidth="1"/>
    <col min="29" max="29" width="17.5703125" customWidth="1"/>
  </cols>
  <sheetData>
    <row r="1" spans="1:29" x14ac:dyDescent="0.2">
      <c r="A1" s="14" t="s">
        <v>203</v>
      </c>
      <c r="E1" s="14" t="s">
        <v>204</v>
      </c>
      <c r="I1" s="14" t="s">
        <v>206</v>
      </c>
      <c r="M1" s="14" t="s">
        <v>220</v>
      </c>
      <c r="Q1" s="14" t="s">
        <v>222</v>
      </c>
      <c r="U1" s="14" t="s">
        <v>223</v>
      </c>
      <c r="Y1" s="14" t="s">
        <v>228</v>
      </c>
    </row>
    <row r="3" spans="1:29" x14ac:dyDescent="0.2">
      <c r="A3" s="8" t="s">
        <v>201</v>
      </c>
      <c r="B3" t="s">
        <v>202</v>
      </c>
      <c r="E3" s="8" t="s">
        <v>201</v>
      </c>
      <c r="F3" t="s">
        <v>202</v>
      </c>
      <c r="I3" s="8" t="s">
        <v>201</v>
      </c>
      <c r="J3" t="s">
        <v>205</v>
      </c>
      <c r="M3" s="8" t="s">
        <v>201</v>
      </c>
      <c r="N3" t="s">
        <v>219</v>
      </c>
      <c r="Q3" s="8" t="s">
        <v>201</v>
      </c>
      <c r="R3" t="s">
        <v>221</v>
      </c>
      <c r="U3" s="8" t="s">
        <v>201</v>
      </c>
      <c r="V3" t="s">
        <v>202</v>
      </c>
      <c r="Y3" t="s">
        <v>202</v>
      </c>
      <c r="Z3" t="s">
        <v>224</v>
      </c>
      <c r="AA3" t="s">
        <v>225</v>
      </c>
      <c r="AB3" t="s">
        <v>226</v>
      </c>
      <c r="AC3" t="s">
        <v>227</v>
      </c>
    </row>
    <row r="4" spans="1:29" x14ac:dyDescent="0.2">
      <c r="A4" s="12" t="s">
        <v>48</v>
      </c>
      <c r="B4" s="13">
        <v>30421</v>
      </c>
      <c r="E4" s="12" t="s">
        <v>21</v>
      </c>
      <c r="F4" s="13">
        <v>34538</v>
      </c>
      <c r="I4" s="12" t="s">
        <v>53</v>
      </c>
      <c r="J4" s="13">
        <v>8.348684210526315</v>
      </c>
      <c r="M4" s="12" t="s">
        <v>207</v>
      </c>
      <c r="N4" s="13">
        <v>11683</v>
      </c>
      <c r="Q4" s="12" t="s">
        <v>48</v>
      </c>
      <c r="R4" s="13">
        <v>7</v>
      </c>
      <c r="U4" s="12" t="s">
        <v>177</v>
      </c>
      <c r="V4" s="13">
        <v>2475</v>
      </c>
      <c r="Y4" s="13">
        <v>136024</v>
      </c>
      <c r="Z4" s="13">
        <v>164.0265</v>
      </c>
      <c r="AA4" s="13">
        <v>179.86750000000001</v>
      </c>
      <c r="AB4" s="13">
        <v>22</v>
      </c>
      <c r="AC4" s="13">
        <v>7.24</v>
      </c>
    </row>
    <row r="5" spans="1:29" x14ac:dyDescent="0.2">
      <c r="A5" s="12" t="s">
        <v>16</v>
      </c>
      <c r="B5" s="13">
        <v>17616</v>
      </c>
      <c r="E5" s="12" t="s">
        <v>28</v>
      </c>
      <c r="F5" s="13">
        <v>35097</v>
      </c>
      <c r="I5" s="12" t="s">
        <v>18</v>
      </c>
      <c r="J5" s="13">
        <v>7.9580419580419584</v>
      </c>
      <c r="M5" s="12" t="s">
        <v>208</v>
      </c>
      <c r="N5" s="13">
        <v>9855</v>
      </c>
      <c r="Q5" s="12" t="s">
        <v>16</v>
      </c>
      <c r="R5" s="13">
        <v>8</v>
      </c>
      <c r="U5" s="12" t="s">
        <v>97</v>
      </c>
      <c r="V5" s="13">
        <v>1576</v>
      </c>
    </row>
    <row r="6" spans="1:29" x14ac:dyDescent="0.2">
      <c r="A6" s="12" t="s">
        <v>27</v>
      </c>
      <c r="B6" s="13">
        <v>48709</v>
      </c>
      <c r="E6" s="12" t="s">
        <v>35</v>
      </c>
      <c r="F6" s="13">
        <v>33787</v>
      </c>
      <c r="I6" s="12" t="s">
        <v>83</v>
      </c>
      <c r="J6" s="13">
        <v>8.2686567164179099</v>
      </c>
      <c r="M6" s="12" t="s">
        <v>209</v>
      </c>
      <c r="N6" s="13">
        <v>9690</v>
      </c>
      <c r="Q6" s="12" t="s">
        <v>27</v>
      </c>
      <c r="R6" s="13">
        <v>3</v>
      </c>
      <c r="U6" s="12" t="s">
        <v>89</v>
      </c>
      <c r="V6" s="13">
        <v>1448</v>
      </c>
    </row>
    <row r="7" spans="1:29" x14ac:dyDescent="0.2">
      <c r="A7" s="12" t="s">
        <v>52</v>
      </c>
      <c r="B7" s="13">
        <v>4386</v>
      </c>
      <c r="E7" s="12" t="s">
        <v>17</v>
      </c>
      <c r="F7" s="13">
        <v>32602</v>
      </c>
      <c r="I7" s="12" t="s">
        <v>36</v>
      </c>
      <c r="J7" s="13">
        <v>8.238532110091743</v>
      </c>
      <c r="M7" s="12" t="s">
        <v>210</v>
      </c>
      <c r="N7" s="13">
        <v>11261</v>
      </c>
      <c r="Q7" s="12" t="s">
        <v>52</v>
      </c>
      <c r="R7" s="13">
        <v>0</v>
      </c>
      <c r="U7" s="12" t="s">
        <v>93</v>
      </c>
      <c r="V7" s="13">
        <v>3687</v>
      </c>
    </row>
    <row r="8" spans="1:29" x14ac:dyDescent="0.2">
      <c r="A8" s="12" t="s">
        <v>34</v>
      </c>
      <c r="B8" s="13">
        <v>34892</v>
      </c>
      <c r="E8" s="12" t="s">
        <v>198</v>
      </c>
      <c r="F8" s="13">
        <v>136024</v>
      </c>
      <c r="I8" s="12" t="s">
        <v>63</v>
      </c>
      <c r="J8" s="13">
        <v>8.3538461538461544</v>
      </c>
      <c r="M8" s="12" t="s">
        <v>211</v>
      </c>
      <c r="N8" s="13">
        <v>11772</v>
      </c>
      <c r="Q8" s="12" t="s">
        <v>34</v>
      </c>
      <c r="R8" s="13">
        <v>4</v>
      </c>
      <c r="U8" s="12" t="s">
        <v>111</v>
      </c>
      <c r="V8" s="13">
        <v>254</v>
      </c>
    </row>
    <row r="9" spans="1:29" x14ac:dyDescent="0.2">
      <c r="A9" s="12" t="s">
        <v>198</v>
      </c>
      <c r="B9" s="13">
        <v>136024</v>
      </c>
      <c r="I9" s="12" t="s">
        <v>49</v>
      </c>
      <c r="J9" s="13">
        <v>8.183098591549296</v>
      </c>
      <c r="M9" s="12" t="s">
        <v>212</v>
      </c>
      <c r="N9" s="13">
        <v>11758</v>
      </c>
      <c r="Q9" s="12" t="s">
        <v>198</v>
      </c>
      <c r="R9" s="13">
        <v>22</v>
      </c>
      <c r="U9" s="12" t="s">
        <v>153</v>
      </c>
      <c r="V9" s="13">
        <v>866</v>
      </c>
    </row>
    <row r="10" spans="1:29" x14ac:dyDescent="0.2">
      <c r="I10" s="12" t="s">
        <v>45</v>
      </c>
      <c r="J10" s="13">
        <v>8.0149253731343286</v>
      </c>
      <c r="M10" s="12" t="s">
        <v>213</v>
      </c>
      <c r="N10" s="13">
        <v>11498</v>
      </c>
      <c r="U10" s="12" t="s">
        <v>101</v>
      </c>
      <c r="V10" s="13">
        <v>371</v>
      </c>
    </row>
    <row r="11" spans="1:29" x14ac:dyDescent="0.2">
      <c r="I11" s="12" t="s">
        <v>77</v>
      </c>
      <c r="J11" s="13">
        <v>8.1578947368421044</v>
      </c>
      <c r="M11" s="12" t="s">
        <v>214</v>
      </c>
      <c r="N11" s="13">
        <v>12978</v>
      </c>
      <c r="U11" s="12" t="s">
        <v>65</v>
      </c>
      <c r="V11" s="13">
        <v>2178</v>
      </c>
    </row>
    <row r="12" spans="1:29" x14ac:dyDescent="0.2">
      <c r="I12" s="12" t="s">
        <v>198</v>
      </c>
      <c r="J12" s="13">
        <v>8.1894150417827305</v>
      </c>
      <c r="M12" s="12" t="s">
        <v>215</v>
      </c>
      <c r="N12" s="13">
        <v>11124</v>
      </c>
      <c r="U12" s="12" t="s">
        <v>137</v>
      </c>
      <c r="V12" s="13">
        <v>3014</v>
      </c>
    </row>
    <row r="13" spans="1:29" x14ac:dyDescent="0.2">
      <c r="M13" s="12" t="s">
        <v>216</v>
      </c>
      <c r="N13" s="13">
        <v>12382</v>
      </c>
      <c r="U13" s="12" t="s">
        <v>161</v>
      </c>
      <c r="V13" s="13">
        <v>3076</v>
      </c>
    </row>
    <row r="14" spans="1:29" x14ac:dyDescent="0.2">
      <c r="M14" s="12" t="s">
        <v>217</v>
      </c>
      <c r="N14" s="13">
        <v>11228</v>
      </c>
      <c r="U14" s="12" t="s">
        <v>155</v>
      </c>
      <c r="V14" s="13">
        <v>2131</v>
      </c>
    </row>
    <row r="15" spans="1:29" x14ac:dyDescent="0.2">
      <c r="M15" s="12" t="s">
        <v>218</v>
      </c>
      <c r="N15" s="13">
        <v>10795</v>
      </c>
      <c r="U15" s="12" t="s">
        <v>76</v>
      </c>
      <c r="V15" s="13">
        <v>2160</v>
      </c>
    </row>
    <row r="16" spans="1:29" x14ac:dyDescent="0.2">
      <c r="M16" s="12" t="s">
        <v>198</v>
      </c>
      <c r="N16" s="13">
        <v>136024</v>
      </c>
      <c r="U16" s="12" t="s">
        <v>31</v>
      </c>
      <c r="V16" s="13">
        <v>3548</v>
      </c>
    </row>
    <row r="17" spans="21:22" x14ac:dyDescent="0.2">
      <c r="U17" s="12" t="s">
        <v>159</v>
      </c>
      <c r="V17" s="13">
        <v>188</v>
      </c>
    </row>
    <row r="18" spans="21:22" x14ac:dyDescent="0.2">
      <c r="U18" s="12" t="s">
        <v>143</v>
      </c>
      <c r="V18" s="13">
        <v>306</v>
      </c>
    </row>
    <row r="19" spans="21:22" x14ac:dyDescent="0.2">
      <c r="U19" s="12" t="s">
        <v>44</v>
      </c>
      <c r="V19" s="13">
        <v>1981</v>
      </c>
    </row>
    <row r="20" spans="21:22" x14ac:dyDescent="0.2">
      <c r="U20" s="12" t="s">
        <v>129</v>
      </c>
      <c r="V20" s="13">
        <v>2438</v>
      </c>
    </row>
    <row r="21" spans="21:22" x14ac:dyDescent="0.2">
      <c r="U21" s="12" t="s">
        <v>131</v>
      </c>
      <c r="V21" s="13">
        <v>1961</v>
      </c>
    </row>
    <row r="22" spans="21:22" x14ac:dyDescent="0.2">
      <c r="U22" s="12" t="s">
        <v>181</v>
      </c>
      <c r="V22" s="13">
        <v>2587</v>
      </c>
    </row>
    <row r="23" spans="21:22" x14ac:dyDescent="0.2">
      <c r="U23" s="12" t="s">
        <v>117</v>
      </c>
      <c r="V23" s="13">
        <v>257</v>
      </c>
    </row>
    <row r="24" spans="21:22" x14ac:dyDescent="0.2">
      <c r="U24" s="12" t="s">
        <v>103</v>
      </c>
      <c r="V24" s="13">
        <v>252</v>
      </c>
    </row>
    <row r="25" spans="21:22" x14ac:dyDescent="0.2">
      <c r="U25" s="12" t="s">
        <v>41</v>
      </c>
      <c r="V25" s="13">
        <v>2436</v>
      </c>
    </row>
    <row r="26" spans="21:22" x14ac:dyDescent="0.2">
      <c r="U26" s="12" t="s">
        <v>169</v>
      </c>
      <c r="V26" s="13">
        <v>2405</v>
      </c>
    </row>
    <row r="27" spans="21:22" x14ac:dyDescent="0.2">
      <c r="U27" s="12" t="s">
        <v>185</v>
      </c>
      <c r="V27" s="13">
        <v>1259</v>
      </c>
    </row>
    <row r="28" spans="21:22" x14ac:dyDescent="0.2">
      <c r="U28" s="12" t="s">
        <v>68</v>
      </c>
      <c r="V28" s="13">
        <v>324</v>
      </c>
    </row>
    <row r="29" spans="21:22" x14ac:dyDescent="0.2">
      <c r="U29" s="12" t="s">
        <v>145</v>
      </c>
      <c r="V29" s="13">
        <v>1362</v>
      </c>
    </row>
    <row r="30" spans="21:22" x14ac:dyDescent="0.2">
      <c r="U30" s="12" t="s">
        <v>38</v>
      </c>
      <c r="V30" s="13">
        <v>2411</v>
      </c>
    </row>
    <row r="31" spans="21:22" x14ac:dyDescent="0.2">
      <c r="U31" s="12" t="s">
        <v>95</v>
      </c>
      <c r="V31" s="13">
        <v>1253</v>
      </c>
    </row>
    <row r="32" spans="21:22" x14ac:dyDescent="0.2">
      <c r="U32" s="12" t="s">
        <v>123</v>
      </c>
      <c r="V32" s="13">
        <v>3213</v>
      </c>
    </row>
    <row r="33" spans="21:22" x14ac:dyDescent="0.2">
      <c r="U33" s="12" t="s">
        <v>121</v>
      </c>
      <c r="V33" s="13">
        <v>1332</v>
      </c>
    </row>
    <row r="34" spans="21:22" x14ac:dyDescent="0.2">
      <c r="U34" s="12" t="s">
        <v>119</v>
      </c>
      <c r="V34" s="13">
        <v>2007</v>
      </c>
    </row>
    <row r="35" spans="21:22" x14ac:dyDescent="0.2">
      <c r="U35" s="12" t="s">
        <v>171</v>
      </c>
      <c r="V35" s="13">
        <v>1995</v>
      </c>
    </row>
    <row r="36" spans="21:22" x14ac:dyDescent="0.2">
      <c r="U36" s="12" t="s">
        <v>189</v>
      </c>
      <c r="V36" s="13">
        <v>3844</v>
      </c>
    </row>
    <row r="37" spans="21:22" x14ac:dyDescent="0.2">
      <c r="U37" s="12" t="s">
        <v>175</v>
      </c>
      <c r="V37" s="13">
        <v>390</v>
      </c>
    </row>
    <row r="38" spans="21:22" x14ac:dyDescent="0.2">
      <c r="U38" s="12" t="s">
        <v>113</v>
      </c>
      <c r="V38" s="13">
        <v>1130</v>
      </c>
    </row>
    <row r="39" spans="21:22" x14ac:dyDescent="0.2">
      <c r="U39" s="12" t="s">
        <v>91</v>
      </c>
      <c r="V39" s="13">
        <v>1486</v>
      </c>
    </row>
    <row r="40" spans="21:22" x14ac:dyDescent="0.2">
      <c r="U40" s="12" t="s">
        <v>15</v>
      </c>
      <c r="V40" s="13">
        <v>939</v>
      </c>
    </row>
    <row r="41" spans="21:22" x14ac:dyDescent="0.2">
      <c r="U41" s="12" t="s">
        <v>72</v>
      </c>
      <c r="V41" s="13">
        <v>1193</v>
      </c>
    </row>
    <row r="42" spans="21:22" x14ac:dyDescent="0.2">
      <c r="U42" s="12" t="s">
        <v>127</v>
      </c>
      <c r="V42" s="13">
        <v>2798</v>
      </c>
    </row>
    <row r="43" spans="21:22" x14ac:dyDescent="0.2">
      <c r="U43" s="12" t="s">
        <v>149</v>
      </c>
      <c r="V43" s="13">
        <v>4105</v>
      </c>
    </row>
    <row r="44" spans="21:22" x14ac:dyDescent="0.2">
      <c r="U44" s="12" t="s">
        <v>79</v>
      </c>
      <c r="V44" s="13">
        <v>2030</v>
      </c>
    </row>
    <row r="45" spans="21:22" x14ac:dyDescent="0.2">
      <c r="U45" s="12" t="s">
        <v>109</v>
      </c>
      <c r="V45" s="13">
        <v>684</v>
      </c>
    </row>
    <row r="46" spans="21:22" x14ac:dyDescent="0.2">
      <c r="U46" s="12" t="s">
        <v>163</v>
      </c>
      <c r="V46" s="13">
        <v>1084</v>
      </c>
    </row>
    <row r="47" spans="21:22" x14ac:dyDescent="0.2">
      <c r="U47" s="12" t="s">
        <v>51</v>
      </c>
      <c r="V47" s="13">
        <v>282</v>
      </c>
    </row>
    <row r="48" spans="21:22" x14ac:dyDescent="0.2">
      <c r="U48" s="12" t="s">
        <v>26</v>
      </c>
      <c r="V48" s="13">
        <v>2471</v>
      </c>
    </row>
    <row r="49" spans="21:22" x14ac:dyDescent="0.2">
      <c r="U49" s="12" t="s">
        <v>135</v>
      </c>
      <c r="V49" s="13">
        <v>2797</v>
      </c>
    </row>
    <row r="50" spans="21:22" x14ac:dyDescent="0.2">
      <c r="U50" s="12" t="s">
        <v>60</v>
      </c>
      <c r="V50" s="13">
        <v>2377</v>
      </c>
    </row>
    <row r="51" spans="21:22" x14ac:dyDescent="0.2">
      <c r="U51" s="12" t="s">
        <v>115</v>
      </c>
      <c r="V51" s="13">
        <v>1726</v>
      </c>
    </row>
    <row r="52" spans="21:22" x14ac:dyDescent="0.2">
      <c r="U52" s="12" t="s">
        <v>173</v>
      </c>
      <c r="V52" s="13">
        <v>2850</v>
      </c>
    </row>
    <row r="53" spans="21:22" x14ac:dyDescent="0.2">
      <c r="U53" s="12" t="s">
        <v>85</v>
      </c>
      <c r="V53" s="13">
        <v>2083</v>
      </c>
    </row>
    <row r="54" spans="21:22" x14ac:dyDescent="0.2">
      <c r="U54" s="12" t="s">
        <v>179</v>
      </c>
      <c r="V54" s="13">
        <v>979</v>
      </c>
    </row>
    <row r="55" spans="21:22" x14ac:dyDescent="0.2">
      <c r="U55" s="12" t="s">
        <v>133</v>
      </c>
      <c r="V55" s="13">
        <v>867</v>
      </c>
    </row>
    <row r="56" spans="21:22" x14ac:dyDescent="0.2">
      <c r="U56" s="12" t="s">
        <v>195</v>
      </c>
      <c r="V56" s="13">
        <v>1594</v>
      </c>
    </row>
    <row r="57" spans="21:22" x14ac:dyDescent="0.2">
      <c r="U57" s="12" t="s">
        <v>191</v>
      </c>
      <c r="V57" s="13">
        <v>1201</v>
      </c>
    </row>
    <row r="58" spans="21:22" x14ac:dyDescent="0.2">
      <c r="U58" s="12" t="s">
        <v>82</v>
      </c>
      <c r="V58" s="13">
        <v>232</v>
      </c>
    </row>
    <row r="59" spans="21:22" x14ac:dyDescent="0.2">
      <c r="U59" s="12" t="s">
        <v>139</v>
      </c>
      <c r="V59" s="13">
        <v>1777</v>
      </c>
    </row>
    <row r="60" spans="21:22" x14ac:dyDescent="0.2">
      <c r="U60" s="12" t="s">
        <v>193</v>
      </c>
      <c r="V60" s="13">
        <v>1551</v>
      </c>
    </row>
    <row r="61" spans="21:22" x14ac:dyDescent="0.2">
      <c r="U61" s="12" t="s">
        <v>197</v>
      </c>
      <c r="V61" s="13">
        <v>2174</v>
      </c>
    </row>
    <row r="62" spans="21:22" x14ac:dyDescent="0.2">
      <c r="U62" s="12" t="s">
        <v>187</v>
      </c>
      <c r="V62" s="13">
        <v>3288</v>
      </c>
    </row>
    <row r="63" spans="21:22" x14ac:dyDescent="0.2">
      <c r="U63" s="12" t="s">
        <v>125</v>
      </c>
      <c r="V63" s="13">
        <v>254</v>
      </c>
    </row>
    <row r="64" spans="21:22" x14ac:dyDescent="0.2">
      <c r="U64" s="12" t="s">
        <v>20</v>
      </c>
      <c r="V64" s="13">
        <v>1201</v>
      </c>
    </row>
    <row r="65" spans="21:22" x14ac:dyDescent="0.2">
      <c r="U65" s="12" t="s">
        <v>147</v>
      </c>
      <c r="V65" s="13">
        <v>2006</v>
      </c>
    </row>
    <row r="66" spans="21:22" x14ac:dyDescent="0.2">
      <c r="U66" s="12" t="s">
        <v>70</v>
      </c>
      <c r="V66" s="13">
        <v>2147</v>
      </c>
    </row>
    <row r="67" spans="21:22" x14ac:dyDescent="0.2">
      <c r="U67" s="12" t="s">
        <v>33</v>
      </c>
      <c r="V67" s="13">
        <v>2186</v>
      </c>
    </row>
    <row r="68" spans="21:22" x14ac:dyDescent="0.2">
      <c r="U68" s="12" t="s">
        <v>55</v>
      </c>
      <c r="V68" s="13">
        <v>320</v>
      </c>
    </row>
    <row r="69" spans="21:22" x14ac:dyDescent="0.2">
      <c r="U69" s="12" t="s">
        <v>183</v>
      </c>
      <c r="V69" s="13">
        <v>224</v>
      </c>
    </row>
    <row r="70" spans="21:22" x14ac:dyDescent="0.2">
      <c r="U70" s="12" t="s">
        <v>165</v>
      </c>
      <c r="V70" s="13">
        <v>2453</v>
      </c>
    </row>
    <row r="71" spans="21:22" x14ac:dyDescent="0.2">
      <c r="U71" s="12" t="s">
        <v>99</v>
      </c>
      <c r="V71" s="13">
        <v>3595</v>
      </c>
    </row>
    <row r="72" spans="21:22" x14ac:dyDescent="0.2">
      <c r="U72" s="12" t="s">
        <v>151</v>
      </c>
      <c r="V72" s="13">
        <v>229</v>
      </c>
    </row>
    <row r="73" spans="21:22" x14ac:dyDescent="0.2">
      <c r="U73" s="12" t="s">
        <v>167</v>
      </c>
      <c r="V73" s="13">
        <v>1344</v>
      </c>
    </row>
    <row r="74" spans="21:22" x14ac:dyDescent="0.2">
      <c r="U74" s="12" t="s">
        <v>141</v>
      </c>
      <c r="V74" s="13">
        <v>193</v>
      </c>
    </row>
    <row r="75" spans="21:22" x14ac:dyDescent="0.2">
      <c r="U75" s="12" t="s">
        <v>74</v>
      </c>
      <c r="V75" s="13">
        <v>1070</v>
      </c>
    </row>
    <row r="76" spans="21:22" x14ac:dyDescent="0.2">
      <c r="U76" s="12" t="s">
        <v>105</v>
      </c>
      <c r="V76" s="13">
        <v>2089</v>
      </c>
    </row>
    <row r="77" spans="21:22" x14ac:dyDescent="0.2">
      <c r="U77" s="12" t="s">
        <v>157</v>
      </c>
      <c r="V77" s="13">
        <v>3287</v>
      </c>
    </row>
    <row r="78" spans="21:22" x14ac:dyDescent="0.2">
      <c r="U78" s="12" t="s">
        <v>23</v>
      </c>
      <c r="V78" s="13">
        <v>936</v>
      </c>
    </row>
    <row r="79" spans="21:22" x14ac:dyDescent="0.2">
      <c r="U79" s="12" t="s">
        <v>87</v>
      </c>
      <c r="V79" s="13">
        <v>2218</v>
      </c>
    </row>
    <row r="80" spans="21:22" x14ac:dyDescent="0.2">
      <c r="U80" s="12" t="s">
        <v>107</v>
      </c>
      <c r="V80" s="13">
        <v>1479</v>
      </c>
    </row>
    <row r="81" spans="21:22" x14ac:dyDescent="0.2">
      <c r="U81" s="12" t="s">
        <v>58</v>
      </c>
      <c r="V81" s="13">
        <v>310</v>
      </c>
    </row>
    <row r="82" spans="21:22" x14ac:dyDescent="0.2">
      <c r="U82" s="12" t="s">
        <v>62</v>
      </c>
      <c r="V82" s="13">
        <v>2313</v>
      </c>
    </row>
    <row r="83" spans="21:22" x14ac:dyDescent="0.2">
      <c r="U83" s="12" t="s">
        <v>47</v>
      </c>
      <c r="V83" s="13">
        <v>1487</v>
      </c>
    </row>
    <row r="84" spans="21:22" x14ac:dyDescent="0.2">
      <c r="U84" s="12" t="s">
        <v>198</v>
      </c>
      <c r="V84" s="13">
        <v>136024</v>
      </c>
    </row>
  </sheetData>
  <conditionalFormatting sqref="Q3:R8">
    <cfRule type="cellIs" dxfId="1" priority="2" operator="greaterThan">
      <formula>5</formula>
    </cfRule>
  </conditionalFormatting>
  <conditionalFormatting sqref="I3">
    <cfRule type="top10" dxfId="0" priority="1" percent="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5A782-ABD8-5549-9784-7F2D81A633A3}">
  <sheetPr codeName="Sheet1"/>
  <dimension ref="A1:O2001"/>
  <sheetViews>
    <sheetView zoomScale="50" workbookViewId="0">
      <selection activeCell="R36" sqref="R36"/>
    </sheetView>
  </sheetViews>
  <sheetFormatPr baseColWidth="10" defaultRowHeight="16" x14ac:dyDescent="0.2"/>
  <cols>
    <col min="1" max="1" width="15" style="21" customWidth="1"/>
    <col min="2" max="2" width="15.5703125" customWidth="1"/>
    <col min="3" max="3" width="17" customWidth="1"/>
    <col min="4" max="4" width="20.42578125" customWidth="1"/>
    <col min="5" max="5" width="20.85546875" customWidth="1"/>
    <col min="6" max="6" width="20" customWidth="1"/>
    <col min="7" max="7" width="19.42578125" customWidth="1"/>
    <col min="8" max="8" width="19" customWidth="1"/>
    <col min="9" max="9" width="21.85546875" customWidth="1"/>
    <col min="10" max="10" width="18.85546875" customWidth="1"/>
    <col min="11" max="11" width="21.42578125" style="3" customWidth="1"/>
    <col min="12" max="12" width="19.5703125" style="3" customWidth="1"/>
    <col min="13" max="13" width="17" customWidth="1"/>
    <col min="14" max="14" width="17.7109375" customWidth="1"/>
    <col min="15" max="15" width="17.85546875" style="11" customWidth="1"/>
  </cols>
  <sheetData>
    <row r="1" spans="1:15" s="1" customFormat="1" ht="18" x14ac:dyDescent="0.2">
      <c r="A1" s="20" t="s">
        <v>0</v>
      </c>
      <c r="B1" s="4" t="s">
        <v>1</v>
      </c>
      <c r="C1" s="1" t="s">
        <v>2</v>
      </c>
      <c r="D1" s="1" t="s">
        <v>3</v>
      </c>
      <c r="E1" s="1" t="s">
        <v>4</v>
      </c>
      <c r="F1" s="1" t="s">
        <v>5</v>
      </c>
      <c r="G1" s="1" t="s">
        <v>6</v>
      </c>
      <c r="H1" s="1" t="s">
        <v>7</v>
      </c>
      <c r="I1" s="1" t="s">
        <v>8</v>
      </c>
      <c r="J1" s="1" t="s">
        <v>9</v>
      </c>
      <c r="K1" s="1" t="s">
        <v>10</v>
      </c>
      <c r="L1" s="1" t="s">
        <v>11</v>
      </c>
      <c r="M1" s="2" t="s">
        <v>12</v>
      </c>
      <c r="N1" s="2" t="s">
        <v>13</v>
      </c>
      <c r="O1" s="9" t="s">
        <v>200</v>
      </c>
    </row>
    <row r="2" spans="1:15" x14ac:dyDescent="0.2">
      <c r="A2" s="21">
        <v>45658</v>
      </c>
      <c r="B2" s="5" t="s">
        <v>14</v>
      </c>
      <c r="C2" t="s">
        <v>15</v>
      </c>
      <c r="D2" t="s">
        <v>16</v>
      </c>
      <c r="E2" t="s">
        <v>17</v>
      </c>
      <c r="F2">
        <v>131</v>
      </c>
      <c r="G2">
        <v>14</v>
      </c>
      <c r="H2">
        <v>30</v>
      </c>
      <c r="I2">
        <f>Inventory_Data[[#This Row],[Opening_Stock]]+Inventory_Data[[#This Row],[Units_Received]]-Inventory_Data[[#This Row],[Units_Sold]]</f>
        <v>115</v>
      </c>
      <c r="J2">
        <v>0</v>
      </c>
      <c r="K2">
        <v>7</v>
      </c>
      <c r="L2" t="s">
        <v>18</v>
      </c>
      <c r="M2" s="3">
        <v>66.2</v>
      </c>
      <c r="N2" s="3">
        <v>85.22</v>
      </c>
      <c r="O2" s="10" t="str">
        <f>TEXT(Inventory_Data[[#This Row],[Date]],"mmm")</f>
        <v>Jan</v>
      </c>
    </row>
    <row r="3" spans="1:15" x14ac:dyDescent="0.2">
      <c r="A3" s="21">
        <v>45658</v>
      </c>
      <c r="B3" s="5" t="s">
        <v>19</v>
      </c>
      <c r="C3" t="s">
        <v>20</v>
      </c>
      <c r="D3" t="s">
        <v>16</v>
      </c>
      <c r="E3" t="s">
        <v>21</v>
      </c>
      <c r="F3">
        <v>171</v>
      </c>
      <c r="G3">
        <v>55</v>
      </c>
      <c r="H3">
        <v>26</v>
      </c>
      <c r="I3">
        <f>Inventory_Data[[#This Row],[Opening_Stock]]+Inventory_Data[[#This Row],[Units_Received]]-Inventory_Data[[#This Row],[Units_Sold]]</f>
        <v>200</v>
      </c>
      <c r="J3">
        <v>0</v>
      </c>
      <c r="K3">
        <v>12</v>
      </c>
      <c r="L3" t="s">
        <v>18</v>
      </c>
      <c r="M3" s="3">
        <v>159.16</v>
      </c>
      <c r="N3" s="3">
        <v>184.42</v>
      </c>
      <c r="O3" s="10" t="str">
        <f>TEXT(Inventory_Data[[#This Row],[Date]],"mmm")</f>
        <v>Jan</v>
      </c>
    </row>
    <row r="4" spans="1:15" x14ac:dyDescent="0.2">
      <c r="A4" s="21">
        <v>45658</v>
      </c>
      <c r="B4" s="5" t="s">
        <v>22</v>
      </c>
      <c r="C4" t="s">
        <v>23</v>
      </c>
      <c r="D4" t="s">
        <v>16</v>
      </c>
      <c r="E4" t="s">
        <v>21</v>
      </c>
      <c r="F4">
        <v>96</v>
      </c>
      <c r="G4">
        <v>69</v>
      </c>
      <c r="H4">
        <v>18</v>
      </c>
      <c r="I4">
        <f>Inventory_Data[[#This Row],[Opening_Stock]]+Inventory_Data[[#This Row],[Units_Received]]-Inventory_Data[[#This Row],[Units_Sold]]</f>
        <v>147</v>
      </c>
      <c r="J4">
        <v>0</v>
      </c>
      <c r="K4">
        <v>7</v>
      </c>
      <c r="L4" t="s">
        <v>24</v>
      </c>
      <c r="M4" s="3">
        <v>62.11</v>
      </c>
      <c r="N4" s="3">
        <v>85.16</v>
      </c>
      <c r="O4" s="10" t="str">
        <f>TEXT(Inventory_Data[[#This Row],[Date]],"mmm")</f>
        <v>Jan</v>
      </c>
    </row>
    <row r="5" spans="1:15" x14ac:dyDescent="0.2">
      <c r="A5" s="21">
        <v>45658</v>
      </c>
      <c r="B5" s="5" t="s">
        <v>25</v>
      </c>
      <c r="C5" t="s">
        <v>26</v>
      </c>
      <c r="D5" t="s">
        <v>27</v>
      </c>
      <c r="E5" t="s">
        <v>28</v>
      </c>
      <c r="F5">
        <v>319</v>
      </c>
      <c r="G5">
        <v>185</v>
      </c>
      <c r="H5">
        <v>199</v>
      </c>
      <c r="I5">
        <f>Inventory_Data[[#This Row],[Opening_Stock]]+Inventory_Data[[#This Row],[Units_Received]]-Inventory_Data[[#This Row],[Units_Sold]]</f>
        <v>305</v>
      </c>
      <c r="J5">
        <v>0</v>
      </c>
      <c r="K5">
        <v>3</v>
      </c>
      <c r="L5" t="s">
        <v>29</v>
      </c>
      <c r="M5" s="3">
        <v>11.76</v>
      </c>
      <c r="N5" s="3">
        <v>16.89</v>
      </c>
      <c r="O5" s="10" t="str">
        <f>TEXT(Inventory_Data[[#This Row],[Date]],"mmm")</f>
        <v>Jan</v>
      </c>
    </row>
    <row r="6" spans="1:15" x14ac:dyDescent="0.2">
      <c r="A6" s="21">
        <v>45658</v>
      </c>
      <c r="B6" s="5" t="s">
        <v>30</v>
      </c>
      <c r="C6" t="s">
        <v>31</v>
      </c>
      <c r="D6" t="s">
        <v>27</v>
      </c>
      <c r="E6" t="s">
        <v>21</v>
      </c>
      <c r="F6">
        <v>268</v>
      </c>
      <c r="G6">
        <v>129</v>
      </c>
      <c r="H6">
        <v>45</v>
      </c>
      <c r="I6">
        <f>Inventory_Data[[#This Row],[Opening_Stock]]+Inventory_Data[[#This Row],[Units_Received]]-Inventory_Data[[#This Row],[Units_Sold]]</f>
        <v>352</v>
      </c>
      <c r="J6">
        <v>0</v>
      </c>
      <c r="K6">
        <v>5</v>
      </c>
      <c r="L6" t="s">
        <v>29</v>
      </c>
      <c r="M6" s="3">
        <v>4.88</v>
      </c>
      <c r="N6" s="3">
        <v>6.89</v>
      </c>
      <c r="O6" s="10" t="str">
        <f>TEXT(Inventory_Data[[#This Row],[Date]],"mmm")</f>
        <v>Jan</v>
      </c>
    </row>
    <row r="7" spans="1:15" x14ac:dyDescent="0.2">
      <c r="A7" s="21">
        <v>45658</v>
      </c>
      <c r="B7" s="5" t="s">
        <v>32</v>
      </c>
      <c r="C7" t="s">
        <v>33</v>
      </c>
      <c r="D7" t="s">
        <v>34</v>
      </c>
      <c r="E7" t="s">
        <v>35</v>
      </c>
      <c r="F7">
        <v>236</v>
      </c>
      <c r="G7">
        <v>58</v>
      </c>
      <c r="H7">
        <v>59</v>
      </c>
      <c r="I7">
        <f>Inventory_Data[[#This Row],[Opening_Stock]]+Inventory_Data[[#This Row],[Units_Received]]-Inventory_Data[[#This Row],[Units_Sold]]</f>
        <v>235</v>
      </c>
      <c r="J7">
        <v>0</v>
      </c>
      <c r="K7">
        <v>4</v>
      </c>
      <c r="L7" t="s">
        <v>36</v>
      </c>
      <c r="M7" s="3">
        <v>1.9</v>
      </c>
      <c r="N7" s="3">
        <v>2.54</v>
      </c>
      <c r="O7" s="10" t="str">
        <f>TEXT(Inventory_Data[[#This Row],[Date]],"mmm")</f>
        <v>Jan</v>
      </c>
    </row>
    <row r="8" spans="1:15" x14ac:dyDescent="0.2">
      <c r="A8" s="21">
        <v>45658</v>
      </c>
      <c r="B8" s="5" t="s">
        <v>37</v>
      </c>
      <c r="C8" t="s">
        <v>38</v>
      </c>
      <c r="D8" t="s">
        <v>34</v>
      </c>
      <c r="E8" t="s">
        <v>35</v>
      </c>
      <c r="F8">
        <v>238</v>
      </c>
      <c r="G8">
        <v>101</v>
      </c>
      <c r="H8">
        <v>94</v>
      </c>
      <c r="I8">
        <f>Inventory_Data[[#This Row],[Opening_Stock]]+Inventory_Data[[#This Row],[Units_Received]]-Inventory_Data[[#This Row],[Units_Sold]]</f>
        <v>245</v>
      </c>
      <c r="J8">
        <v>0</v>
      </c>
      <c r="K8">
        <v>5</v>
      </c>
      <c r="L8" t="s">
        <v>39</v>
      </c>
      <c r="M8" s="3">
        <v>15.08</v>
      </c>
      <c r="N8" s="3">
        <v>20.64</v>
      </c>
      <c r="O8" s="10" t="str">
        <f>TEXT(Inventory_Data[[#This Row],[Date]],"mmm")</f>
        <v>Jan</v>
      </c>
    </row>
    <row r="9" spans="1:15" x14ac:dyDescent="0.2">
      <c r="A9" s="21">
        <v>45658</v>
      </c>
      <c r="B9" s="5" t="s">
        <v>40</v>
      </c>
      <c r="C9" t="s">
        <v>41</v>
      </c>
      <c r="D9" t="s">
        <v>34</v>
      </c>
      <c r="E9" t="s">
        <v>21</v>
      </c>
      <c r="F9">
        <v>303</v>
      </c>
      <c r="G9">
        <v>102</v>
      </c>
      <c r="H9">
        <v>115</v>
      </c>
      <c r="I9">
        <f>Inventory_Data[[#This Row],[Opening_Stock]]+Inventory_Data[[#This Row],[Units_Received]]-Inventory_Data[[#This Row],[Units_Sold]]</f>
        <v>290</v>
      </c>
      <c r="J9">
        <v>0</v>
      </c>
      <c r="K9">
        <v>5</v>
      </c>
      <c r="L9" t="s">
        <v>42</v>
      </c>
      <c r="M9" s="3">
        <v>22.17</v>
      </c>
      <c r="N9" s="3">
        <v>29.14</v>
      </c>
      <c r="O9" s="10" t="str">
        <f>TEXT(Inventory_Data[[#This Row],[Date]],"mmm")</f>
        <v>Jan</v>
      </c>
    </row>
    <row r="10" spans="1:15" x14ac:dyDescent="0.2">
      <c r="A10" s="21">
        <v>45658</v>
      </c>
      <c r="B10" s="5" t="s">
        <v>43</v>
      </c>
      <c r="C10" t="s">
        <v>44</v>
      </c>
      <c r="D10" t="s">
        <v>34</v>
      </c>
      <c r="E10" t="s">
        <v>28</v>
      </c>
      <c r="F10">
        <v>205</v>
      </c>
      <c r="G10">
        <v>135</v>
      </c>
      <c r="H10">
        <v>21</v>
      </c>
      <c r="I10">
        <f>Inventory_Data[[#This Row],[Opening_Stock]]+Inventory_Data[[#This Row],[Units_Received]]-Inventory_Data[[#This Row],[Units_Sold]]</f>
        <v>319</v>
      </c>
      <c r="J10">
        <v>0</v>
      </c>
      <c r="K10">
        <v>9</v>
      </c>
      <c r="L10" t="s">
        <v>39</v>
      </c>
      <c r="M10" s="3">
        <v>9.1</v>
      </c>
      <c r="N10" s="3">
        <v>13.31</v>
      </c>
      <c r="O10" s="10" t="str">
        <f>TEXT(Inventory_Data[[#This Row],[Date]],"mmm")</f>
        <v>Jan</v>
      </c>
    </row>
    <row r="11" spans="1:15" x14ac:dyDescent="0.2">
      <c r="A11" s="21">
        <v>45659</v>
      </c>
      <c r="B11" s="5" t="s">
        <v>14</v>
      </c>
      <c r="C11" t="s">
        <v>15</v>
      </c>
      <c r="D11" t="s">
        <v>16</v>
      </c>
      <c r="E11" t="s">
        <v>35</v>
      </c>
      <c r="F11">
        <v>172</v>
      </c>
      <c r="G11" s="6">
        <v>69</v>
      </c>
      <c r="H11">
        <v>69</v>
      </c>
      <c r="I11">
        <f>Inventory_Data[[#This Row],[Opening_Stock]]+Inventory_Data[[#This Row],[Units_Received]]-Inventory_Data[[#This Row],[Units_Sold]]</f>
        <v>172</v>
      </c>
      <c r="J11">
        <v>0</v>
      </c>
      <c r="K11">
        <v>5</v>
      </c>
      <c r="L11" t="s">
        <v>45</v>
      </c>
      <c r="M11" s="3">
        <v>108.26</v>
      </c>
      <c r="N11" s="3">
        <v>136.07</v>
      </c>
      <c r="O11" s="10" t="str">
        <f>TEXT(Inventory_Data[[#This Row],[Date]],"mmm")</f>
        <v>Jan</v>
      </c>
    </row>
    <row r="12" spans="1:15" x14ac:dyDescent="0.2">
      <c r="A12" s="21">
        <v>45659</v>
      </c>
      <c r="B12" s="5" t="s">
        <v>46</v>
      </c>
      <c r="C12" t="s">
        <v>47</v>
      </c>
      <c r="D12" t="s">
        <v>48</v>
      </c>
      <c r="E12" t="s">
        <v>28</v>
      </c>
      <c r="F12">
        <v>125</v>
      </c>
      <c r="G12">
        <v>40</v>
      </c>
      <c r="H12">
        <v>10</v>
      </c>
      <c r="I12">
        <f>Inventory_Data[[#This Row],[Opening_Stock]]+Inventory_Data[[#This Row],[Units_Received]]-Inventory_Data[[#This Row],[Units_Sold]]</f>
        <v>155</v>
      </c>
      <c r="J12">
        <v>0</v>
      </c>
      <c r="K12">
        <v>12</v>
      </c>
      <c r="L12" t="s">
        <v>49</v>
      </c>
      <c r="M12" s="3">
        <v>53.01</v>
      </c>
      <c r="N12" s="3">
        <v>65.61</v>
      </c>
      <c r="O12" s="10" t="str">
        <f>TEXT(Inventory_Data[[#This Row],[Date]],"mmm")</f>
        <v>Jan</v>
      </c>
    </row>
    <row r="13" spans="1:15" x14ac:dyDescent="0.2">
      <c r="A13" s="21">
        <v>45659</v>
      </c>
      <c r="B13" s="5" t="s">
        <v>50</v>
      </c>
      <c r="C13" t="s">
        <v>51</v>
      </c>
      <c r="D13" t="s">
        <v>52</v>
      </c>
      <c r="E13" t="s">
        <v>17</v>
      </c>
      <c r="F13">
        <v>53</v>
      </c>
      <c r="G13">
        <v>21</v>
      </c>
      <c r="H13">
        <v>12</v>
      </c>
      <c r="I13">
        <f>Inventory_Data[[#This Row],[Opening_Stock]]+Inventory_Data[[#This Row],[Units_Received]]-Inventory_Data[[#This Row],[Units_Sold]]</f>
        <v>62</v>
      </c>
      <c r="J13">
        <v>0</v>
      </c>
      <c r="K13">
        <v>12</v>
      </c>
      <c r="L13" t="s">
        <v>53</v>
      </c>
      <c r="M13" s="3">
        <v>339.74</v>
      </c>
      <c r="N13" s="3">
        <v>511.26</v>
      </c>
      <c r="O13" s="10" t="str">
        <f>TEXT(Inventory_Data[[#This Row],[Date]],"mmm")</f>
        <v>Jan</v>
      </c>
    </row>
    <row r="14" spans="1:15" x14ac:dyDescent="0.2">
      <c r="A14" s="21">
        <v>45659</v>
      </c>
      <c r="B14" s="5" t="s">
        <v>54</v>
      </c>
      <c r="C14" t="s">
        <v>55</v>
      </c>
      <c r="D14" t="s">
        <v>52</v>
      </c>
      <c r="E14" t="s">
        <v>21</v>
      </c>
      <c r="F14">
        <v>73</v>
      </c>
      <c r="G14">
        <v>11</v>
      </c>
      <c r="H14">
        <v>19</v>
      </c>
      <c r="I14">
        <f>Inventory_Data[[#This Row],[Opening_Stock]]+Inventory_Data[[#This Row],[Units_Received]]-Inventory_Data[[#This Row],[Units_Sold]]</f>
        <v>65</v>
      </c>
      <c r="J14">
        <v>0</v>
      </c>
      <c r="K14">
        <v>3</v>
      </c>
      <c r="L14" t="s">
        <v>56</v>
      </c>
      <c r="M14" s="3">
        <v>126.79</v>
      </c>
      <c r="N14" s="3">
        <v>153.27000000000001</v>
      </c>
      <c r="O14" s="10" t="str">
        <f>TEXT(Inventory_Data[[#This Row],[Date]],"mmm")</f>
        <v>Jan</v>
      </c>
    </row>
    <row r="15" spans="1:15" x14ac:dyDescent="0.2">
      <c r="A15" s="21">
        <v>45659</v>
      </c>
      <c r="B15" s="5" t="s">
        <v>57</v>
      </c>
      <c r="C15" t="s">
        <v>58</v>
      </c>
      <c r="D15" t="s">
        <v>52</v>
      </c>
      <c r="E15" t="s">
        <v>21</v>
      </c>
      <c r="F15">
        <v>14</v>
      </c>
      <c r="G15">
        <v>20</v>
      </c>
      <c r="H15">
        <v>2</v>
      </c>
      <c r="I15">
        <f>Inventory_Data[[#This Row],[Opening_Stock]]+Inventory_Data[[#This Row],[Units_Received]]-Inventory_Data[[#This Row],[Units_Sold]]</f>
        <v>32</v>
      </c>
      <c r="J15">
        <v>0</v>
      </c>
      <c r="K15">
        <v>11</v>
      </c>
      <c r="L15" t="s">
        <v>53</v>
      </c>
      <c r="M15" s="3">
        <v>93.82</v>
      </c>
      <c r="N15" s="3">
        <v>126.08</v>
      </c>
      <c r="O15" s="10" t="str">
        <f>TEXT(Inventory_Data[[#This Row],[Date]],"mmm")</f>
        <v>Jan</v>
      </c>
    </row>
    <row r="16" spans="1:15" x14ac:dyDescent="0.2">
      <c r="A16" s="21">
        <v>45659</v>
      </c>
      <c r="B16" s="5" t="s">
        <v>59</v>
      </c>
      <c r="C16" t="s">
        <v>60</v>
      </c>
      <c r="D16" t="s">
        <v>34</v>
      </c>
      <c r="E16" t="s">
        <v>17</v>
      </c>
      <c r="F16">
        <v>168</v>
      </c>
      <c r="G16">
        <v>97</v>
      </c>
      <c r="H16">
        <v>38</v>
      </c>
      <c r="I16">
        <f>Inventory_Data[[#This Row],[Opening_Stock]]+Inventory_Data[[#This Row],[Units_Received]]-Inventory_Data[[#This Row],[Units_Sold]]</f>
        <v>227</v>
      </c>
      <c r="J16">
        <v>0</v>
      </c>
      <c r="K16">
        <v>5</v>
      </c>
      <c r="L16" t="s">
        <v>42</v>
      </c>
      <c r="M16" s="3">
        <v>24.94</v>
      </c>
      <c r="N16" s="3">
        <v>35.64</v>
      </c>
      <c r="O16" s="10" t="str">
        <f>TEXT(Inventory_Data[[#This Row],[Date]],"mmm")</f>
        <v>Jan</v>
      </c>
    </row>
    <row r="17" spans="1:15" x14ac:dyDescent="0.2">
      <c r="A17" s="21">
        <v>45660</v>
      </c>
      <c r="B17" s="5" t="s">
        <v>61</v>
      </c>
      <c r="C17" t="s">
        <v>62</v>
      </c>
      <c r="D17" t="s">
        <v>48</v>
      </c>
      <c r="E17" t="s">
        <v>21</v>
      </c>
      <c r="F17">
        <v>206</v>
      </c>
      <c r="G17">
        <v>109</v>
      </c>
      <c r="H17">
        <v>17</v>
      </c>
      <c r="I17">
        <f>Inventory_Data[[#This Row],[Opening_Stock]]+Inventory_Data[[#This Row],[Units_Received]]-Inventory_Data[[#This Row],[Units_Sold]]</f>
        <v>298</v>
      </c>
      <c r="J17">
        <v>0</v>
      </c>
      <c r="K17">
        <v>9</v>
      </c>
      <c r="L17" t="s">
        <v>63</v>
      </c>
      <c r="M17" s="3">
        <v>82.03</v>
      </c>
      <c r="N17" s="3">
        <v>125.91</v>
      </c>
      <c r="O17" s="10" t="str">
        <f>TEXT(Inventory_Data[[#This Row],[Date]],"mmm")</f>
        <v>Jan</v>
      </c>
    </row>
    <row r="18" spans="1:15" x14ac:dyDescent="0.2">
      <c r="A18" s="21">
        <v>45660</v>
      </c>
      <c r="B18" s="5" t="s">
        <v>64</v>
      </c>
      <c r="C18" t="s">
        <v>65</v>
      </c>
      <c r="D18" t="s">
        <v>27</v>
      </c>
      <c r="E18" t="s">
        <v>17</v>
      </c>
      <c r="F18">
        <v>363</v>
      </c>
      <c r="G18">
        <v>160</v>
      </c>
      <c r="H18">
        <v>145</v>
      </c>
      <c r="I18">
        <f>Inventory_Data[[#This Row],[Opening_Stock]]+Inventory_Data[[#This Row],[Units_Received]]-Inventory_Data[[#This Row],[Units_Sold]]</f>
        <v>378</v>
      </c>
      <c r="J18">
        <v>0</v>
      </c>
      <c r="K18">
        <v>6</v>
      </c>
      <c r="L18" t="s">
        <v>66</v>
      </c>
      <c r="M18" s="3">
        <v>4.1500000000000004</v>
      </c>
      <c r="N18" s="3">
        <v>6</v>
      </c>
      <c r="O18" s="10" t="str">
        <f>TEXT(Inventory_Data[[#This Row],[Date]],"mmm")</f>
        <v>Jan</v>
      </c>
    </row>
    <row r="19" spans="1:15" x14ac:dyDescent="0.2">
      <c r="A19" s="21">
        <v>45660</v>
      </c>
      <c r="B19" s="5" t="s">
        <v>67</v>
      </c>
      <c r="C19" t="s">
        <v>68</v>
      </c>
      <c r="D19" t="s">
        <v>52</v>
      </c>
      <c r="E19" t="s">
        <v>21</v>
      </c>
      <c r="F19">
        <v>64</v>
      </c>
      <c r="G19">
        <v>4</v>
      </c>
      <c r="H19">
        <v>13</v>
      </c>
      <c r="I19">
        <f>Inventory_Data[[#This Row],[Opening_Stock]]+Inventory_Data[[#This Row],[Units_Received]]-Inventory_Data[[#This Row],[Units_Sold]]</f>
        <v>55</v>
      </c>
      <c r="J19">
        <v>0</v>
      </c>
      <c r="K19">
        <v>4</v>
      </c>
      <c r="L19" t="s">
        <v>53</v>
      </c>
      <c r="M19" s="3">
        <v>179.22</v>
      </c>
      <c r="N19" s="3">
        <v>264.60000000000002</v>
      </c>
      <c r="O19" s="10" t="str">
        <f>TEXT(Inventory_Data[[#This Row],[Date]],"mmm")</f>
        <v>Jan</v>
      </c>
    </row>
    <row r="20" spans="1:15" x14ac:dyDescent="0.2">
      <c r="A20" s="21">
        <v>45660</v>
      </c>
      <c r="B20" s="5" t="s">
        <v>69</v>
      </c>
      <c r="C20" t="s">
        <v>70</v>
      </c>
      <c r="D20" t="s">
        <v>34</v>
      </c>
      <c r="E20" t="s">
        <v>28</v>
      </c>
      <c r="F20">
        <v>393</v>
      </c>
      <c r="G20">
        <v>190</v>
      </c>
      <c r="H20">
        <v>101</v>
      </c>
      <c r="I20">
        <f>Inventory_Data[[#This Row],[Opening_Stock]]+Inventory_Data[[#This Row],[Units_Received]]-Inventory_Data[[#This Row],[Units_Sold]]</f>
        <v>482</v>
      </c>
      <c r="J20">
        <v>0</v>
      </c>
      <c r="K20">
        <v>6</v>
      </c>
      <c r="L20" t="s">
        <v>36</v>
      </c>
      <c r="M20" s="3">
        <v>28.36</v>
      </c>
      <c r="N20" s="3">
        <v>36.76</v>
      </c>
      <c r="O20" s="10" t="str">
        <f>TEXT(Inventory_Data[[#This Row],[Date]],"mmm")</f>
        <v>Jan</v>
      </c>
    </row>
    <row r="21" spans="1:15" x14ac:dyDescent="0.2">
      <c r="A21" s="21">
        <v>45661</v>
      </c>
      <c r="B21" s="5" t="s">
        <v>71</v>
      </c>
      <c r="C21" t="s">
        <v>72</v>
      </c>
      <c r="D21" t="s">
        <v>16</v>
      </c>
      <c r="E21" t="s">
        <v>21</v>
      </c>
      <c r="F21">
        <v>176</v>
      </c>
      <c r="G21">
        <v>84</v>
      </c>
      <c r="H21">
        <v>9</v>
      </c>
      <c r="I21">
        <f>Inventory_Data[[#This Row],[Opening_Stock]]+Inventory_Data[[#This Row],[Units_Received]]-Inventory_Data[[#This Row],[Units_Sold]]</f>
        <v>251</v>
      </c>
      <c r="J21">
        <v>0</v>
      </c>
      <c r="K21">
        <v>2</v>
      </c>
      <c r="L21" t="s">
        <v>45</v>
      </c>
      <c r="M21" s="3">
        <v>171.52</v>
      </c>
      <c r="N21" s="3">
        <v>232.29</v>
      </c>
      <c r="O21" s="10" t="str">
        <f>TEXT(Inventory_Data[[#This Row],[Date]],"mmm")</f>
        <v>Jan</v>
      </c>
    </row>
    <row r="22" spans="1:15" x14ac:dyDescent="0.2">
      <c r="A22" s="21">
        <v>45661</v>
      </c>
      <c r="B22" s="5" t="s">
        <v>73</v>
      </c>
      <c r="C22" t="s">
        <v>74</v>
      </c>
      <c r="D22" t="s">
        <v>16</v>
      </c>
      <c r="E22" t="s">
        <v>28</v>
      </c>
      <c r="F22">
        <v>65</v>
      </c>
      <c r="G22">
        <v>24</v>
      </c>
      <c r="H22">
        <v>6</v>
      </c>
      <c r="I22">
        <f>Inventory_Data[[#This Row],[Opening_Stock]]+Inventory_Data[[#This Row],[Units_Received]]-Inventory_Data[[#This Row],[Units_Sold]]</f>
        <v>83</v>
      </c>
      <c r="J22">
        <v>0</v>
      </c>
      <c r="K22">
        <v>14</v>
      </c>
      <c r="L22" t="s">
        <v>24</v>
      </c>
      <c r="M22" s="3">
        <v>120.89</v>
      </c>
      <c r="N22" s="3">
        <v>163.43</v>
      </c>
      <c r="O22" s="10" t="str">
        <f>TEXT(Inventory_Data[[#This Row],[Date]],"mmm")</f>
        <v>Jan</v>
      </c>
    </row>
    <row r="23" spans="1:15" x14ac:dyDescent="0.2">
      <c r="A23" s="21">
        <v>45661</v>
      </c>
      <c r="B23" s="5" t="s">
        <v>75</v>
      </c>
      <c r="C23" t="s">
        <v>76</v>
      </c>
      <c r="D23" t="s">
        <v>48</v>
      </c>
      <c r="E23" t="s">
        <v>21</v>
      </c>
      <c r="F23">
        <v>278</v>
      </c>
      <c r="G23">
        <v>100</v>
      </c>
      <c r="H23">
        <v>109</v>
      </c>
      <c r="I23">
        <f>Inventory_Data[[#This Row],[Opening_Stock]]+Inventory_Data[[#This Row],[Units_Received]]-Inventory_Data[[#This Row],[Units_Sold]]</f>
        <v>269</v>
      </c>
      <c r="J23">
        <v>0</v>
      </c>
      <c r="K23">
        <v>4</v>
      </c>
      <c r="L23" t="s">
        <v>77</v>
      </c>
      <c r="M23" s="3">
        <v>41.06</v>
      </c>
      <c r="N23" s="3">
        <v>60.91</v>
      </c>
      <c r="O23" s="10" t="str">
        <f>TEXT(Inventory_Data[[#This Row],[Date]],"mmm")</f>
        <v>Jan</v>
      </c>
    </row>
    <row r="24" spans="1:15" x14ac:dyDescent="0.2">
      <c r="A24" s="21">
        <v>45661</v>
      </c>
      <c r="B24" s="5" t="s">
        <v>61</v>
      </c>
      <c r="C24" t="s">
        <v>62</v>
      </c>
      <c r="D24" t="s">
        <v>48</v>
      </c>
      <c r="E24" t="s">
        <v>28</v>
      </c>
      <c r="F24">
        <v>41</v>
      </c>
      <c r="G24">
        <v>139</v>
      </c>
      <c r="H24">
        <v>31</v>
      </c>
      <c r="I24">
        <f>Inventory_Data[[#This Row],[Opening_Stock]]+Inventory_Data[[#This Row],[Units_Received]]-Inventory_Data[[#This Row],[Units_Sold]]</f>
        <v>149</v>
      </c>
      <c r="J24">
        <v>0</v>
      </c>
      <c r="K24">
        <v>4</v>
      </c>
      <c r="L24" t="s">
        <v>49</v>
      </c>
      <c r="M24" s="3">
        <v>49.12</v>
      </c>
      <c r="N24" s="3">
        <v>57.88</v>
      </c>
      <c r="O24" s="10" t="str">
        <f>TEXT(Inventory_Data[[#This Row],[Date]],"mmm")</f>
        <v>Jan</v>
      </c>
    </row>
    <row r="25" spans="1:15" x14ac:dyDescent="0.2">
      <c r="A25" s="21">
        <v>45661</v>
      </c>
      <c r="B25" s="5" t="s">
        <v>30</v>
      </c>
      <c r="C25" t="s">
        <v>31</v>
      </c>
      <c r="D25" t="s">
        <v>27</v>
      </c>
      <c r="E25" t="s">
        <v>17</v>
      </c>
      <c r="F25">
        <v>367</v>
      </c>
      <c r="G25">
        <v>80</v>
      </c>
      <c r="H25">
        <v>153</v>
      </c>
      <c r="I25">
        <f>Inventory_Data[[#This Row],[Opening_Stock]]+Inventory_Data[[#This Row],[Units_Received]]-Inventory_Data[[#This Row],[Units_Sold]]</f>
        <v>294</v>
      </c>
      <c r="J25">
        <v>0</v>
      </c>
      <c r="K25">
        <v>3</v>
      </c>
      <c r="L25" t="s">
        <v>66</v>
      </c>
      <c r="M25" s="3">
        <v>19.47</v>
      </c>
      <c r="N25" s="3">
        <v>23.99</v>
      </c>
      <c r="O25" s="10" t="str">
        <f>TEXT(Inventory_Data[[#This Row],[Date]],"mmm")</f>
        <v>Jan</v>
      </c>
    </row>
    <row r="26" spans="1:15" x14ac:dyDescent="0.2">
      <c r="A26" s="21">
        <v>45661</v>
      </c>
      <c r="B26" s="5" t="s">
        <v>78</v>
      </c>
      <c r="C26" t="s">
        <v>79</v>
      </c>
      <c r="D26" t="s">
        <v>27</v>
      </c>
      <c r="E26" t="s">
        <v>28</v>
      </c>
      <c r="F26">
        <v>91</v>
      </c>
      <c r="G26">
        <v>105</v>
      </c>
      <c r="H26">
        <v>21</v>
      </c>
      <c r="I26">
        <f>Inventory_Data[[#This Row],[Opening_Stock]]+Inventory_Data[[#This Row],[Units_Received]]-Inventory_Data[[#This Row],[Units_Sold]]</f>
        <v>175</v>
      </c>
      <c r="J26">
        <v>0</v>
      </c>
      <c r="K26">
        <v>7</v>
      </c>
      <c r="L26" t="s">
        <v>80</v>
      </c>
      <c r="M26" s="3">
        <v>15.65</v>
      </c>
      <c r="N26" s="3">
        <v>19.309999999999999</v>
      </c>
      <c r="O26" s="10" t="str">
        <f>TEXT(Inventory_Data[[#This Row],[Date]],"mmm")</f>
        <v>Jan</v>
      </c>
    </row>
    <row r="27" spans="1:15" x14ac:dyDescent="0.2">
      <c r="A27" s="21">
        <v>45661</v>
      </c>
      <c r="B27" s="5" t="s">
        <v>64</v>
      </c>
      <c r="C27" t="s">
        <v>65</v>
      </c>
      <c r="D27" t="s">
        <v>27</v>
      </c>
      <c r="E27" t="s">
        <v>21</v>
      </c>
      <c r="F27">
        <v>187</v>
      </c>
      <c r="G27">
        <v>56</v>
      </c>
      <c r="H27">
        <v>34</v>
      </c>
      <c r="I27">
        <f>Inventory_Data[[#This Row],[Opening_Stock]]+Inventory_Data[[#This Row],[Units_Received]]-Inventory_Data[[#This Row],[Units_Sold]]</f>
        <v>209</v>
      </c>
      <c r="J27">
        <v>0</v>
      </c>
      <c r="K27">
        <v>2</v>
      </c>
      <c r="L27" t="s">
        <v>66</v>
      </c>
      <c r="M27" s="3">
        <v>9.01</v>
      </c>
      <c r="N27" s="3">
        <v>12.32</v>
      </c>
      <c r="O27" s="10" t="str">
        <f>TEXT(Inventory_Data[[#This Row],[Date]],"mmm")</f>
        <v>Jan</v>
      </c>
    </row>
    <row r="28" spans="1:15" x14ac:dyDescent="0.2">
      <c r="A28" s="21">
        <v>45661</v>
      </c>
      <c r="B28" s="5" t="s">
        <v>81</v>
      </c>
      <c r="C28" t="s">
        <v>82</v>
      </c>
      <c r="D28" t="s">
        <v>52</v>
      </c>
      <c r="E28" t="s">
        <v>28</v>
      </c>
      <c r="F28">
        <v>20</v>
      </c>
      <c r="G28">
        <v>3</v>
      </c>
      <c r="H28">
        <v>18</v>
      </c>
      <c r="I28">
        <f>Inventory_Data[[#This Row],[Opening_Stock]]+Inventory_Data[[#This Row],[Units_Received]]-Inventory_Data[[#This Row],[Units_Sold]]</f>
        <v>5</v>
      </c>
      <c r="J28">
        <v>0</v>
      </c>
      <c r="K28">
        <v>10</v>
      </c>
      <c r="L28" t="s">
        <v>83</v>
      </c>
      <c r="M28" s="3">
        <v>337.36</v>
      </c>
      <c r="N28" s="3">
        <v>472.63</v>
      </c>
      <c r="O28" s="10" t="str">
        <f>TEXT(Inventory_Data[[#This Row],[Date]],"mmm")</f>
        <v>Jan</v>
      </c>
    </row>
    <row r="29" spans="1:15" x14ac:dyDescent="0.2">
      <c r="A29" s="21">
        <v>45662</v>
      </c>
      <c r="B29" s="5" t="s">
        <v>22</v>
      </c>
      <c r="C29" t="s">
        <v>23</v>
      </c>
      <c r="D29" t="s">
        <v>16</v>
      </c>
      <c r="E29" t="s">
        <v>35</v>
      </c>
      <c r="F29">
        <v>70</v>
      </c>
      <c r="G29">
        <v>52</v>
      </c>
      <c r="H29">
        <v>27</v>
      </c>
      <c r="I29">
        <f>Inventory_Data[[#This Row],[Opening_Stock]]+Inventory_Data[[#This Row],[Units_Received]]-Inventory_Data[[#This Row],[Units_Sold]]</f>
        <v>95</v>
      </c>
      <c r="J29">
        <v>0</v>
      </c>
      <c r="K29">
        <v>9</v>
      </c>
      <c r="L29" t="s">
        <v>45</v>
      </c>
      <c r="M29" s="3">
        <v>178.83</v>
      </c>
      <c r="N29" s="3">
        <v>229.56</v>
      </c>
      <c r="O29" s="10" t="str">
        <f>TEXT(Inventory_Data[[#This Row],[Date]],"mmm")</f>
        <v>Jan</v>
      </c>
    </row>
    <row r="30" spans="1:15" x14ac:dyDescent="0.2">
      <c r="A30" s="21">
        <v>45662</v>
      </c>
      <c r="B30" s="5" t="s">
        <v>84</v>
      </c>
      <c r="C30" t="s">
        <v>85</v>
      </c>
      <c r="D30" t="s">
        <v>48</v>
      </c>
      <c r="E30" t="s">
        <v>21</v>
      </c>
      <c r="F30">
        <v>60</v>
      </c>
      <c r="G30">
        <v>58</v>
      </c>
      <c r="H30">
        <v>111</v>
      </c>
      <c r="I30">
        <f>Inventory_Data[[#This Row],[Opening_Stock]]+Inventory_Data[[#This Row],[Units_Received]]-Inventory_Data[[#This Row],[Units_Sold]]</f>
        <v>7</v>
      </c>
      <c r="J30">
        <v>0</v>
      </c>
      <c r="K30">
        <v>3</v>
      </c>
      <c r="L30" t="s">
        <v>77</v>
      </c>
      <c r="M30" s="3">
        <v>13.35</v>
      </c>
      <c r="N30" s="3">
        <v>19.739999999999998</v>
      </c>
      <c r="O30" s="10" t="str">
        <f>TEXT(Inventory_Data[[#This Row],[Date]],"mmm")</f>
        <v>Jan</v>
      </c>
    </row>
    <row r="31" spans="1:15" x14ac:dyDescent="0.2">
      <c r="A31" s="21">
        <v>45662</v>
      </c>
      <c r="B31" s="5" t="s">
        <v>86</v>
      </c>
      <c r="C31" t="s">
        <v>87</v>
      </c>
      <c r="D31" t="s">
        <v>48</v>
      </c>
      <c r="E31" t="s">
        <v>21</v>
      </c>
      <c r="F31">
        <v>204</v>
      </c>
      <c r="G31">
        <v>77</v>
      </c>
      <c r="H31">
        <v>30</v>
      </c>
      <c r="I31">
        <f>Inventory_Data[[#This Row],[Opening_Stock]]+Inventory_Data[[#This Row],[Units_Received]]-Inventory_Data[[#This Row],[Units_Sold]]</f>
        <v>251</v>
      </c>
      <c r="J31">
        <v>0</v>
      </c>
      <c r="K31">
        <v>3</v>
      </c>
      <c r="L31" t="s">
        <v>49</v>
      </c>
      <c r="M31" s="3">
        <v>19.89</v>
      </c>
      <c r="N31" s="3">
        <v>28.64</v>
      </c>
      <c r="O31" s="10" t="str">
        <f>TEXT(Inventory_Data[[#This Row],[Date]],"mmm")</f>
        <v>Jan</v>
      </c>
    </row>
    <row r="32" spans="1:15" x14ac:dyDescent="0.2">
      <c r="A32" s="21">
        <v>45662</v>
      </c>
      <c r="B32" s="5" t="s">
        <v>75</v>
      </c>
      <c r="C32" t="s">
        <v>76</v>
      </c>
      <c r="D32" t="s">
        <v>48</v>
      </c>
      <c r="E32" t="s">
        <v>21</v>
      </c>
      <c r="F32">
        <v>102</v>
      </c>
      <c r="G32">
        <v>87</v>
      </c>
      <c r="H32">
        <v>11</v>
      </c>
      <c r="I32">
        <f>Inventory_Data[[#This Row],[Opening_Stock]]+Inventory_Data[[#This Row],[Units_Received]]-Inventory_Data[[#This Row],[Units_Sold]]</f>
        <v>178</v>
      </c>
      <c r="J32">
        <v>0</v>
      </c>
      <c r="K32">
        <v>13</v>
      </c>
      <c r="L32" t="s">
        <v>63</v>
      </c>
      <c r="M32" s="3">
        <v>46.96</v>
      </c>
      <c r="N32" s="3">
        <v>70.87</v>
      </c>
      <c r="O32" s="10" t="str">
        <f>TEXT(Inventory_Data[[#This Row],[Date]],"mmm")</f>
        <v>Jan</v>
      </c>
    </row>
    <row r="33" spans="1:15" x14ac:dyDescent="0.2">
      <c r="A33" s="21">
        <v>45662</v>
      </c>
      <c r="B33" s="5" t="s">
        <v>61</v>
      </c>
      <c r="C33" t="s">
        <v>62</v>
      </c>
      <c r="D33" t="s">
        <v>48</v>
      </c>
      <c r="E33" t="s">
        <v>35</v>
      </c>
      <c r="F33">
        <v>299</v>
      </c>
      <c r="G33">
        <v>25</v>
      </c>
      <c r="H33">
        <v>127</v>
      </c>
      <c r="I33">
        <f>Inventory_Data[[#This Row],[Opening_Stock]]+Inventory_Data[[#This Row],[Units_Received]]-Inventory_Data[[#This Row],[Units_Sold]]</f>
        <v>197</v>
      </c>
      <c r="J33">
        <v>0</v>
      </c>
      <c r="K33">
        <v>6</v>
      </c>
      <c r="L33" t="s">
        <v>77</v>
      </c>
      <c r="M33" s="3">
        <v>35.97</v>
      </c>
      <c r="N33" s="3">
        <v>52.12</v>
      </c>
      <c r="O33" s="10" t="str">
        <f>TEXT(Inventory_Data[[#This Row],[Date]],"mmm")</f>
        <v>Jan</v>
      </c>
    </row>
    <row r="34" spans="1:15" x14ac:dyDescent="0.2">
      <c r="A34" s="21">
        <v>45662</v>
      </c>
      <c r="B34" s="5" t="s">
        <v>25</v>
      </c>
      <c r="C34" t="s">
        <v>26</v>
      </c>
      <c r="D34" t="s">
        <v>27</v>
      </c>
      <c r="E34" t="s">
        <v>21</v>
      </c>
      <c r="F34">
        <v>107</v>
      </c>
      <c r="G34">
        <v>236</v>
      </c>
      <c r="H34">
        <v>210</v>
      </c>
      <c r="I34">
        <f>Inventory_Data[[#This Row],[Opening_Stock]]+Inventory_Data[[#This Row],[Units_Received]]-Inventory_Data[[#This Row],[Units_Sold]]</f>
        <v>133</v>
      </c>
      <c r="J34">
        <v>0</v>
      </c>
      <c r="K34">
        <v>3</v>
      </c>
      <c r="L34" t="s">
        <v>29</v>
      </c>
      <c r="M34" s="3">
        <v>12.79</v>
      </c>
      <c r="N34" s="3">
        <v>16.98</v>
      </c>
      <c r="O34" s="10" t="str">
        <f>TEXT(Inventory_Data[[#This Row],[Date]],"mmm")</f>
        <v>Jan</v>
      </c>
    </row>
    <row r="35" spans="1:15" x14ac:dyDescent="0.2">
      <c r="A35" s="21">
        <v>45662</v>
      </c>
      <c r="B35" s="5" t="s">
        <v>30</v>
      </c>
      <c r="C35" t="s">
        <v>31</v>
      </c>
      <c r="D35" t="s">
        <v>27</v>
      </c>
      <c r="E35" t="s">
        <v>17</v>
      </c>
      <c r="F35">
        <v>191</v>
      </c>
      <c r="G35">
        <v>104</v>
      </c>
      <c r="H35">
        <v>174</v>
      </c>
      <c r="I35">
        <f>Inventory_Data[[#This Row],[Opening_Stock]]+Inventory_Data[[#This Row],[Units_Received]]-Inventory_Data[[#This Row],[Units_Sold]]</f>
        <v>121</v>
      </c>
      <c r="J35">
        <v>0</v>
      </c>
      <c r="K35">
        <v>6</v>
      </c>
      <c r="L35" t="s">
        <v>80</v>
      </c>
      <c r="M35" s="3">
        <v>11.25</v>
      </c>
      <c r="N35" s="3">
        <v>15.84</v>
      </c>
      <c r="O35" s="10" t="str">
        <f>TEXT(Inventory_Data[[#This Row],[Date]],"mmm")</f>
        <v>Jan</v>
      </c>
    </row>
    <row r="36" spans="1:15" x14ac:dyDescent="0.2">
      <c r="A36" s="21">
        <v>45662</v>
      </c>
      <c r="B36" s="5" t="s">
        <v>88</v>
      </c>
      <c r="C36" t="s">
        <v>89</v>
      </c>
      <c r="D36" t="s">
        <v>34</v>
      </c>
      <c r="E36" t="s">
        <v>21</v>
      </c>
      <c r="F36">
        <v>282</v>
      </c>
      <c r="G36">
        <v>52</v>
      </c>
      <c r="H36">
        <v>123</v>
      </c>
      <c r="I36">
        <f>Inventory_Data[[#This Row],[Opening_Stock]]+Inventory_Data[[#This Row],[Units_Received]]-Inventory_Data[[#This Row],[Units_Sold]]</f>
        <v>211</v>
      </c>
      <c r="J36">
        <v>0</v>
      </c>
      <c r="K36">
        <v>12</v>
      </c>
      <c r="L36" t="s">
        <v>36</v>
      </c>
      <c r="M36" s="3">
        <v>5.29</v>
      </c>
      <c r="N36" s="3">
        <v>6.29</v>
      </c>
      <c r="O36" s="10" t="str">
        <f>TEXT(Inventory_Data[[#This Row],[Date]],"mmm")</f>
        <v>Jan</v>
      </c>
    </row>
    <row r="37" spans="1:15" x14ac:dyDescent="0.2">
      <c r="A37" s="21">
        <v>45663</v>
      </c>
      <c r="B37" s="5" t="s">
        <v>90</v>
      </c>
      <c r="C37" t="s">
        <v>91</v>
      </c>
      <c r="D37" t="s">
        <v>48</v>
      </c>
      <c r="E37" t="s">
        <v>35</v>
      </c>
      <c r="F37">
        <v>87</v>
      </c>
      <c r="G37">
        <v>105</v>
      </c>
      <c r="H37">
        <v>125</v>
      </c>
      <c r="I37">
        <f>Inventory_Data[[#This Row],[Opening_Stock]]+Inventory_Data[[#This Row],[Units_Received]]-Inventory_Data[[#This Row],[Units_Sold]]</f>
        <v>67</v>
      </c>
      <c r="J37">
        <v>0</v>
      </c>
      <c r="K37">
        <v>13</v>
      </c>
      <c r="L37" t="s">
        <v>63</v>
      </c>
      <c r="M37" s="3">
        <v>9.3000000000000007</v>
      </c>
      <c r="N37" s="3">
        <v>13.41</v>
      </c>
      <c r="O37" s="10" t="str">
        <f>TEXT(Inventory_Data[[#This Row],[Date]],"mmm")</f>
        <v>Jan</v>
      </c>
    </row>
    <row r="38" spans="1:15" x14ac:dyDescent="0.2">
      <c r="A38" s="21">
        <v>45663</v>
      </c>
      <c r="B38" s="5" t="s">
        <v>92</v>
      </c>
      <c r="C38" t="s">
        <v>93</v>
      </c>
      <c r="D38" t="s">
        <v>27</v>
      </c>
      <c r="E38" t="s">
        <v>35</v>
      </c>
      <c r="F38">
        <v>183</v>
      </c>
      <c r="G38">
        <v>200</v>
      </c>
      <c r="H38">
        <v>219</v>
      </c>
      <c r="I38">
        <f>Inventory_Data[[#This Row],[Opening_Stock]]+Inventory_Data[[#This Row],[Units_Received]]-Inventory_Data[[#This Row],[Units_Sold]]</f>
        <v>164</v>
      </c>
      <c r="J38">
        <v>0</v>
      </c>
      <c r="K38">
        <v>2</v>
      </c>
      <c r="L38" t="s">
        <v>29</v>
      </c>
      <c r="M38" s="3">
        <v>17.39</v>
      </c>
      <c r="N38" s="3">
        <v>25.67</v>
      </c>
      <c r="O38" s="10" t="str">
        <f>TEXT(Inventory_Data[[#This Row],[Date]],"mmm")</f>
        <v>Jan</v>
      </c>
    </row>
    <row r="39" spans="1:15" x14ac:dyDescent="0.2">
      <c r="A39" s="21">
        <v>45663</v>
      </c>
      <c r="B39" s="5" t="s">
        <v>64</v>
      </c>
      <c r="C39" t="s">
        <v>65</v>
      </c>
      <c r="D39" t="s">
        <v>27</v>
      </c>
      <c r="E39" t="s">
        <v>17</v>
      </c>
      <c r="F39">
        <v>397</v>
      </c>
      <c r="G39">
        <v>208</v>
      </c>
      <c r="H39">
        <v>216</v>
      </c>
      <c r="I39">
        <f>Inventory_Data[[#This Row],[Opening_Stock]]+Inventory_Data[[#This Row],[Units_Received]]-Inventory_Data[[#This Row],[Units_Sold]]</f>
        <v>389</v>
      </c>
      <c r="J39">
        <v>0</v>
      </c>
      <c r="K39">
        <v>2</v>
      </c>
      <c r="L39" t="s">
        <v>66</v>
      </c>
      <c r="M39" s="3">
        <v>18.2</v>
      </c>
      <c r="N39" s="3">
        <v>24.01</v>
      </c>
      <c r="O39" s="10" t="str">
        <f>TEXT(Inventory_Data[[#This Row],[Date]],"mmm")</f>
        <v>Jan</v>
      </c>
    </row>
    <row r="40" spans="1:15" x14ac:dyDescent="0.2">
      <c r="A40" s="21">
        <v>45663</v>
      </c>
      <c r="B40" s="5" t="s">
        <v>50</v>
      </c>
      <c r="C40" t="s">
        <v>51</v>
      </c>
      <c r="D40" t="s">
        <v>52</v>
      </c>
      <c r="E40" t="s">
        <v>35</v>
      </c>
      <c r="F40">
        <v>10</v>
      </c>
      <c r="G40">
        <v>7</v>
      </c>
      <c r="H40">
        <v>6</v>
      </c>
      <c r="I40">
        <f>Inventory_Data[[#This Row],[Opening_Stock]]+Inventory_Data[[#This Row],[Units_Received]]-Inventory_Data[[#This Row],[Units_Sold]]</f>
        <v>11</v>
      </c>
      <c r="J40">
        <v>0</v>
      </c>
      <c r="K40">
        <v>7</v>
      </c>
      <c r="L40" t="s">
        <v>53</v>
      </c>
      <c r="M40" s="3">
        <v>305.31</v>
      </c>
      <c r="N40" s="3">
        <v>389.7</v>
      </c>
      <c r="O40" s="10" t="str">
        <f>TEXT(Inventory_Data[[#This Row],[Date]],"mmm")</f>
        <v>Jan</v>
      </c>
    </row>
    <row r="41" spans="1:15" x14ac:dyDescent="0.2">
      <c r="A41" s="21">
        <v>45664</v>
      </c>
      <c r="B41" s="5" t="s">
        <v>94</v>
      </c>
      <c r="C41" t="s">
        <v>95</v>
      </c>
      <c r="D41" t="s">
        <v>16</v>
      </c>
      <c r="E41" t="s">
        <v>21</v>
      </c>
      <c r="F41">
        <v>75</v>
      </c>
      <c r="G41">
        <v>52</v>
      </c>
      <c r="H41">
        <v>38</v>
      </c>
      <c r="I41">
        <f>Inventory_Data[[#This Row],[Opening_Stock]]+Inventory_Data[[#This Row],[Units_Received]]-Inventory_Data[[#This Row],[Units_Sold]]</f>
        <v>89</v>
      </c>
      <c r="J41">
        <v>0</v>
      </c>
      <c r="K41">
        <v>6</v>
      </c>
      <c r="L41" t="s">
        <v>18</v>
      </c>
      <c r="M41" s="3">
        <v>117.51</v>
      </c>
      <c r="N41" s="3">
        <v>141.13999999999999</v>
      </c>
      <c r="O41" s="10" t="str">
        <f>TEXT(Inventory_Data[[#This Row],[Date]],"mmm")</f>
        <v>Jan</v>
      </c>
    </row>
    <row r="42" spans="1:15" x14ac:dyDescent="0.2">
      <c r="A42" s="21">
        <v>45664</v>
      </c>
      <c r="B42" s="5" t="s">
        <v>96</v>
      </c>
      <c r="C42" t="s">
        <v>97</v>
      </c>
      <c r="D42" t="s">
        <v>48</v>
      </c>
      <c r="E42" t="s">
        <v>17</v>
      </c>
      <c r="F42">
        <v>122</v>
      </c>
      <c r="G42">
        <v>51</v>
      </c>
      <c r="H42">
        <v>34</v>
      </c>
      <c r="I42">
        <f>Inventory_Data[[#This Row],[Opening_Stock]]+Inventory_Data[[#This Row],[Units_Received]]-Inventory_Data[[#This Row],[Units_Sold]]</f>
        <v>139</v>
      </c>
      <c r="J42">
        <v>0</v>
      </c>
      <c r="K42">
        <v>13</v>
      </c>
      <c r="L42" t="s">
        <v>49</v>
      </c>
      <c r="M42" s="3">
        <v>38.520000000000003</v>
      </c>
      <c r="N42" s="3">
        <v>55.4</v>
      </c>
      <c r="O42" s="10" t="str">
        <f>TEXT(Inventory_Data[[#This Row],[Date]],"mmm")</f>
        <v>Jan</v>
      </c>
    </row>
    <row r="43" spans="1:15" x14ac:dyDescent="0.2">
      <c r="A43" s="21">
        <v>45664</v>
      </c>
      <c r="B43" s="5" t="s">
        <v>98</v>
      </c>
      <c r="C43" t="s">
        <v>99</v>
      </c>
      <c r="D43" t="s">
        <v>27</v>
      </c>
      <c r="E43" t="s">
        <v>17</v>
      </c>
      <c r="F43">
        <v>343</v>
      </c>
      <c r="G43">
        <v>125</v>
      </c>
      <c r="H43">
        <v>87</v>
      </c>
      <c r="I43">
        <f>Inventory_Data[[#This Row],[Opening_Stock]]+Inventory_Data[[#This Row],[Units_Received]]-Inventory_Data[[#This Row],[Units_Sold]]</f>
        <v>381</v>
      </c>
      <c r="J43">
        <v>0</v>
      </c>
      <c r="K43">
        <v>3</v>
      </c>
      <c r="L43" t="s">
        <v>29</v>
      </c>
      <c r="M43" s="3">
        <v>2.02</v>
      </c>
      <c r="N43" s="3">
        <v>2.98</v>
      </c>
      <c r="O43" s="10" t="str">
        <f>TEXT(Inventory_Data[[#This Row],[Date]],"mmm")</f>
        <v>Jan</v>
      </c>
    </row>
    <row r="44" spans="1:15" x14ac:dyDescent="0.2">
      <c r="A44" s="21">
        <v>45664</v>
      </c>
      <c r="B44" s="5" t="s">
        <v>100</v>
      </c>
      <c r="C44" t="s">
        <v>101</v>
      </c>
      <c r="D44" t="s">
        <v>52</v>
      </c>
      <c r="E44" t="s">
        <v>17</v>
      </c>
      <c r="F44">
        <v>14</v>
      </c>
      <c r="G44">
        <v>19</v>
      </c>
      <c r="H44">
        <v>15</v>
      </c>
      <c r="I44">
        <f>Inventory_Data[[#This Row],[Opening_Stock]]+Inventory_Data[[#This Row],[Units_Received]]-Inventory_Data[[#This Row],[Units_Sold]]</f>
        <v>18</v>
      </c>
      <c r="J44">
        <v>0</v>
      </c>
      <c r="K44">
        <v>5</v>
      </c>
      <c r="L44" t="s">
        <v>83</v>
      </c>
      <c r="M44" s="3">
        <v>48.49</v>
      </c>
      <c r="N44" s="3">
        <v>69.16</v>
      </c>
      <c r="O44" s="10" t="str">
        <f>TEXT(Inventory_Data[[#This Row],[Date]],"mmm")</f>
        <v>Jan</v>
      </c>
    </row>
    <row r="45" spans="1:15" x14ac:dyDescent="0.2">
      <c r="A45" s="21">
        <v>45664</v>
      </c>
      <c r="B45" s="5" t="s">
        <v>102</v>
      </c>
      <c r="C45" t="s">
        <v>103</v>
      </c>
      <c r="D45" t="s">
        <v>52</v>
      </c>
      <c r="E45" t="s">
        <v>28</v>
      </c>
      <c r="F45">
        <v>50</v>
      </c>
      <c r="G45">
        <v>5</v>
      </c>
      <c r="H45">
        <v>11</v>
      </c>
      <c r="I45">
        <f>Inventory_Data[[#This Row],[Opening_Stock]]+Inventory_Data[[#This Row],[Units_Received]]-Inventory_Data[[#This Row],[Units_Sold]]</f>
        <v>44</v>
      </c>
      <c r="J45">
        <v>0</v>
      </c>
      <c r="K45">
        <v>7</v>
      </c>
      <c r="L45" t="s">
        <v>53</v>
      </c>
      <c r="M45" s="3">
        <v>247.4</v>
      </c>
      <c r="N45" s="3">
        <v>378.42</v>
      </c>
      <c r="O45" s="10" t="str">
        <f>TEXT(Inventory_Data[[#This Row],[Date]],"mmm")</f>
        <v>Jan</v>
      </c>
    </row>
    <row r="46" spans="1:15" x14ac:dyDescent="0.2">
      <c r="A46" s="21">
        <v>45664</v>
      </c>
      <c r="B46" s="5" t="s">
        <v>104</v>
      </c>
      <c r="C46" t="s">
        <v>105</v>
      </c>
      <c r="D46" t="s">
        <v>34</v>
      </c>
      <c r="E46" t="s">
        <v>21</v>
      </c>
      <c r="F46">
        <v>155</v>
      </c>
      <c r="G46">
        <v>118</v>
      </c>
      <c r="H46">
        <v>74</v>
      </c>
      <c r="I46">
        <f>Inventory_Data[[#This Row],[Opening_Stock]]+Inventory_Data[[#This Row],[Units_Received]]-Inventory_Data[[#This Row],[Units_Sold]]</f>
        <v>199</v>
      </c>
      <c r="J46">
        <v>0</v>
      </c>
      <c r="K46">
        <v>11</v>
      </c>
      <c r="L46" t="s">
        <v>42</v>
      </c>
      <c r="M46" s="3">
        <v>9.2200000000000006</v>
      </c>
      <c r="N46" s="3">
        <v>13.14</v>
      </c>
      <c r="O46" s="10" t="str">
        <f>TEXT(Inventory_Data[[#This Row],[Date]],"mmm")</f>
        <v>Jan</v>
      </c>
    </row>
    <row r="47" spans="1:15" x14ac:dyDescent="0.2">
      <c r="A47" s="21">
        <v>45664</v>
      </c>
      <c r="B47" s="5" t="s">
        <v>37</v>
      </c>
      <c r="C47" t="s">
        <v>38</v>
      </c>
      <c r="D47" t="s">
        <v>34</v>
      </c>
      <c r="E47" t="s">
        <v>21</v>
      </c>
      <c r="F47">
        <v>303</v>
      </c>
      <c r="G47">
        <v>129</v>
      </c>
      <c r="H47">
        <v>16</v>
      </c>
      <c r="I47">
        <f>Inventory_Data[[#This Row],[Opening_Stock]]+Inventory_Data[[#This Row],[Units_Received]]-Inventory_Data[[#This Row],[Units_Sold]]</f>
        <v>416</v>
      </c>
      <c r="J47">
        <v>0</v>
      </c>
      <c r="K47">
        <v>11</v>
      </c>
      <c r="L47" t="s">
        <v>39</v>
      </c>
      <c r="M47" s="3">
        <v>14.74</v>
      </c>
      <c r="N47" s="3">
        <v>18.09</v>
      </c>
      <c r="O47" s="10" t="str">
        <f>TEXT(Inventory_Data[[#This Row],[Date]],"mmm")</f>
        <v>Jan</v>
      </c>
    </row>
    <row r="48" spans="1:15" x14ac:dyDescent="0.2">
      <c r="A48" s="21">
        <v>45665</v>
      </c>
      <c r="B48" s="5" t="s">
        <v>106</v>
      </c>
      <c r="C48" t="s">
        <v>107</v>
      </c>
      <c r="D48" t="s">
        <v>16</v>
      </c>
      <c r="E48" t="s">
        <v>28</v>
      </c>
      <c r="F48">
        <v>58</v>
      </c>
      <c r="G48">
        <v>65</v>
      </c>
      <c r="H48">
        <v>17</v>
      </c>
      <c r="I48">
        <f>Inventory_Data[[#This Row],[Opening_Stock]]+Inventory_Data[[#This Row],[Units_Received]]-Inventory_Data[[#This Row],[Units_Sold]]</f>
        <v>106</v>
      </c>
      <c r="J48">
        <v>0</v>
      </c>
      <c r="K48">
        <v>9</v>
      </c>
      <c r="L48" t="s">
        <v>45</v>
      </c>
      <c r="M48" s="3">
        <v>186.65</v>
      </c>
      <c r="N48" s="3">
        <v>215.81</v>
      </c>
      <c r="O48" s="10" t="str">
        <f>TEXT(Inventory_Data[[#This Row],[Date]],"mmm")</f>
        <v>Jan</v>
      </c>
    </row>
    <row r="49" spans="1:15" x14ac:dyDescent="0.2">
      <c r="A49" s="21">
        <v>45665</v>
      </c>
      <c r="B49" s="5" t="s">
        <v>19</v>
      </c>
      <c r="C49" t="s">
        <v>20</v>
      </c>
      <c r="D49" t="s">
        <v>16</v>
      </c>
      <c r="E49" t="s">
        <v>28</v>
      </c>
      <c r="F49">
        <v>178</v>
      </c>
      <c r="G49">
        <v>84</v>
      </c>
      <c r="H49">
        <v>14</v>
      </c>
      <c r="I49">
        <f>Inventory_Data[[#This Row],[Opening_Stock]]+Inventory_Data[[#This Row],[Units_Received]]-Inventory_Data[[#This Row],[Units_Sold]]</f>
        <v>248</v>
      </c>
      <c r="J49">
        <v>0</v>
      </c>
      <c r="K49">
        <v>12</v>
      </c>
      <c r="L49" t="s">
        <v>18</v>
      </c>
      <c r="M49" s="3">
        <v>193.29</v>
      </c>
      <c r="N49" s="3">
        <v>274.54000000000002</v>
      </c>
      <c r="O49" s="10" t="str">
        <f>TEXT(Inventory_Data[[#This Row],[Date]],"mmm")</f>
        <v>Jan</v>
      </c>
    </row>
    <row r="50" spans="1:15" x14ac:dyDescent="0.2">
      <c r="A50" s="21">
        <v>45665</v>
      </c>
      <c r="B50" s="5" t="s">
        <v>108</v>
      </c>
      <c r="C50" t="s">
        <v>109</v>
      </c>
      <c r="D50" t="s">
        <v>16</v>
      </c>
      <c r="E50" t="s">
        <v>21</v>
      </c>
      <c r="F50">
        <v>144</v>
      </c>
      <c r="G50">
        <v>42</v>
      </c>
      <c r="H50">
        <v>5</v>
      </c>
      <c r="I50">
        <f>Inventory_Data[[#This Row],[Opening_Stock]]+Inventory_Data[[#This Row],[Units_Received]]-Inventory_Data[[#This Row],[Units_Sold]]</f>
        <v>181</v>
      </c>
      <c r="J50">
        <v>0</v>
      </c>
      <c r="K50">
        <v>13</v>
      </c>
      <c r="L50" t="s">
        <v>24</v>
      </c>
      <c r="M50" s="3">
        <v>54.36</v>
      </c>
      <c r="N50" s="3">
        <v>80.78</v>
      </c>
      <c r="O50" s="10" t="str">
        <f>TEXT(Inventory_Data[[#This Row],[Date]],"mmm")</f>
        <v>Jan</v>
      </c>
    </row>
    <row r="51" spans="1:15" x14ac:dyDescent="0.2">
      <c r="A51" s="21">
        <v>45665</v>
      </c>
      <c r="B51" s="5" t="s">
        <v>50</v>
      </c>
      <c r="C51" t="s">
        <v>51</v>
      </c>
      <c r="D51" t="s">
        <v>52</v>
      </c>
      <c r="E51" t="s">
        <v>21</v>
      </c>
      <c r="F51">
        <v>62</v>
      </c>
      <c r="G51">
        <v>5</v>
      </c>
      <c r="H51">
        <v>4</v>
      </c>
      <c r="I51">
        <f>Inventory_Data[[#This Row],[Opening_Stock]]+Inventory_Data[[#This Row],[Units_Received]]-Inventory_Data[[#This Row],[Units_Sold]]</f>
        <v>63</v>
      </c>
      <c r="J51">
        <v>0</v>
      </c>
      <c r="K51">
        <v>5</v>
      </c>
      <c r="L51" t="s">
        <v>53</v>
      </c>
      <c r="M51" s="3">
        <v>325.20999999999998</v>
      </c>
      <c r="N51" s="3">
        <v>480.85</v>
      </c>
      <c r="O51" s="10" t="str">
        <f>TEXT(Inventory_Data[[#This Row],[Date]],"mmm")</f>
        <v>Jan</v>
      </c>
    </row>
    <row r="52" spans="1:15" x14ac:dyDescent="0.2">
      <c r="A52" s="21">
        <v>45665</v>
      </c>
      <c r="B52" s="5" t="s">
        <v>110</v>
      </c>
      <c r="C52" t="s">
        <v>111</v>
      </c>
      <c r="D52" t="s">
        <v>52</v>
      </c>
      <c r="E52" t="s">
        <v>17</v>
      </c>
      <c r="F52">
        <v>40</v>
      </c>
      <c r="G52">
        <v>12</v>
      </c>
      <c r="H52">
        <v>13</v>
      </c>
      <c r="I52">
        <f>Inventory_Data[[#This Row],[Opening_Stock]]+Inventory_Data[[#This Row],[Units_Received]]-Inventory_Data[[#This Row],[Units_Sold]]</f>
        <v>39</v>
      </c>
      <c r="J52">
        <v>0</v>
      </c>
      <c r="K52">
        <v>8</v>
      </c>
      <c r="L52" t="s">
        <v>56</v>
      </c>
      <c r="M52" s="3">
        <v>121.34</v>
      </c>
      <c r="N52" s="3">
        <v>184.66</v>
      </c>
      <c r="O52" s="10" t="str">
        <f>TEXT(Inventory_Data[[#This Row],[Date]],"mmm")</f>
        <v>Jan</v>
      </c>
    </row>
    <row r="53" spans="1:15" x14ac:dyDescent="0.2">
      <c r="A53" s="21">
        <v>45665</v>
      </c>
      <c r="B53" s="5" t="s">
        <v>43</v>
      </c>
      <c r="C53" t="s">
        <v>44</v>
      </c>
      <c r="D53" t="s">
        <v>34</v>
      </c>
      <c r="E53" t="s">
        <v>28</v>
      </c>
      <c r="F53">
        <v>380</v>
      </c>
      <c r="G53">
        <v>208</v>
      </c>
      <c r="H53">
        <v>143</v>
      </c>
      <c r="I53">
        <f>Inventory_Data[[#This Row],[Opening_Stock]]+Inventory_Data[[#This Row],[Units_Received]]-Inventory_Data[[#This Row],[Units_Sold]]</f>
        <v>445</v>
      </c>
      <c r="J53">
        <v>0</v>
      </c>
      <c r="K53">
        <v>12</v>
      </c>
      <c r="L53" t="s">
        <v>36</v>
      </c>
      <c r="M53" s="3">
        <v>22.4</v>
      </c>
      <c r="N53" s="3">
        <v>27.01</v>
      </c>
      <c r="O53" s="10" t="str">
        <f>TEXT(Inventory_Data[[#This Row],[Date]],"mmm")</f>
        <v>Jan</v>
      </c>
    </row>
    <row r="54" spans="1:15" x14ac:dyDescent="0.2">
      <c r="A54" s="21">
        <v>45666</v>
      </c>
      <c r="B54" s="5" t="s">
        <v>112</v>
      </c>
      <c r="C54" t="s">
        <v>113</v>
      </c>
      <c r="D54" t="s">
        <v>16</v>
      </c>
      <c r="E54" t="s">
        <v>17</v>
      </c>
      <c r="F54">
        <v>125</v>
      </c>
      <c r="G54">
        <v>78</v>
      </c>
      <c r="H54">
        <v>78</v>
      </c>
      <c r="I54">
        <f>Inventory_Data[[#This Row],[Opening_Stock]]+Inventory_Data[[#This Row],[Units_Received]]-Inventory_Data[[#This Row],[Units_Sold]]</f>
        <v>125</v>
      </c>
      <c r="J54">
        <v>0</v>
      </c>
      <c r="K54">
        <v>3</v>
      </c>
      <c r="L54" t="s">
        <v>24</v>
      </c>
      <c r="M54" s="3">
        <v>49.91</v>
      </c>
      <c r="N54" s="3">
        <v>70.03</v>
      </c>
      <c r="O54" s="10" t="str">
        <f>TEXT(Inventory_Data[[#This Row],[Date]],"mmm")</f>
        <v>Jan</v>
      </c>
    </row>
    <row r="55" spans="1:15" x14ac:dyDescent="0.2">
      <c r="A55" s="21">
        <v>45666</v>
      </c>
      <c r="B55" s="5" t="s">
        <v>86</v>
      </c>
      <c r="C55" t="s">
        <v>87</v>
      </c>
      <c r="D55" t="s">
        <v>48</v>
      </c>
      <c r="E55" t="s">
        <v>17</v>
      </c>
      <c r="F55">
        <v>261</v>
      </c>
      <c r="G55">
        <v>96</v>
      </c>
      <c r="H55">
        <v>71</v>
      </c>
      <c r="I55">
        <f>Inventory_Data[[#This Row],[Opening_Stock]]+Inventory_Data[[#This Row],[Units_Received]]-Inventory_Data[[#This Row],[Units_Sold]]</f>
        <v>286</v>
      </c>
      <c r="J55">
        <v>0</v>
      </c>
      <c r="K55">
        <v>8</v>
      </c>
      <c r="L55" t="s">
        <v>63</v>
      </c>
      <c r="M55" s="3">
        <v>65.42</v>
      </c>
      <c r="N55" s="3">
        <v>88.38</v>
      </c>
      <c r="O55" s="10" t="str">
        <f>TEXT(Inventory_Data[[#This Row],[Date]],"mmm")</f>
        <v>Jan</v>
      </c>
    </row>
    <row r="56" spans="1:15" x14ac:dyDescent="0.2">
      <c r="A56" s="21">
        <v>45666</v>
      </c>
      <c r="B56" s="5" t="s">
        <v>92</v>
      </c>
      <c r="C56" t="s">
        <v>93</v>
      </c>
      <c r="D56" t="s">
        <v>27</v>
      </c>
      <c r="E56" t="s">
        <v>21</v>
      </c>
      <c r="F56">
        <v>148</v>
      </c>
      <c r="G56">
        <v>109</v>
      </c>
      <c r="H56">
        <v>86</v>
      </c>
      <c r="I56">
        <f>Inventory_Data[[#This Row],[Opening_Stock]]+Inventory_Data[[#This Row],[Units_Received]]-Inventory_Data[[#This Row],[Units_Sold]]</f>
        <v>171</v>
      </c>
      <c r="J56">
        <v>0</v>
      </c>
      <c r="K56">
        <v>4</v>
      </c>
      <c r="L56" t="s">
        <v>29</v>
      </c>
      <c r="M56" s="3">
        <v>4.2699999999999996</v>
      </c>
      <c r="N56" s="3">
        <v>5.36</v>
      </c>
      <c r="O56" s="10" t="str">
        <f>TEXT(Inventory_Data[[#This Row],[Date]],"mmm")</f>
        <v>Jan</v>
      </c>
    </row>
    <row r="57" spans="1:15" x14ac:dyDescent="0.2">
      <c r="A57" s="21">
        <v>45666</v>
      </c>
      <c r="B57" s="5" t="s">
        <v>114</v>
      </c>
      <c r="C57" t="s">
        <v>115</v>
      </c>
      <c r="D57" t="s">
        <v>27</v>
      </c>
      <c r="E57" t="s">
        <v>35</v>
      </c>
      <c r="F57">
        <v>374</v>
      </c>
      <c r="G57">
        <v>147</v>
      </c>
      <c r="H57">
        <v>130</v>
      </c>
      <c r="I57">
        <f>Inventory_Data[[#This Row],[Opening_Stock]]+Inventory_Data[[#This Row],[Units_Received]]-Inventory_Data[[#This Row],[Units_Sold]]</f>
        <v>391</v>
      </c>
      <c r="J57">
        <v>0</v>
      </c>
      <c r="K57">
        <v>1</v>
      </c>
      <c r="L57" t="s">
        <v>66</v>
      </c>
      <c r="M57" s="3">
        <v>19.510000000000002</v>
      </c>
      <c r="N57" s="3">
        <v>23.69</v>
      </c>
      <c r="O57" s="10" t="str">
        <f>TEXT(Inventory_Data[[#This Row],[Date]],"mmm")</f>
        <v>Jan</v>
      </c>
    </row>
    <row r="58" spans="1:15" x14ac:dyDescent="0.2">
      <c r="A58" s="21">
        <v>45666</v>
      </c>
      <c r="B58" s="5" t="s">
        <v>116</v>
      </c>
      <c r="C58" t="s">
        <v>117</v>
      </c>
      <c r="D58" t="s">
        <v>52</v>
      </c>
      <c r="E58" t="s">
        <v>28</v>
      </c>
      <c r="F58">
        <v>54</v>
      </c>
      <c r="G58">
        <v>13</v>
      </c>
      <c r="H58">
        <v>14</v>
      </c>
      <c r="I58">
        <f>Inventory_Data[[#This Row],[Opening_Stock]]+Inventory_Data[[#This Row],[Units_Received]]-Inventory_Data[[#This Row],[Units_Sold]]</f>
        <v>53</v>
      </c>
      <c r="J58">
        <v>0</v>
      </c>
      <c r="K58">
        <v>11</v>
      </c>
      <c r="L58" t="s">
        <v>56</v>
      </c>
      <c r="M58" s="3">
        <v>327.87</v>
      </c>
      <c r="N58" s="3">
        <v>413.62</v>
      </c>
      <c r="O58" s="10" t="str">
        <f>TEXT(Inventory_Data[[#This Row],[Date]],"mmm")</f>
        <v>Jan</v>
      </c>
    </row>
    <row r="59" spans="1:15" x14ac:dyDescent="0.2">
      <c r="A59" s="21">
        <v>45666</v>
      </c>
      <c r="B59" s="5" t="s">
        <v>67</v>
      </c>
      <c r="C59" t="s">
        <v>68</v>
      </c>
      <c r="D59" t="s">
        <v>52</v>
      </c>
      <c r="E59" t="s">
        <v>28</v>
      </c>
      <c r="F59">
        <v>17</v>
      </c>
      <c r="G59">
        <v>24</v>
      </c>
      <c r="H59">
        <v>16</v>
      </c>
      <c r="I59">
        <f>Inventory_Data[[#This Row],[Opening_Stock]]+Inventory_Data[[#This Row],[Units_Received]]-Inventory_Data[[#This Row],[Units_Sold]]</f>
        <v>25</v>
      </c>
      <c r="J59">
        <v>0</v>
      </c>
      <c r="K59">
        <v>14</v>
      </c>
      <c r="L59" t="s">
        <v>53</v>
      </c>
      <c r="M59" s="3">
        <v>348.24</v>
      </c>
      <c r="N59" s="3">
        <v>428.59</v>
      </c>
      <c r="O59" s="10" t="str">
        <f>TEXT(Inventory_Data[[#This Row],[Date]],"mmm")</f>
        <v>Jan</v>
      </c>
    </row>
    <row r="60" spans="1:15" x14ac:dyDescent="0.2">
      <c r="A60" s="21">
        <v>45666</v>
      </c>
      <c r="B60" s="5" t="s">
        <v>118</v>
      </c>
      <c r="C60" t="s">
        <v>119</v>
      </c>
      <c r="D60" t="s">
        <v>34</v>
      </c>
      <c r="E60" t="s">
        <v>28</v>
      </c>
      <c r="F60">
        <v>232</v>
      </c>
      <c r="G60">
        <v>55</v>
      </c>
      <c r="H60">
        <v>42</v>
      </c>
      <c r="I60">
        <f>Inventory_Data[[#This Row],[Opening_Stock]]+Inventory_Data[[#This Row],[Units_Received]]-Inventory_Data[[#This Row],[Units_Sold]]</f>
        <v>245</v>
      </c>
      <c r="J60">
        <v>0</v>
      </c>
      <c r="K60">
        <v>9</v>
      </c>
      <c r="L60" t="s">
        <v>42</v>
      </c>
      <c r="M60" s="3">
        <v>18.37</v>
      </c>
      <c r="N60" s="3">
        <v>28.42</v>
      </c>
      <c r="O60" s="10" t="str">
        <f>TEXT(Inventory_Data[[#This Row],[Date]],"mmm")</f>
        <v>Jan</v>
      </c>
    </row>
    <row r="61" spans="1:15" x14ac:dyDescent="0.2">
      <c r="A61" s="21">
        <v>45666</v>
      </c>
      <c r="B61" s="5" t="s">
        <v>40</v>
      </c>
      <c r="C61" t="s">
        <v>41</v>
      </c>
      <c r="D61" t="s">
        <v>34</v>
      </c>
      <c r="E61" t="s">
        <v>21</v>
      </c>
      <c r="F61">
        <v>104</v>
      </c>
      <c r="G61">
        <v>88</v>
      </c>
      <c r="H61">
        <v>146</v>
      </c>
      <c r="I61">
        <f>Inventory_Data[[#This Row],[Opening_Stock]]+Inventory_Data[[#This Row],[Units_Received]]-Inventory_Data[[#This Row],[Units_Sold]]</f>
        <v>46</v>
      </c>
      <c r="J61">
        <v>0</v>
      </c>
      <c r="K61">
        <v>9</v>
      </c>
      <c r="L61" t="s">
        <v>36</v>
      </c>
      <c r="M61" s="3">
        <v>2.91</v>
      </c>
      <c r="N61" s="3">
        <v>3.61</v>
      </c>
      <c r="O61" s="10" t="str">
        <f>TEXT(Inventory_Data[[#This Row],[Date]],"mmm")</f>
        <v>Jan</v>
      </c>
    </row>
    <row r="62" spans="1:15" x14ac:dyDescent="0.2">
      <c r="A62" s="21">
        <v>45667</v>
      </c>
      <c r="B62" s="5" t="s">
        <v>14</v>
      </c>
      <c r="C62" t="s">
        <v>15</v>
      </c>
      <c r="D62" t="s">
        <v>16</v>
      </c>
      <c r="E62" t="s">
        <v>35</v>
      </c>
      <c r="F62">
        <v>103</v>
      </c>
      <c r="G62">
        <v>74</v>
      </c>
      <c r="H62">
        <v>5</v>
      </c>
      <c r="I62">
        <f>Inventory_Data[[#This Row],[Opening_Stock]]+Inventory_Data[[#This Row],[Units_Received]]-Inventory_Data[[#This Row],[Units_Sold]]</f>
        <v>172</v>
      </c>
      <c r="J62">
        <v>0</v>
      </c>
      <c r="K62">
        <v>6</v>
      </c>
      <c r="L62" t="s">
        <v>45</v>
      </c>
      <c r="M62" s="3">
        <v>110.81</v>
      </c>
      <c r="N62" s="3">
        <v>140.09</v>
      </c>
      <c r="O62" s="10" t="str">
        <f>TEXT(Inventory_Data[[#This Row],[Date]],"mmm")</f>
        <v>Jan</v>
      </c>
    </row>
    <row r="63" spans="1:15" x14ac:dyDescent="0.2">
      <c r="A63" s="21">
        <v>45667</v>
      </c>
      <c r="B63" s="5" t="s">
        <v>120</v>
      </c>
      <c r="C63" t="s">
        <v>121</v>
      </c>
      <c r="D63" t="s">
        <v>16</v>
      </c>
      <c r="E63" t="s">
        <v>28</v>
      </c>
      <c r="F63">
        <v>21</v>
      </c>
      <c r="G63">
        <v>74</v>
      </c>
      <c r="H63">
        <v>64</v>
      </c>
      <c r="I63">
        <f>Inventory_Data[[#This Row],[Opening_Stock]]+Inventory_Data[[#This Row],[Units_Received]]-Inventory_Data[[#This Row],[Units_Sold]]</f>
        <v>31</v>
      </c>
      <c r="J63">
        <v>0</v>
      </c>
      <c r="K63">
        <v>4</v>
      </c>
      <c r="L63" t="s">
        <v>18</v>
      </c>
      <c r="M63" s="3">
        <v>150.04</v>
      </c>
      <c r="N63" s="3">
        <v>204.49</v>
      </c>
      <c r="O63" s="10" t="str">
        <f>TEXT(Inventory_Data[[#This Row],[Date]],"mmm")</f>
        <v>Jan</v>
      </c>
    </row>
    <row r="64" spans="1:15" x14ac:dyDescent="0.2">
      <c r="A64" s="21">
        <v>45667</v>
      </c>
      <c r="B64" s="5" t="s">
        <v>122</v>
      </c>
      <c r="C64" t="s">
        <v>123</v>
      </c>
      <c r="D64" t="s">
        <v>27</v>
      </c>
      <c r="E64" t="s">
        <v>17</v>
      </c>
      <c r="F64">
        <v>383</v>
      </c>
      <c r="G64">
        <v>246</v>
      </c>
      <c r="H64">
        <v>216</v>
      </c>
      <c r="I64">
        <f>Inventory_Data[[#This Row],[Opening_Stock]]+Inventory_Data[[#This Row],[Units_Received]]-Inventory_Data[[#This Row],[Units_Sold]]</f>
        <v>413</v>
      </c>
      <c r="J64">
        <v>0</v>
      </c>
      <c r="K64">
        <v>3</v>
      </c>
      <c r="L64" t="s">
        <v>66</v>
      </c>
      <c r="M64" s="3">
        <v>19.41</v>
      </c>
      <c r="N64" s="3">
        <v>22.69</v>
      </c>
      <c r="O64" s="10" t="str">
        <f>TEXT(Inventory_Data[[#This Row],[Date]],"mmm")</f>
        <v>Jan</v>
      </c>
    </row>
    <row r="65" spans="1:15" x14ac:dyDescent="0.2">
      <c r="A65" s="21">
        <v>45667</v>
      </c>
      <c r="B65" s="5" t="s">
        <v>124</v>
      </c>
      <c r="C65" t="s">
        <v>125</v>
      </c>
      <c r="D65" t="s">
        <v>52</v>
      </c>
      <c r="E65" t="s">
        <v>17</v>
      </c>
      <c r="F65">
        <v>64</v>
      </c>
      <c r="G65">
        <v>24</v>
      </c>
      <c r="H65">
        <v>4</v>
      </c>
      <c r="I65">
        <f>Inventory_Data[[#This Row],[Opening_Stock]]+Inventory_Data[[#This Row],[Units_Received]]-Inventory_Data[[#This Row],[Units_Sold]]</f>
        <v>84</v>
      </c>
      <c r="J65">
        <v>0</v>
      </c>
      <c r="K65">
        <v>10</v>
      </c>
      <c r="L65" t="s">
        <v>56</v>
      </c>
      <c r="M65" s="3">
        <v>176.36</v>
      </c>
      <c r="N65" s="3">
        <v>219.76</v>
      </c>
      <c r="O65" s="10" t="str">
        <f>TEXT(Inventory_Data[[#This Row],[Date]],"mmm")</f>
        <v>Jan</v>
      </c>
    </row>
    <row r="66" spans="1:15" x14ac:dyDescent="0.2">
      <c r="A66" s="21">
        <v>45667</v>
      </c>
      <c r="B66" s="5" t="s">
        <v>126</v>
      </c>
      <c r="C66" t="s">
        <v>127</v>
      </c>
      <c r="D66" t="s">
        <v>34</v>
      </c>
      <c r="E66" t="s">
        <v>21</v>
      </c>
      <c r="F66">
        <v>190</v>
      </c>
      <c r="G66">
        <v>71</v>
      </c>
      <c r="H66">
        <v>33</v>
      </c>
      <c r="I66">
        <f>Inventory_Data[[#This Row],[Opening_Stock]]+Inventory_Data[[#This Row],[Units_Received]]-Inventory_Data[[#This Row],[Units_Sold]]</f>
        <v>228</v>
      </c>
      <c r="J66">
        <v>0</v>
      </c>
      <c r="K66">
        <v>2</v>
      </c>
      <c r="L66" t="s">
        <v>42</v>
      </c>
      <c r="M66" s="3">
        <v>9.68</v>
      </c>
      <c r="N66" s="3">
        <v>12.8</v>
      </c>
      <c r="O66" s="10" t="str">
        <f>TEXT(Inventory_Data[[#This Row],[Date]],"mmm")</f>
        <v>Jan</v>
      </c>
    </row>
    <row r="67" spans="1:15" x14ac:dyDescent="0.2">
      <c r="A67" s="21">
        <v>45668</v>
      </c>
      <c r="B67" s="5" t="s">
        <v>71</v>
      </c>
      <c r="C67" t="s">
        <v>72</v>
      </c>
      <c r="D67" t="s">
        <v>16</v>
      </c>
      <c r="E67" t="s">
        <v>28</v>
      </c>
      <c r="F67">
        <v>160</v>
      </c>
      <c r="G67">
        <v>71</v>
      </c>
      <c r="H67">
        <v>51</v>
      </c>
      <c r="I67">
        <f>Inventory_Data[[#This Row],[Opening_Stock]]+Inventory_Data[[#This Row],[Units_Received]]-Inventory_Data[[#This Row],[Units_Sold]]</f>
        <v>180</v>
      </c>
      <c r="J67">
        <v>0</v>
      </c>
      <c r="K67">
        <v>3</v>
      </c>
      <c r="L67" t="s">
        <v>18</v>
      </c>
      <c r="M67" s="3">
        <v>64.8</v>
      </c>
      <c r="N67" s="3">
        <v>98.06</v>
      </c>
      <c r="O67" s="10" t="str">
        <f>TEXT(Inventory_Data[[#This Row],[Date]],"mmm")</f>
        <v>Jan</v>
      </c>
    </row>
    <row r="68" spans="1:15" x14ac:dyDescent="0.2">
      <c r="A68" s="21">
        <v>45668</v>
      </c>
      <c r="B68" s="5" t="s">
        <v>19</v>
      </c>
      <c r="C68" t="s">
        <v>20</v>
      </c>
      <c r="D68" t="s">
        <v>16</v>
      </c>
      <c r="E68" t="s">
        <v>28</v>
      </c>
      <c r="F68">
        <v>115</v>
      </c>
      <c r="G68">
        <v>41</v>
      </c>
      <c r="H68">
        <v>57</v>
      </c>
      <c r="I68">
        <f>Inventory_Data[[#This Row],[Opening_Stock]]+Inventory_Data[[#This Row],[Units_Received]]-Inventory_Data[[#This Row],[Units_Sold]]</f>
        <v>99</v>
      </c>
      <c r="J68">
        <v>0</v>
      </c>
      <c r="K68">
        <v>12</v>
      </c>
      <c r="L68" t="s">
        <v>45</v>
      </c>
      <c r="M68" s="3">
        <v>201.39</v>
      </c>
      <c r="N68" s="3">
        <v>239.8</v>
      </c>
      <c r="O68" s="10" t="str">
        <f>TEXT(Inventory_Data[[#This Row],[Date]],"mmm")</f>
        <v>Jan</v>
      </c>
    </row>
    <row r="69" spans="1:15" x14ac:dyDescent="0.2">
      <c r="A69" s="21">
        <v>45668</v>
      </c>
      <c r="B69" s="5" t="s">
        <v>128</v>
      </c>
      <c r="C69" t="s">
        <v>129</v>
      </c>
      <c r="D69" t="s">
        <v>48</v>
      </c>
      <c r="E69" t="s">
        <v>17</v>
      </c>
      <c r="F69">
        <v>118</v>
      </c>
      <c r="G69">
        <v>80</v>
      </c>
      <c r="H69">
        <v>122</v>
      </c>
      <c r="I69">
        <f>Inventory_Data[[#This Row],[Opening_Stock]]+Inventory_Data[[#This Row],[Units_Received]]-Inventory_Data[[#This Row],[Units_Sold]]</f>
        <v>76</v>
      </c>
      <c r="J69">
        <v>0</v>
      </c>
      <c r="K69">
        <v>10</v>
      </c>
      <c r="L69" t="s">
        <v>49</v>
      </c>
      <c r="M69" s="3">
        <v>77.88</v>
      </c>
      <c r="N69" s="3">
        <v>106.98</v>
      </c>
      <c r="O69" s="10" t="str">
        <f>TEXT(Inventory_Data[[#This Row],[Date]],"mmm")</f>
        <v>Jan</v>
      </c>
    </row>
    <row r="70" spans="1:15" x14ac:dyDescent="0.2">
      <c r="A70" s="21">
        <v>45668</v>
      </c>
      <c r="B70" s="5" t="s">
        <v>130</v>
      </c>
      <c r="C70" t="s">
        <v>131</v>
      </c>
      <c r="D70" t="s">
        <v>48</v>
      </c>
      <c r="E70" t="s">
        <v>35</v>
      </c>
      <c r="F70">
        <v>198</v>
      </c>
      <c r="G70">
        <v>111</v>
      </c>
      <c r="H70">
        <v>101</v>
      </c>
      <c r="I70">
        <f>Inventory_Data[[#This Row],[Opening_Stock]]+Inventory_Data[[#This Row],[Units_Received]]-Inventory_Data[[#This Row],[Units_Sold]]</f>
        <v>208</v>
      </c>
      <c r="J70">
        <v>0</v>
      </c>
      <c r="K70">
        <v>3</v>
      </c>
      <c r="L70" t="s">
        <v>77</v>
      </c>
      <c r="M70" s="3">
        <v>29.07</v>
      </c>
      <c r="N70" s="3">
        <v>33.67</v>
      </c>
      <c r="O70" s="10" t="str">
        <f>TEXT(Inventory_Data[[#This Row],[Date]],"mmm")</f>
        <v>Jan</v>
      </c>
    </row>
    <row r="71" spans="1:15" x14ac:dyDescent="0.2">
      <c r="A71" s="21">
        <v>45668</v>
      </c>
      <c r="B71" s="5" t="s">
        <v>37</v>
      </c>
      <c r="C71" t="s">
        <v>38</v>
      </c>
      <c r="D71" t="s">
        <v>34</v>
      </c>
      <c r="E71" t="s">
        <v>35</v>
      </c>
      <c r="F71">
        <v>72</v>
      </c>
      <c r="G71">
        <v>119</v>
      </c>
      <c r="H71">
        <v>154</v>
      </c>
      <c r="I71">
        <f>Inventory_Data[[#This Row],[Opening_Stock]]+Inventory_Data[[#This Row],[Units_Received]]-Inventory_Data[[#This Row],[Units_Sold]]</f>
        <v>37</v>
      </c>
      <c r="J71">
        <v>0</v>
      </c>
      <c r="K71">
        <v>3</v>
      </c>
      <c r="L71" t="s">
        <v>39</v>
      </c>
      <c r="M71" s="3">
        <v>9.16</v>
      </c>
      <c r="N71" s="3">
        <v>14.03</v>
      </c>
      <c r="O71" s="10" t="str">
        <f>TEXT(Inventory_Data[[#This Row],[Date]],"mmm")</f>
        <v>Jan</v>
      </c>
    </row>
    <row r="72" spans="1:15" x14ac:dyDescent="0.2">
      <c r="A72" s="21">
        <v>45669</v>
      </c>
      <c r="B72" s="5" t="s">
        <v>73</v>
      </c>
      <c r="C72" t="s">
        <v>74</v>
      </c>
      <c r="D72" t="s">
        <v>16</v>
      </c>
      <c r="E72" t="s">
        <v>35</v>
      </c>
      <c r="F72">
        <v>141</v>
      </c>
      <c r="G72">
        <v>63</v>
      </c>
      <c r="H72">
        <v>10</v>
      </c>
      <c r="I72">
        <f>Inventory_Data[[#This Row],[Opening_Stock]]+Inventory_Data[[#This Row],[Units_Received]]-Inventory_Data[[#This Row],[Units_Sold]]</f>
        <v>194</v>
      </c>
      <c r="J72">
        <v>0</v>
      </c>
      <c r="K72">
        <v>5</v>
      </c>
      <c r="L72" t="s">
        <v>45</v>
      </c>
      <c r="M72" s="3">
        <v>216.5</v>
      </c>
      <c r="N72" s="3">
        <v>272.72000000000003</v>
      </c>
      <c r="O72" s="10" t="str">
        <f>TEXT(Inventory_Data[[#This Row],[Date]],"mmm")</f>
        <v>Jan</v>
      </c>
    </row>
    <row r="73" spans="1:15" x14ac:dyDescent="0.2">
      <c r="A73" s="21">
        <v>45669</v>
      </c>
      <c r="B73" s="5" t="s">
        <v>132</v>
      </c>
      <c r="C73" t="s">
        <v>133</v>
      </c>
      <c r="D73" t="s">
        <v>16</v>
      </c>
      <c r="E73" t="s">
        <v>28</v>
      </c>
      <c r="F73">
        <v>120</v>
      </c>
      <c r="G73">
        <v>80</v>
      </c>
      <c r="H73">
        <v>76</v>
      </c>
      <c r="I73">
        <f>Inventory_Data[[#This Row],[Opening_Stock]]+Inventory_Data[[#This Row],[Units_Received]]-Inventory_Data[[#This Row],[Units_Sold]]</f>
        <v>124</v>
      </c>
      <c r="J73">
        <v>0</v>
      </c>
      <c r="K73">
        <v>6</v>
      </c>
      <c r="L73" t="s">
        <v>18</v>
      </c>
      <c r="M73" s="3">
        <v>18.7</v>
      </c>
      <c r="N73" s="3">
        <v>28.49</v>
      </c>
      <c r="O73" s="10" t="str">
        <f>TEXT(Inventory_Data[[#This Row],[Date]],"mmm")</f>
        <v>Jan</v>
      </c>
    </row>
    <row r="74" spans="1:15" x14ac:dyDescent="0.2">
      <c r="A74" s="21">
        <v>45669</v>
      </c>
      <c r="B74" s="5" t="s">
        <v>120</v>
      </c>
      <c r="C74" t="s">
        <v>121</v>
      </c>
      <c r="D74" t="s">
        <v>16</v>
      </c>
      <c r="E74" t="s">
        <v>28</v>
      </c>
      <c r="F74">
        <v>141</v>
      </c>
      <c r="G74">
        <v>19</v>
      </c>
      <c r="H74">
        <v>21</v>
      </c>
      <c r="I74">
        <f>Inventory_Data[[#This Row],[Opening_Stock]]+Inventory_Data[[#This Row],[Units_Received]]-Inventory_Data[[#This Row],[Units_Sold]]</f>
        <v>139</v>
      </c>
      <c r="J74">
        <v>0</v>
      </c>
      <c r="K74">
        <v>6</v>
      </c>
      <c r="L74" t="s">
        <v>18</v>
      </c>
      <c r="M74" s="3">
        <v>120.06</v>
      </c>
      <c r="N74" s="3">
        <v>172.27</v>
      </c>
      <c r="O74" s="10" t="str">
        <f>TEXT(Inventory_Data[[#This Row],[Date]],"mmm")</f>
        <v>Jan</v>
      </c>
    </row>
    <row r="75" spans="1:15" x14ac:dyDescent="0.2">
      <c r="A75" s="21">
        <v>45669</v>
      </c>
      <c r="B75" s="5" t="s">
        <v>61</v>
      </c>
      <c r="C75" t="s">
        <v>62</v>
      </c>
      <c r="D75" t="s">
        <v>48</v>
      </c>
      <c r="E75" t="s">
        <v>17</v>
      </c>
      <c r="F75">
        <v>206</v>
      </c>
      <c r="G75">
        <v>142</v>
      </c>
      <c r="H75">
        <v>83</v>
      </c>
      <c r="I75">
        <f>Inventory_Data[[#This Row],[Opening_Stock]]+Inventory_Data[[#This Row],[Units_Received]]-Inventory_Data[[#This Row],[Units_Sold]]</f>
        <v>265</v>
      </c>
      <c r="J75">
        <v>0</v>
      </c>
      <c r="K75">
        <v>10</v>
      </c>
      <c r="L75" t="s">
        <v>63</v>
      </c>
      <c r="M75" s="3">
        <v>54.67</v>
      </c>
      <c r="N75" s="3">
        <v>71.23</v>
      </c>
      <c r="O75" s="10" t="str">
        <f>TEXT(Inventory_Data[[#This Row],[Date]],"mmm")</f>
        <v>Jan</v>
      </c>
    </row>
    <row r="76" spans="1:15" x14ac:dyDescent="0.2">
      <c r="A76" s="21">
        <v>45669</v>
      </c>
      <c r="B76" s="5" t="s">
        <v>90</v>
      </c>
      <c r="C76" t="s">
        <v>91</v>
      </c>
      <c r="D76" t="s">
        <v>48</v>
      </c>
      <c r="E76" t="s">
        <v>21</v>
      </c>
      <c r="F76">
        <v>251</v>
      </c>
      <c r="G76">
        <v>81</v>
      </c>
      <c r="H76">
        <v>36</v>
      </c>
      <c r="I76">
        <f>Inventory_Data[[#This Row],[Opening_Stock]]+Inventory_Data[[#This Row],[Units_Received]]-Inventory_Data[[#This Row],[Units_Sold]]</f>
        <v>296</v>
      </c>
      <c r="J76">
        <v>0</v>
      </c>
      <c r="K76">
        <v>6</v>
      </c>
      <c r="L76" t="s">
        <v>77</v>
      </c>
      <c r="M76" s="3">
        <v>12.35</v>
      </c>
      <c r="N76" s="3">
        <v>16.88</v>
      </c>
      <c r="O76" s="10" t="str">
        <f>TEXT(Inventory_Data[[#This Row],[Date]],"mmm")</f>
        <v>Jan</v>
      </c>
    </row>
    <row r="77" spans="1:15" x14ac:dyDescent="0.2">
      <c r="A77" s="21">
        <v>45669</v>
      </c>
      <c r="B77" s="5" t="s">
        <v>134</v>
      </c>
      <c r="C77" t="s">
        <v>135</v>
      </c>
      <c r="D77" t="s">
        <v>27</v>
      </c>
      <c r="E77" t="s">
        <v>35</v>
      </c>
      <c r="F77">
        <v>193</v>
      </c>
      <c r="G77">
        <v>245</v>
      </c>
      <c r="H77">
        <v>215</v>
      </c>
      <c r="I77">
        <f>Inventory_Data[[#This Row],[Opening_Stock]]+Inventory_Data[[#This Row],[Units_Received]]-Inventory_Data[[#This Row],[Units_Sold]]</f>
        <v>223</v>
      </c>
      <c r="J77">
        <v>0</v>
      </c>
      <c r="K77">
        <v>1</v>
      </c>
      <c r="L77" t="s">
        <v>80</v>
      </c>
      <c r="M77" s="3">
        <v>20.16</v>
      </c>
      <c r="N77" s="3">
        <v>29.14</v>
      </c>
      <c r="O77" s="10" t="str">
        <f>TEXT(Inventory_Data[[#This Row],[Date]],"mmm")</f>
        <v>Jan</v>
      </c>
    </row>
    <row r="78" spans="1:15" x14ac:dyDescent="0.2">
      <c r="A78" s="21">
        <v>45669</v>
      </c>
      <c r="B78" s="5" t="s">
        <v>136</v>
      </c>
      <c r="C78" t="s">
        <v>137</v>
      </c>
      <c r="D78" t="s">
        <v>27</v>
      </c>
      <c r="E78" t="s">
        <v>17</v>
      </c>
      <c r="F78">
        <v>341</v>
      </c>
      <c r="G78">
        <v>224</v>
      </c>
      <c r="H78">
        <v>127</v>
      </c>
      <c r="I78">
        <f>Inventory_Data[[#This Row],[Opening_Stock]]+Inventory_Data[[#This Row],[Units_Received]]-Inventory_Data[[#This Row],[Units_Sold]]</f>
        <v>438</v>
      </c>
      <c r="J78">
        <v>0</v>
      </c>
      <c r="K78">
        <v>3</v>
      </c>
      <c r="L78" t="s">
        <v>66</v>
      </c>
      <c r="M78" s="3">
        <v>9.0500000000000007</v>
      </c>
      <c r="N78" s="3">
        <v>10.55</v>
      </c>
      <c r="O78" s="10" t="str">
        <f>TEXT(Inventory_Data[[#This Row],[Date]],"mmm")</f>
        <v>Jan</v>
      </c>
    </row>
    <row r="79" spans="1:15" x14ac:dyDescent="0.2">
      <c r="A79" s="21">
        <v>45669</v>
      </c>
      <c r="B79" s="5" t="s">
        <v>100</v>
      </c>
      <c r="C79" t="s">
        <v>101</v>
      </c>
      <c r="D79" t="s">
        <v>52</v>
      </c>
      <c r="E79" t="s">
        <v>35</v>
      </c>
      <c r="F79">
        <v>33</v>
      </c>
      <c r="G79">
        <v>16</v>
      </c>
      <c r="H79">
        <v>7</v>
      </c>
      <c r="I79">
        <f>Inventory_Data[[#This Row],[Opening_Stock]]+Inventory_Data[[#This Row],[Units_Received]]-Inventory_Data[[#This Row],[Units_Sold]]</f>
        <v>42</v>
      </c>
      <c r="J79">
        <v>0</v>
      </c>
      <c r="K79">
        <v>4</v>
      </c>
      <c r="L79" t="s">
        <v>56</v>
      </c>
      <c r="M79" s="3">
        <v>164.15</v>
      </c>
      <c r="N79" s="3">
        <v>192.81</v>
      </c>
      <c r="O79" s="10" t="str">
        <f>TEXT(Inventory_Data[[#This Row],[Date]],"mmm")</f>
        <v>Jan</v>
      </c>
    </row>
    <row r="80" spans="1:15" x14ac:dyDescent="0.2">
      <c r="A80" s="21">
        <v>45669</v>
      </c>
      <c r="B80" s="5" t="s">
        <v>40</v>
      </c>
      <c r="C80" t="s">
        <v>41</v>
      </c>
      <c r="D80" t="s">
        <v>34</v>
      </c>
      <c r="E80" t="s">
        <v>21</v>
      </c>
      <c r="F80">
        <v>253</v>
      </c>
      <c r="G80">
        <v>178</v>
      </c>
      <c r="H80">
        <v>133</v>
      </c>
      <c r="I80">
        <f>Inventory_Data[[#This Row],[Opening_Stock]]+Inventory_Data[[#This Row],[Units_Received]]-Inventory_Data[[#This Row],[Units_Sold]]</f>
        <v>298</v>
      </c>
      <c r="J80">
        <v>0</v>
      </c>
      <c r="K80">
        <v>9</v>
      </c>
      <c r="L80" t="s">
        <v>39</v>
      </c>
      <c r="M80" s="3">
        <v>25.16</v>
      </c>
      <c r="N80" s="3">
        <v>38.869999999999997</v>
      </c>
      <c r="O80" s="10" t="str">
        <f>TEXT(Inventory_Data[[#This Row],[Date]],"mmm")</f>
        <v>Jan</v>
      </c>
    </row>
    <row r="81" spans="1:15" x14ac:dyDescent="0.2">
      <c r="A81" s="21">
        <v>45669</v>
      </c>
      <c r="B81" s="5" t="s">
        <v>138</v>
      </c>
      <c r="C81" t="s">
        <v>139</v>
      </c>
      <c r="D81" t="s">
        <v>34</v>
      </c>
      <c r="E81" t="s">
        <v>17</v>
      </c>
      <c r="F81">
        <v>225</v>
      </c>
      <c r="G81">
        <v>119</v>
      </c>
      <c r="H81">
        <v>76</v>
      </c>
      <c r="I81">
        <f>Inventory_Data[[#This Row],[Opening_Stock]]+Inventory_Data[[#This Row],[Units_Received]]-Inventory_Data[[#This Row],[Units_Sold]]</f>
        <v>268</v>
      </c>
      <c r="J81">
        <v>0</v>
      </c>
      <c r="K81">
        <v>12</v>
      </c>
      <c r="L81" t="s">
        <v>42</v>
      </c>
      <c r="M81" s="3">
        <v>4.9800000000000004</v>
      </c>
      <c r="N81" s="3">
        <v>7.59</v>
      </c>
      <c r="O81" s="10" t="str">
        <f>TEXT(Inventory_Data[[#This Row],[Date]],"mmm")</f>
        <v>Jan</v>
      </c>
    </row>
    <row r="82" spans="1:15" x14ac:dyDescent="0.2">
      <c r="A82" s="21">
        <v>45670</v>
      </c>
      <c r="B82" s="5" t="s">
        <v>106</v>
      </c>
      <c r="C82" t="s">
        <v>107</v>
      </c>
      <c r="D82" t="s">
        <v>16</v>
      </c>
      <c r="E82" t="s">
        <v>35</v>
      </c>
      <c r="F82">
        <v>28</v>
      </c>
      <c r="G82">
        <v>59</v>
      </c>
      <c r="H82">
        <v>10</v>
      </c>
      <c r="I82">
        <f>Inventory_Data[[#This Row],[Opening_Stock]]+Inventory_Data[[#This Row],[Units_Received]]-Inventory_Data[[#This Row],[Units_Sold]]</f>
        <v>77</v>
      </c>
      <c r="J82">
        <v>0</v>
      </c>
      <c r="K82">
        <v>4</v>
      </c>
      <c r="L82" t="s">
        <v>18</v>
      </c>
      <c r="M82" s="3">
        <v>170.71</v>
      </c>
      <c r="N82" s="3">
        <v>263.79000000000002</v>
      </c>
      <c r="O82" s="10" t="str">
        <f>TEXT(Inventory_Data[[#This Row],[Date]],"mmm")</f>
        <v>Jan</v>
      </c>
    </row>
    <row r="83" spans="1:15" x14ac:dyDescent="0.2">
      <c r="A83" s="21">
        <v>45670</v>
      </c>
      <c r="B83" s="5" t="s">
        <v>106</v>
      </c>
      <c r="C83" t="s">
        <v>107</v>
      </c>
      <c r="D83" t="s">
        <v>16</v>
      </c>
      <c r="E83" t="s">
        <v>28</v>
      </c>
      <c r="F83">
        <v>65</v>
      </c>
      <c r="G83">
        <v>41</v>
      </c>
      <c r="H83">
        <v>19</v>
      </c>
      <c r="I83">
        <f>Inventory_Data[[#This Row],[Opening_Stock]]+Inventory_Data[[#This Row],[Units_Received]]-Inventory_Data[[#This Row],[Units_Sold]]</f>
        <v>87</v>
      </c>
      <c r="J83">
        <v>0</v>
      </c>
      <c r="K83">
        <v>13</v>
      </c>
      <c r="L83" t="s">
        <v>24</v>
      </c>
      <c r="M83" s="3">
        <v>204.47</v>
      </c>
      <c r="N83" s="3">
        <v>272.82</v>
      </c>
      <c r="O83" s="10" t="str">
        <f>TEXT(Inventory_Data[[#This Row],[Date]],"mmm")</f>
        <v>Jan</v>
      </c>
    </row>
    <row r="84" spans="1:15" x14ac:dyDescent="0.2">
      <c r="A84" s="21">
        <v>45670</v>
      </c>
      <c r="B84" s="5" t="s">
        <v>75</v>
      </c>
      <c r="C84" t="s">
        <v>76</v>
      </c>
      <c r="D84" t="s">
        <v>48</v>
      </c>
      <c r="E84" t="s">
        <v>28</v>
      </c>
      <c r="F84">
        <v>130</v>
      </c>
      <c r="G84">
        <v>111</v>
      </c>
      <c r="H84">
        <v>72</v>
      </c>
      <c r="I84">
        <f>Inventory_Data[[#This Row],[Opening_Stock]]+Inventory_Data[[#This Row],[Units_Received]]-Inventory_Data[[#This Row],[Units_Sold]]</f>
        <v>169</v>
      </c>
      <c r="J84">
        <v>0</v>
      </c>
      <c r="K84">
        <v>14</v>
      </c>
      <c r="L84" t="s">
        <v>49</v>
      </c>
      <c r="M84" s="3">
        <v>81.180000000000007</v>
      </c>
      <c r="N84" s="3">
        <v>95.91</v>
      </c>
      <c r="O84" s="10" t="str">
        <f>TEXT(Inventory_Data[[#This Row],[Date]],"mmm")</f>
        <v>Jan</v>
      </c>
    </row>
    <row r="85" spans="1:15" x14ac:dyDescent="0.2">
      <c r="A85" s="21">
        <v>45670</v>
      </c>
      <c r="B85" s="5" t="s">
        <v>124</v>
      </c>
      <c r="C85" t="s">
        <v>125</v>
      </c>
      <c r="D85" t="s">
        <v>52</v>
      </c>
      <c r="E85" t="s">
        <v>21</v>
      </c>
      <c r="F85">
        <v>14</v>
      </c>
      <c r="G85">
        <v>14</v>
      </c>
      <c r="H85">
        <v>11</v>
      </c>
      <c r="I85">
        <f>Inventory_Data[[#This Row],[Opening_Stock]]+Inventory_Data[[#This Row],[Units_Received]]-Inventory_Data[[#This Row],[Units_Sold]]</f>
        <v>17</v>
      </c>
      <c r="J85">
        <v>0</v>
      </c>
      <c r="K85">
        <v>10</v>
      </c>
      <c r="L85" t="s">
        <v>56</v>
      </c>
      <c r="M85" s="3">
        <v>234.82</v>
      </c>
      <c r="N85" s="3">
        <v>353.83</v>
      </c>
      <c r="O85" s="10" t="str">
        <f>TEXT(Inventory_Data[[#This Row],[Date]],"mmm")</f>
        <v>Jan</v>
      </c>
    </row>
    <row r="86" spans="1:15" x14ac:dyDescent="0.2">
      <c r="A86" s="21">
        <v>45670</v>
      </c>
      <c r="B86" s="5" t="s">
        <v>140</v>
      </c>
      <c r="C86" t="s">
        <v>141</v>
      </c>
      <c r="D86" t="s">
        <v>52</v>
      </c>
      <c r="E86" t="s">
        <v>35</v>
      </c>
      <c r="F86">
        <v>16</v>
      </c>
      <c r="G86">
        <v>18</v>
      </c>
      <c r="H86">
        <v>7</v>
      </c>
      <c r="I86">
        <f>Inventory_Data[[#This Row],[Opening_Stock]]+Inventory_Data[[#This Row],[Units_Received]]-Inventory_Data[[#This Row],[Units_Sold]]</f>
        <v>27</v>
      </c>
      <c r="J86">
        <v>0</v>
      </c>
      <c r="K86">
        <v>6</v>
      </c>
      <c r="L86" t="s">
        <v>53</v>
      </c>
      <c r="M86" s="3">
        <v>277.36</v>
      </c>
      <c r="N86" s="3">
        <v>386.79</v>
      </c>
      <c r="O86" s="10" t="str">
        <f>TEXT(Inventory_Data[[#This Row],[Date]],"mmm")</f>
        <v>Jan</v>
      </c>
    </row>
    <row r="87" spans="1:15" x14ac:dyDescent="0.2">
      <c r="A87" s="21">
        <v>45670</v>
      </c>
      <c r="B87" s="5" t="s">
        <v>142</v>
      </c>
      <c r="C87" t="s">
        <v>143</v>
      </c>
      <c r="D87" t="s">
        <v>52</v>
      </c>
      <c r="E87" t="s">
        <v>28</v>
      </c>
      <c r="F87">
        <v>45</v>
      </c>
      <c r="G87">
        <v>4</v>
      </c>
      <c r="H87">
        <v>9</v>
      </c>
      <c r="I87">
        <f>Inventory_Data[[#This Row],[Opening_Stock]]+Inventory_Data[[#This Row],[Units_Received]]-Inventory_Data[[#This Row],[Units_Sold]]</f>
        <v>40</v>
      </c>
      <c r="J87">
        <v>0</v>
      </c>
      <c r="K87">
        <v>9</v>
      </c>
      <c r="L87" t="s">
        <v>56</v>
      </c>
      <c r="M87" s="3">
        <v>124.27</v>
      </c>
      <c r="N87" s="3">
        <v>179.92</v>
      </c>
      <c r="O87" s="10" t="str">
        <f>TEXT(Inventory_Data[[#This Row],[Date]],"mmm")</f>
        <v>Jan</v>
      </c>
    </row>
    <row r="88" spans="1:15" x14ac:dyDescent="0.2">
      <c r="A88" s="21">
        <v>45671</v>
      </c>
      <c r="B88" s="5" t="s">
        <v>144</v>
      </c>
      <c r="C88" t="s">
        <v>145</v>
      </c>
      <c r="D88" t="s">
        <v>48</v>
      </c>
      <c r="E88" t="s">
        <v>21</v>
      </c>
      <c r="F88">
        <v>106</v>
      </c>
      <c r="G88">
        <v>74</v>
      </c>
      <c r="H88">
        <v>40</v>
      </c>
      <c r="I88">
        <f>Inventory_Data[[#This Row],[Opening_Stock]]+Inventory_Data[[#This Row],[Units_Received]]-Inventory_Data[[#This Row],[Units_Sold]]</f>
        <v>140</v>
      </c>
      <c r="J88">
        <v>0</v>
      </c>
      <c r="K88">
        <v>11</v>
      </c>
      <c r="L88" t="s">
        <v>63</v>
      </c>
      <c r="M88" s="3">
        <v>56.7</v>
      </c>
      <c r="N88" s="3">
        <v>68.569999999999993</v>
      </c>
      <c r="O88" s="10" t="str">
        <f>TEXT(Inventory_Data[[#This Row],[Date]],"mmm")</f>
        <v>Jan</v>
      </c>
    </row>
    <row r="89" spans="1:15" x14ac:dyDescent="0.2">
      <c r="A89" s="21">
        <v>45671</v>
      </c>
      <c r="B89" s="5" t="s">
        <v>146</v>
      </c>
      <c r="C89" t="s">
        <v>147</v>
      </c>
      <c r="D89" t="s">
        <v>48</v>
      </c>
      <c r="E89" t="s">
        <v>28</v>
      </c>
      <c r="F89">
        <v>136</v>
      </c>
      <c r="G89">
        <v>82</v>
      </c>
      <c r="H89">
        <v>74</v>
      </c>
      <c r="I89">
        <f>Inventory_Data[[#This Row],[Opening_Stock]]+Inventory_Data[[#This Row],[Units_Received]]-Inventory_Data[[#This Row],[Units_Sold]]</f>
        <v>144</v>
      </c>
      <c r="J89">
        <v>0</v>
      </c>
      <c r="K89">
        <v>8</v>
      </c>
      <c r="L89" t="s">
        <v>63</v>
      </c>
      <c r="M89" s="3">
        <v>9.2899999999999991</v>
      </c>
      <c r="N89" s="3">
        <v>12.24</v>
      </c>
      <c r="O89" s="10" t="str">
        <f>TEXT(Inventory_Data[[#This Row],[Date]],"mmm")</f>
        <v>Jan</v>
      </c>
    </row>
    <row r="90" spans="1:15" x14ac:dyDescent="0.2">
      <c r="A90" s="21">
        <v>45671</v>
      </c>
      <c r="B90" s="5" t="s">
        <v>96</v>
      </c>
      <c r="C90" t="s">
        <v>97</v>
      </c>
      <c r="D90" t="s">
        <v>48</v>
      </c>
      <c r="E90" t="s">
        <v>35</v>
      </c>
      <c r="F90">
        <v>80</v>
      </c>
      <c r="G90">
        <v>95</v>
      </c>
      <c r="H90">
        <v>98</v>
      </c>
      <c r="I90">
        <f>Inventory_Data[[#This Row],[Opening_Stock]]+Inventory_Data[[#This Row],[Units_Received]]-Inventory_Data[[#This Row],[Units_Sold]]</f>
        <v>77</v>
      </c>
      <c r="J90">
        <v>0</v>
      </c>
      <c r="K90">
        <v>3</v>
      </c>
      <c r="L90" t="s">
        <v>77</v>
      </c>
      <c r="M90" s="3">
        <v>88.66</v>
      </c>
      <c r="N90" s="3">
        <v>115.88</v>
      </c>
      <c r="O90" s="10" t="str">
        <f>TEXT(Inventory_Data[[#This Row],[Date]],"mmm")</f>
        <v>Jan</v>
      </c>
    </row>
    <row r="91" spans="1:15" x14ac:dyDescent="0.2">
      <c r="A91" s="21">
        <v>45671</v>
      </c>
      <c r="B91" s="5" t="s">
        <v>122</v>
      </c>
      <c r="C91" t="s">
        <v>123</v>
      </c>
      <c r="D91" t="s">
        <v>27</v>
      </c>
      <c r="E91" t="s">
        <v>21</v>
      </c>
      <c r="F91">
        <v>161</v>
      </c>
      <c r="G91">
        <v>224</v>
      </c>
      <c r="H91">
        <v>196</v>
      </c>
      <c r="I91">
        <f>Inventory_Data[[#This Row],[Opening_Stock]]+Inventory_Data[[#This Row],[Units_Received]]-Inventory_Data[[#This Row],[Units_Sold]]</f>
        <v>189</v>
      </c>
      <c r="J91">
        <v>0</v>
      </c>
      <c r="K91">
        <v>4</v>
      </c>
      <c r="L91" t="s">
        <v>66</v>
      </c>
      <c r="M91" s="3">
        <v>22.66</v>
      </c>
      <c r="N91" s="3">
        <v>34.54</v>
      </c>
      <c r="O91" s="10" t="str">
        <f>TEXT(Inventory_Data[[#This Row],[Date]],"mmm")</f>
        <v>Jan</v>
      </c>
    </row>
    <row r="92" spans="1:15" x14ac:dyDescent="0.2">
      <c r="A92" s="21">
        <v>45671</v>
      </c>
      <c r="B92" s="5" t="s">
        <v>134</v>
      </c>
      <c r="C92" t="s">
        <v>135</v>
      </c>
      <c r="D92" t="s">
        <v>27</v>
      </c>
      <c r="E92" t="s">
        <v>28</v>
      </c>
      <c r="F92">
        <v>351</v>
      </c>
      <c r="G92">
        <v>243</v>
      </c>
      <c r="H92">
        <v>57</v>
      </c>
      <c r="I92">
        <f>Inventory_Data[[#This Row],[Opening_Stock]]+Inventory_Data[[#This Row],[Units_Received]]-Inventory_Data[[#This Row],[Units_Sold]]</f>
        <v>537</v>
      </c>
      <c r="J92">
        <v>0</v>
      </c>
      <c r="K92">
        <v>4</v>
      </c>
      <c r="L92" t="s">
        <v>80</v>
      </c>
      <c r="M92" s="3">
        <v>18.3</v>
      </c>
      <c r="N92" s="3">
        <v>21.31</v>
      </c>
      <c r="O92" s="10" t="str">
        <f>TEXT(Inventory_Data[[#This Row],[Date]],"mmm")</f>
        <v>Jan</v>
      </c>
    </row>
    <row r="93" spans="1:15" x14ac:dyDescent="0.2">
      <c r="A93" s="21">
        <v>45671</v>
      </c>
      <c r="B93" s="5" t="s">
        <v>148</v>
      </c>
      <c r="C93" t="s">
        <v>149</v>
      </c>
      <c r="D93" t="s">
        <v>27</v>
      </c>
      <c r="E93" t="s">
        <v>35</v>
      </c>
      <c r="F93">
        <v>97</v>
      </c>
      <c r="G93">
        <v>221</v>
      </c>
      <c r="H93">
        <v>132</v>
      </c>
      <c r="I93">
        <f>Inventory_Data[[#This Row],[Opening_Stock]]+Inventory_Data[[#This Row],[Units_Received]]-Inventory_Data[[#This Row],[Units_Sold]]</f>
        <v>186</v>
      </c>
      <c r="J93">
        <v>0</v>
      </c>
      <c r="K93">
        <v>5</v>
      </c>
      <c r="L93" t="s">
        <v>66</v>
      </c>
      <c r="M93" s="3">
        <v>17.79</v>
      </c>
      <c r="N93" s="3">
        <v>26.26</v>
      </c>
      <c r="O93" s="10" t="str">
        <f>TEXT(Inventory_Data[[#This Row],[Date]],"mmm")</f>
        <v>Jan</v>
      </c>
    </row>
    <row r="94" spans="1:15" x14ac:dyDescent="0.2">
      <c r="A94" s="21">
        <v>45671</v>
      </c>
      <c r="B94" s="5" t="s">
        <v>150</v>
      </c>
      <c r="C94" t="s">
        <v>151</v>
      </c>
      <c r="D94" t="s">
        <v>52</v>
      </c>
      <c r="E94" t="s">
        <v>35</v>
      </c>
      <c r="F94">
        <v>27</v>
      </c>
      <c r="G94">
        <v>10</v>
      </c>
      <c r="H94">
        <v>9</v>
      </c>
      <c r="I94">
        <f>Inventory_Data[[#This Row],[Opening_Stock]]+Inventory_Data[[#This Row],[Units_Received]]-Inventory_Data[[#This Row],[Units_Sold]]</f>
        <v>28</v>
      </c>
      <c r="J94">
        <v>0</v>
      </c>
      <c r="K94">
        <v>8</v>
      </c>
      <c r="L94" t="s">
        <v>83</v>
      </c>
      <c r="M94" s="3">
        <v>108.16</v>
      </c>
      <c r="N94" s="3">
        <v>142</v>
      </c>
      <c r="O94" s="10" t="str">
        <f>TEXT(Inventory_Data[[#This Row],[Date]],"mmm")</f>
        <v>Jan</v>
      </c>
    </row>
    <row r="95" spans="1:15" x14ac:dyDescent="0.2">
      <c r="A95" s="21">
        <v>45671</v>
      </c>
      <c r="B95" s="5" t="s">
        <v>67</v>
      </c>
      <c r="C95" t="s">
        <v>68</v>
      </c>
      <c r="D95" t="s">
        <v>52</v>
      </c>
      <c r="E95" t="s">
        <v>21</v>
      </c>
      <c r="F95">
        <v>77</v>
      </c>
      <c r="G95">
        <v>13</v>
      </c>
      <c r="H95">
        <v>19</v>
      </c>
      <c r="I95">
        <f>Inventory_Data[[#This Row],[Opening_Stock]]+Inventory_Data[[#This Row],[Units_Received]]-Inventory_Data[[#This Row],[Units_Sold]]</f>
        <v>71</v>
      </c>
      <c r="J95">
        <v>0</v>
      </c>
      <c r="K95">
        <v>3</v>
      </c>
      <c r="L95" t="s">
        <v>53</v>
      </c>
      <c r="M95" s="3">
        <v>39.799999999999997</v>
      </c>
      <c r="N95" s="3">
        <v>50.55</v>
      </c>
      <c r="O95" s="10" t="str">
        <f>TEXT(Inventory_Data[[#This Row],[Date]],"mmm")</f>
        <v>Jan</v>
      </c>
    </row>
    <row r="96" spans="1:15" x14ac:dyDescent="0.2">
      <c r="A96" s="21">
        <v>45671</v>
      </c>
      <c r="B96" s="5" t="s">
        <v>102</v>
      </c>
      <c r="C96" t="s">
        <v>103</v>
      </c>
      <c r="D96" t="s">
        <v>52</v>
      </c>
      <c r="E96" t="s">
        <v>17</v>
      </c>
      <c r="F96">
        <v>77</v>
      </c>
      <c r="G96">
        <v>20</v>
      </c>
      <c r="H96">
        <v>13</v>
      </c>
      <c r="I96">
        <f>Inventory_Data[[#This Row],[Opening_Stock]]+Inventory_Data[[#This Row],[Units_Received]]-Inventory_Data[[#This Row],[Units_Sold]]</f>
        <v>84</v>
      </c>
      <c r="J96">
        <v>0</v>
      </c>
      <c r="K96">
        <v>8</v>
      </c>
      <c r="L96" t="s">
        <v>83</v>
      </c>
      <c r="M96" s="3">
        <v>345.51</v>
      </c>
      <c r="N96" s="3">
        <v>510.78</v>
      </c>
      <c r="O96" s="10" t="str">
        <f>TEXT(Inventory_Data[[#This Row],[Date]],"mmm")</f>
        <v>Jan</v>
      </c>
    </row>
    <row r="97" spans="1:15" x14ac:dyDescent="0.2">
      <c r="A97" s="21">
        <v>45671</v>
      </c>
      <c r="B97" s="5" t="s">
        <v>88</v>
      </c>
      <c r="C97" t="s">
        <v>89</v>
      </c>
      <c r="D97" t="s">
        <v>34</v>
      </c>
      <c r="E97" t="s">
        <v>21</v>
      </c>
      <c r="F97">
        <v>210</v>
      </c>
      <c r="G97">
        <v>39</v>
      </c>
      <c r="H97">
        <v>119</v>
      </c>
      <c r="I97">
        <f>Inventory_Data[[#This Row],[Opening_Stock]]+Inventory_Data[[#This Row],[Units_Received]]-Inventory_Data[[#This Row],[Units_Sold]]</f>
        <v>130</v>
      </c>
      <c r="J97">
        <v>0</v>
      </c>
      <c r="K97">
        <v>10</v>
      </c>
      <c r="L97" t="s">
        <v>39</v>
      </c>
      <c r="M97" s="3">
        <v>5.75</v>
      </c>
      <c r="N97" s="3">
        <v>7.49</v>
      </c>
      <c r="O97" s="10" t="str">
        <f>TEXT(Inventory_Data[[#This Row],[Date]],"mmm")</f>
        <v>Jan</v>
      </c>
    </row>
    <row r="98" spans="1:15" x14ac:dyDescent="0.2">
      <c r="A98" s="21">
        <v>45672</v>
      </c>
      <c r="B98" s="5" t="s">
        <v>106</v>
      </c>
      <c r="C98" t="s">
        <v>107</v>
      </c>
      <c r="D98" t="s">
        <v>16</v>
      </c>
      <c r="E98" t="s">
        <v>21</v>
      </c>
      <c r="F98">
        <v>39</v>
      </c>
      <c r="G98">
        <v>69</v>
      </c>
      <c r="H98">
        <v>78</v>
      </c>
      <c r="I98">
        <f>Inventory_Data[[#This Row],[Opening_Stock]]+Inventory_Data[[#This Row],[Units_Received]]-Inventory_Data[[#This Row],[Units_Sold]]</f>
        <v>30</v>
      </c>
      <c r="J98">
        <v>0</v>
      </c>
      <c r="K98">
        <v>9</v>
      </c>
      <c r="L98" t="s">
        <v>24</v>
      </c>
      <c r="M98" s="3">
        <v>46.78</v>
      </c>
      <c r="N98" s="3">
        <v>66.23</v>
      </c>
      <c r="O98" s="10" t="str">
        <f>TEXT(Inventory_Data[[#This Row],[Date]],"mmm")</f>
        <v>Jan</v>
      </c>
    </row>
    <row r="99" spans="1:15" x14ac:dyDescent="0.2">
      <c r="A99" s="21">
        <v>45672</v>
      </c>
      <c r="B99" s="5" t="s">
        <v>152</v>
      </c>
      <c r="C99" t="s">
        <v>153</v>
      </c>
      <c r="D99" t="s">
        <v>16</v>
      </c>
      <c r="E99" t="s">
        <v>35</v>
      </c>
      <c r="F99">
        <v>130</v>
      </c>
      <c r="G99">
        <v>25</v>
      </c>
      <c r="H99">
        <v>27</v>
      </c>
      <c r="I99">
        <f>Inventory_Data[[#This Row],[Opening_Stock]]+Inventory_Data[[#This Row],[Units_Received]]-Inventory_Data[[#This Row],[Units_Sold]]</f>
        <v>128</v>
      </c>
      <c r="J99">
        <v>0</v>
      </c>
      <c r="K99">
        <v>8</v>
      </c>
      <c r="L99" t="s">
        <v>45</v>
      </c>
      <c r="M99" s="3">
        <v>135.63</v>
      </c>
      <c r="N99" s="3">
        <v>167.41</v>
      </c>
      <c r="O99" s="10" t="str">
        <f>TEXT(Inventory_Data[[#This Row],[Date]],"mmm")</f>
        <v>Jan</v>
      </c>
    </row>
    <row r="100" spans="1:15" x14ac:dyDescent="0.2">
      <c r="A100" s="21">
        <v>45672</v>
      </c>
      <c r="B100" s="5" t="s">
        <v>14</v>
      </c>
      <c r="C100" t="s">
        <v>15</v>
      </c>
      <c r="D100" t="s">
        <v>16</v>
      </c>
      <c r="E100" t="s">
        <v>28</v>
      </c>
      <c r="F100">
        <v>155</v>
      </c>
      <c r="G100">
        <v>55</v>
      </c>
      <c r="H100">
        <v>11</v>
      </c>
      <c r="I100">
        <f>Inventory_Data[[#This Row],[Opening_Stock]]+Inventory_Data[[#This Row],[Units_Received]]-Inventory_Data[[#This Row],[Units_Sold]]</f>
        <v>199</v>
      </c>
      <c r="J100">
        <v>0</v>
      </c>
      <c r="K100">
        <v>8</v>
      </c>
      <c r="L100" t="s">
        <v>18</v>
      </c>
      <c r="M100" s="3">
        <v>149.51</v>
      </c>
      <c r="N100" s="3">
        <v>182.55</v>
      </c>
      <c r="O100" s="10" t="str">
        <f>TEXT(Inventory_Data[[#This Row],[Date]],"mmm")</f>
        <v>Jan</v>
      </c>
    </row>
    <row r="101" spans="1:15" x14ac:dyDescent="0.2">
      <c r="A101" s="21">
        <v>45672</v>
      </c>
      <c r="B101" s="5" t="s">
        <v>154</v>
      </c>
      <c r="C101" t="s">
        <v>155</v>
      </c>
      <c r="D101" t="s">
        <v>48</v>
      </c>
      <c r="E101" t="s">
        <v>21</v>
      </c>
      <c r="F101">
        <v>137</v>
      </c>
      <c r="G101">
        <v>131</v>
      </c>
      <c r="H101">
        <v>134</v>
      </c>
      <c r="I101">
        <f>Inventory_Data[[#This Row],[Opening_Stock]]+Inventory_Data[[#This Row],[Units_Received]]-Inventory_Data[[#This Row],[Units_Sold]]</f>
        <v>134</v>
      </c>
      <c r="J101">
        <v>0</v>
      </c>
      <c r="K101">
        <v>8</v>
      </c>
      <c r="L101" t="s">
        <v>49</v>
      </c>
      <c r="M101" s="3">
        <v>52.73</v>
      </c>
      <c r="N101" s="3">
        <v>61.95</v>
      </c>
      <c r="O101" s="10" t="str">
        <f>TEXT(Inventory_Data[[#This Row],[Date]],"mmm")</f>
        <v>Jan</v>
      </c>
    </row>
    <row r="102" spans="1:15" x14ac:dyDescent="0.2">
      <c r="A102" s="21">
        <v>45672</v>
      </c>
      <c r="B102" s="5" t="s">
        <v>154</v>
      </c>
      <c r="C102" t="s">
        <v>155</v>
      </c>
      <c r="D102" t="s">
        <v>48</v>
      </c>
      <c r="E102" t="s">
        <v>28</v>
      </c>
      <c r="F102">
        <v>280</v>
      </c>
      <c r="G102">
        <v>89</v>
      </c>
      <c r="H102">
        <v>72</v>
      </c>
      <c r="I102">
        <f>Inventory_Data[[#This Row],[Opening_Stock]]+Inventory_Data[[#This Row],[Units_Received]]-Inventory_Data[[#This Row],[Units_Sold]]</f>
        <v>297</v>
      </c>
      <c r="J102">
        <v>0</v>
      </c>
      <c r="K102">
        <v>14</v>
      </c>
      <c r="L102" t="s">
        <v>49</v>
      </c>
      <c r="M102" s="3">
        <v>59.49</v>
      </c>
      <c r="N102" s="3">
        <v>74.959999999999994</v>
      </c>
      <c r="O102" s="10" t="str">
        <f>TEXT(Inventory_Data[[#This Row],[Date]],"mmm")</f>
        <v>Jan</v>
      </c>
    </row>
    <row r="103" spans="1:15" x14ac:dyDescent="0.2">
      <c r="A103" s="21">
        <v>45672</v>
      </c>
      <c r="B103" s="5" t="s">
        <v>92</v>
      </c>
      <c r="C103" t="s">
        <v>93</v>
      </c>
      <c r="D103" t="s">
        <v>27</v>
      </c>
      <c r="E103" t="s">
        <v>35</v>
      </c>
      <c r="F103">
        <v>122</v>
      </c>
      <c r="G103">
        <v>47</v>
      </c>
      <c r="H103">
        <v>32</v>
      </c>
      <c r="I103">
        <f>Inventory_Data[[#This Row],[Opening_Stock]]+Inventory_Data[[#This Row],[Units_Received]]-Inventory_Data[[#This Row],[Units_Sold]]</f>
        <v>137</v>
      </c>
      <c r="J103">
        <v>0</v>
      </c>
      <c r="K103">
        <v>5</v>
      </c>
      <c r="L103" t="s">
        <v>80</v>
      </c>
      <c r="M103" s="3">
        <v>8.61</v>
      </c>
      <c r="N103" s="3">
        <v>10.45</v>
      </c>
      <c r="O103" s="10" t="str">
        <f>TEXT(Inventory_Data[[#This Row],[Date]],"mmm")</f>
        <v>Jan</v>
      </c>
    </row>
    <row r="104" spans="1:15" x14ac:dyDescent="0.2">
      <c r="A104" s="21">
        <v>45672</v>
      </c>
      <c r="B104" s="5" t="s">
        <v>156</v>
      </c>
      <c r="C104" t="s">
        <v>157</v>
      </c>
      <c r="D104" t="s">
        <v>27</v>
      </c>
      <c r="E104" t="s">
        <v>28</v>
      </c>
      <c r="F104">
        <v>146</v>
      </c>
      <c r="G104">
        <v>213</v>
      </c>
      <c r="H104">
        <v>109</v>
      </c>
      <c r="I104">
        <f>Inventory_Data[[#This Row],[Opening_Stock]]+Inventory_Data[[#This Row],[Units_Received]]-Inventory_Data[[#This Row],[Units_Sold]]</f>
        <v>250</v>
      </c>
      <c r="J104">
        <v>0</v>
      </c>
      <c r="K104">
        <v>7</v>
      </c>
      <c r="L104" t="s">
        <v>66</v>
      </c>
      <c r="M104" s="3">
        <v>19.57</v>
      </c>
      <c r="N104" s="3">
        <v>27.35</v>
      </c>
      <c r="O104" s="10" t="str">
        <f>TEXT(Inventory_Data[[#This Row],[Date]],"mmm")</f>
        <v>Jan</v>
      </c>
    </row>
    <row r="105" spans="1:15" x14ac:dyDescent="0.2">
      <c r="A105" s="21">
        <v>45672</v>
      </c>
      <c r="B105" s="5" t="s">
        <v>78</v>
      </c>
      <c r="C105" t="s">
        <v>79</v>
      </c>
      <c r="D105" t="s">
        <v>27</v>
      </c>
      <c r="E105" t="s">
        <v>28</v>
      </c>
      <c r="F105">
        <v>154</v>
      </c>
      <c r="G105">
        <v>143</v>
      </c>
      <c r="H105">
        <v>57</v>
      </c>
      <c r="I105">
        <f>Inventory_Data[[#This Row],[Opening_Stock]]+Inventory_Data[[#This Row],[Units_Received]]-Inventory_Data[[#This Row],[Units_Sold]]</f>
        <v>240</v>
      </c>
      <c r="J105">
        <v>0</v>
      </c>
      <c r="K105">
        <v>2</v>
      </c>
      <c r="L105" t="s">
        <v>29</v>
      </c>
      <c r="M105" s="3">
        <v>17.62</v>
      </c>
      <c r="N105" s="3">
        <v>23.58</v>
      </c>
      <c r="O105" s="10" t="str">
        <f>TEXT(Inventory_Data[[#This Row],[Date]],"mmm")</f>
        <v>Jan</v>
      </c>
    </row>
    <row r="106" spans="1:15" x14ac:dyDescent="0.2">
      <c r="A106" s="21">
        <v>45673</v>
      </c>
      <c r="B106" s="5" t="s">
        <v>158</v>
      </c>
      <c r="C106" t="s">
        <v>159</v>
      </c>
      <c r="D106" t="s">
        <v>52</v>
      </c>
      <c r="E106" t="s">
        <v>28</v>
      </c>
      <c r="F106">
        <v>33</v>
      </c>
      <c r="G106">
        <v>18</v>
      </c>
      <c r="H106">
        <v>7</v>
      </c>
      <c r="I106">
        <f>Inventory_Data[[#This Row],[Opening_Stock]]+Inventory_Data[[#This Row],[Units_Received]]-Inventory_Data[[#This Row],[Units_Sold]]</f>
        <v>44</v>
      </c>
      <c r="J106">
        <v>0</v>
      </c>
      <c r="K106">
        <v>12</v>
      </c>
      <c r="L106" t="s">
        <v>56</v>
      </c>
      <c r="M106" s="3">
        <v>337.73</v>
      </c>
      <c r="N106" s="3">
        <v>448.39</v>
      </c>
      <c r="O106" s="10" t="str">
        <f>TEXT(Inventory_Data[[#This Row],[Date]],"mmm")</f>
        <v>Jan</v>
      </c>
    </row>
    <row r="107" spans="1:15" x14ac:dyDescent="0.2">
      <c r="A107" s="21">
        <v>45673</v>
      </c>
      <c r="B107" s="5" t="s">
        <v>118</v>
      </c>
      <c r="C107" t="s">
        <v>119</v>
      </c>
      <c r="D107" t="s">
        <v>34</v>
      </c>
      <c r="E107" t="s">
        <v>35</v>
      </c>
      <c r="F107">
        <v>74</v>
      </c>
      <c r="G107">
        <v>204</v>
      </c>
      <c r="H107">
        <v>17</v>
      </c>
      <c r="I107">
        <f>Inventory_Data[[#This Row],[Opening_Stock]]+Inventory_Data[[#This Row],[Units_Received]]-Inventory_Data[[#This Row],[Units_Sold]]</f>
        <v>261</v>
      </c>
      <c r="J107">
        <v>0</v>
      </c>
      <c r="K107">
        <v>4</v>
      </c>
      <c r="L107" t="s">
        <v>36</v>
      </c>
      <c r="M107" s="3">
        <v>5.21</v>
      </c>
      <c r="N107" s="3">
        <v>7.53</v>
      </c>
      <c r="O107" s="10" t="str">
        <f>TEXT(Inventory_Data[[#This Row],[Date]],"mmm")</f>
        <v>Jan</v>
      </c>
    </row>
    <row r="108" spans="1:15" x14ac:dyDescent="0.2">
      <c r="A108" s="21">
        <v>45673</v>
      </c>
      <c r="B108" s="5" t="s">
        <v>126</v>
      </c>
      <c r="C108" t="s">
        <v>127</v>
      </c>
      <c r="D108" t="s">
        <v>34</v>
      </c>
      <c r="E108" t="s">
        <v>28</v>
      </c>
      <c r="F108">
        <v>218</v>
      </c>
      <c r="G108">
        <v>150</v>
      </c>
      <c r="H108">
        <v>130</v>
      </c>
      <c r="I108">
        <f>Inventory_Data[[#This Row],[Opening_Stock]]+Inventory_Data[[#This Row],[Units_Received]]-Inventory_Data[[#This Row],[Units_Sold]]</f>
        <v>238</v>
      </c>
      <c r="J108">
        <v>0</v>
      </c>
      <c r="K108">
        <v>11</v>
      </c>
      <c r="L108" t="s">
        <v>42</v>
      </c>
      <c r="M108" s="3">
        <v>18.12</v>
      </c>
      <c r="N108" s="3">
        <v>21.35</v>
      </c>
      <c r="O108" s="10" t="str">
        <f>TEXT(Inventory_Data[[#This Row],[Date]],"mmm")</f>
        <v>Jan</v>
      </c>
    </row>
    <row r="109" spans="1:15" x14ac:dyDescent="0.2">
      <c r="A109" s="21">
        <v>45674</v>
      </c>
      <c r="B109" s="5" t="s">
        <v>152</v>
      </c>
      <c r="C109" t="s">
        <v>153</v>
      </c>
      <c r="D109" t="s">
        <v>16</v>
      </c>
      <c r="E109" t="s">
        <v>35</v>
      </c>
      <c r="F109">
        <v>22</v>
      </c>
      <c r="G109">
        <v>87</v>
      </c>
      <c r="H109">
        <v>51</v>
      </c>
      <c r="I109">
        <f>Inventory_Data[[#This Row],[Opening_Stock]]+Inventory_Data[[#This Row],[Units_Received]]-Inventory_Data[[#This Row],[Units_Sold]]</f>
        <v>58</v>
      </c>
      <c r="J109">
        <v>0</v>
      </c>
      <c r="K109">
        <v>4</v>
      </c>
      <c r="L109" t="s">
        <v>45</v>
      </c>
      <c r="M109" s="3">
        <v>17.059999999999999</v>
      </c>
      <c r="N109" s="3">
        <v>21.49</v>
      </c>
      <c r="O109" s="10" t="str">
        <f>TEXT(Inventory_Data[[#This Row],[Date]],"mmm")</f>
        <v>Jan</v>
      </c>
    </row>
    <row r="110" spans="1:15" x14ac:dyDescent="0.2">
      <c r="A110" s="21">
        <v>45674</v>
      </c>
      <c r="B110" s="5" t="s">
        <v>22</v>
      </c>
      <c r="C110" t="s">
        <v>23</v>
      </c>
      <c r="D110" t="s">
        <v>16</v>
      </c>
      <c r="E110" t="s">
        <v>17</v>
      </c>
      <c r="F110">
        <v>139</v>
      </c>
      <c r="G110">
        <v>68</v>
      </c>
      <c r="H110">
        <v>37</v>
      </c>
      <c r="I110">
        <f>Inventory_Data[[#This Row],[Opening_Stock]]+Inventory_Data[[#This Row],[Units_Received]]-Inventory_Data[[#This Row],[Units_Sold]]</f>
        <v>170</v>
      </c>
      <c r="J110">
        <v>0</v>
      </c>
      <c r="K110">
        <v>3</v>
      </c>
      <c r="L110" t="s">
        <v>45</v>
      </c>
      <c r="M110" s="3">
        <v>103.72</v>
      </c>
      <c r="N110" s="3">
        <v>147.72</v>
      </c>
      <c r="O110" s="10" t="str">
        <f>TEXT(Inventory_Data[[#This Row],[Date]],"mmm")</f>
        <v>Jan</v>
      </c>
    </row>
    <row r="111" spans="1:15" x14ac:dyDescent="0.2">
      <c r="A111" s="21">
        <v>45674</v>
      </c>
      <c r="B111" s="5" t="s">
        <v>84</v>
      </c>
      <c r="C111" t="s">
        <v>85</v>
      </c>
      <c r="D111" t="s">
        <v>48</v>
      </c>
      <c r="E111" t="s">
        <v>28</v>
      </c>
      <c r="F111">
        <v>105</v>
      </c>
      <c r="G111">
        <v>144</v>
      </c>
      <c r="H111">
        <v>72</v>
      </c>
      <c r="I111">
        <f>Inventory_Data[[#This Row],[Opening_Stock]]+Inventory_Data[[#This Row],[Units_Received]]-Inventory_Data[[#This Row],[Units_Sold]]</f>
        <v>177</v>
      </c>
      <c r="J111">
        <v>0</v>
      </c>
      <c r="K111">
        <v>8</v>
      </c>
      <c r="L111" t="s">
        <v>49</v>
      </c>
      <c r="M111" s="3">
        <v>31.16</v>
      </c>
      <c r="N111" s="3">
        <v>42.75</v>
      </c>
      <c r="O111" s="10" t="str">
        <f>TEXT(Inventory_Data[[#This Row],[Date]],"mmm")</f>
        <v>Jan</v>
      </c>
    </row>
    <row r="112" spans="1:15" x14ac:dyDescent="0.2">
      <c r="A112" s="21">
        <v>45674</v>
      </c>
      <c r="B112" s="5" t="s">
        <v>160</v>
      </c>
      <c r="C112" t="s">
        <v>161</v>
      </c>
      <c r="D112" t="s">
        <v>27</v>
      </c>
      <c r="E112" t="s">
        <v>17</v>
      </c>
      <c r="F112">
        <v>142</v>
      </c>
      <c r="G112">
        <v>203</v>
      </c>
      <c r="H112">
        <v>84</v>
      </c>
      <c r="I112">
        <f>Inventory_Data[[#This Row],[Opening_Stock]]+Inventory_Data[[#This Row],[Units_Received]]-Inventory_Data[[#This Row],[Units_Sold]]</f>
        <v>261</v>
      </c>
      <c r="J112">
        <v>0</v>
      </c>
      <c r="K112">
        <v>6</v>
      </c>
      <c r="L112" t="s">
        <v>80</v>
      </c>
      <c r="M112" s="3">
        <v>19.850000000000001</v>
      </c>
      <c r="N112" s="3">
        <v>30.54</v>
      </c>
      <c r="O112" s="10" t="str">
        <f>TEXT(Inventory_Data[[#This Row],[Date]],"mmm")</f>
        <v>Jan</v>
      </c>
    </row>
    <row r="113" spans="1:15" x14ac:dyDescent="0.2">
      <c r="A113" s="21">
        <v>45674</v>
      </c>
      <c r="B113" s="5" t="s">
        <v>64</v>
      </c>
      <c r="C113" t="s">
        <v>65</v>
      </c>
      <c r="D113" t="s">
        <v>27</v>
      </c>
      <c r="E113" t="s">
        <v>35</v>
      </c>
      <c r="F113">
        <v>119</v>
      </c>
      <c r="G113">
        <v>221</v>
      </c>
      <c r="H113">
        <v>33</v>
      </c>
      <c r="I113">
        <f>Inventory_Data[[#This Row],[Opening_Stock]]+Inventory_Data[[#This Row],[Units_Received]]-Inventory_Data[[#This Row],[Units_Sold]]</f>
        <v>307</v>
      </c>
      <c r="J113">
        <v>0</v>
      </c>
      <c r="K113">
        <v>3</v>
      </c>
      <c r="L113" t="s">
        <v>66</v>
      </c>
      <c r="M113" s="3">
        <v>23.93</v>
      </c>
      <c r="N113" s="3">
        <v>28.49</v>
      </c>
      <c r="O113" s="10" t="str">
        <f>TEXT(Inventory_Data[[#This Row],[Date]],"mmm")</f>
        <v>Jan</v>
      </c>
    </row>
    <row r="114" spans="1:15" x14ac:dyDescent="0.2">
      <c r="A114" s="21">
        <v>45674</v>
      </c>
      <c r="B114" s="5" t="s">
        <v>100</v>
      </c>
      <c r="C114" t="s">
        <v>101</v>
      </c>
      <c r="D114" t="s">
        <v>52</v>
      </c>
      <c r="E114" t="s">
        <v>17</v>
      </c>
      <c r="F114">
        <v>10</v>
      </c>
      <c r="G114">
        <v>12</v>
      </c>
      <c r="H114">
        <v>18</v>
      </c>
      <c r="I114">
        <f>Inventory_Data[[#This Row],[Opening_Stock]]+Inventory_Data[[#This Row],[Units_Received]]-Inventory_Data[[#This Row],[Units_Sold]]</f>
        <v>4</v>
      </c>
      <c r="J114">
        <v>0</v>
      </c>
      <c r="K114">
        <v>7</v>
      </c>
      <c r="L114" t="s">
        <v>53</v>
      </c>
      <c r="M114" s="3">
        <v>229.24</v>
      </c>
      <c r="N114" s="3">
        <v>299.83999999999997</v>
      </c>
      <c r="O114" s="10" t="str">
        <f>TEXT(Inventory_Data[[#This Row],[Date]],"mmm")</f>
        <v>Jan</v>
      </c>
    </row>
    <row r="115" spans="1:15" x14ac:dyDescent="0.2">
      <c r="A115" s="21">
        <v>45674</v>
      </c>
      <c r="B115" s="5" t="s">
        <v>138</v>
      </c>
      <c r="C115" t="s">
        <v>139</v>
      </c>
      <c r="D115" t="s">
        <v>34</v>
      </c>
      <c r="E115" t="s">
        <v>21</v>
      </c>
      <c r="F115">
        <v>130</v>
      </c>
      <c r="G115">
        <v>208</v>
      </c>
      <c r="H115">
        <v>79</v>
      </c>
      <c r="I115">
        <f>Inventory_Data[[#This Row],[Opening_Stock]]+Inventory_Data[[#This Row],[Units_Received]]-Inventory_Data[[#This Row],[Units_Sold]]</f>
        <v>259</v>
      </c>
      <c r="J115">
        <v>0</v>
      </c>
      <c r="K115">
        <v>14</v>
      </c>
      <c r="L115" t="s">
        <v>36</v>
      </c>
      <c r="M115" s="3">
        <v>13.67</v>
      </c>
      <c r="N115" s="3">
        <v>17.89</v>
      </c>
      <c r="O115" s="10" t="str">
        <f>TEXT(Inventory_Data[[#This Row],[Date]],"mmm")</f>
        <v>Jan</v>
      </c>
    </row>
    <row r="116" spans="1:15" x14ac:dyDescent="0.2">
      <c r="A116" s="21">
        <v>45675</v>
      </c>
      <c r="B116" s="5" t="s">
        <v>148</v>
      </c>
      <c r="C116" t="s">
        <v>149</v>
      </c>
      <c r="D116" t="s">
        <v>27</v>
      </c>
      <c r="E116" t="s">
        <v>28</v>
      </c>
      <c r="F116">
        <v>499</v>
      </c>
      <c r="G116">
        <v>135</v>
      </c>
      <c r="H116">
        <v>141</v>
      </c>
      <c r="I116">
        <f>Inventory_Data[[#This Row],[Opening_Stock]]+Inventory_Data[[#This Row],[Units_Received]]-Inventory_Data[[#This Row],[Units_Sold]]</f>
        <v>493</v>
      </c>
      <c r="J116">
        <v>0</v>
      </c>
      <c r="K116">
        <v>2</v>
      </c>
      <c r="L116" t="s">
        <v>80</v>
      </c>
      <c r="M116" s="3">
        <v>23.56</v>
      </c>
      <c r="N116" s="3">
        <v>34.04</v>
      </c>
      <c r="O116" s="10" t="str">
        <f>TEXT(Inventory_Data[[#This Row],[Date]],"mmm")</f>
        <v>Jan</v>
      </c>
    </row>
    <row r="117" spans="1:15" x14ac:dyDescent="0.2">
      <c r="A117" s="21">
        <v>45675</v>
      </c>
      <c r="B117" s="5" t="s">
        <v>142</v>
      </c>
      <c r="C117" t="s">
        <v>143</v>
      </c>
      <c r="D117" t="s">
        <v>52</v>
      </c>
      <c r="E117" t="s">
        <v>21</v>
      </c>
      <c r="F117">
        <v>68</v>
      </c>
      <c r="G117">
        <v>14</v>
      </c>
      <c r="H117">
        <v>14</v>
      </c>
      <c r="I117">
        <f>Inventory_Data[[#This Row],[Opening_Stock]]+Inventory_Data[[#This Row],[Units_Received]]-Inventory_Data[[#This Row],[Units_Sold]]</f>
        <v>68</v>
      </c>
      <c r="J117">
        <v>0</v>
      </c>
      <c r="K117">
        <v>4</v>
      </c>
      <c r="L117" t="s">
        <v>83</v>
      </c>
      <c r="M117" s="3">
        <v>225.45</v>
      </c>
      <c r="N117" s="3">
        <v>326.26</v>
      </c>
      <c r="O117" s="10" t="str">
        <f>TEXT(Inventory_Data[[#This Row],[Date]],"mmm")</f>
        <v>Jan</v>
      </c>
    </row>
    <row r="118" spans="1:15" x14ac:dyDescent="0.2">
      <c r="A118" s="21">
        <v>45675</v>
      </c>
      <c r="B118" s="5" t="s">
        <v>81</v>
      </c>
      <c r="C118" t="s">
        <v>82</v>
      </c>
      <c r="D118" t="s">
        <v>52</v>
      </c>
      <c r="E118" t="s">
        <v>21</v>
      </c>
      <c r="F118">
        <v>48</v>
      </c>
      <c r="G118">
        <v>2</v>
      </c>
      <c r="H118">
        <v>1</v>
      </c>
      <c r="I118">
        <f>Inventory_Data[[#This Row],[Opening_Stock]]+Inventory_Data[[#This Row],[Units_Received]]-Inventory_Data[[#This Row],[Units_Sold]]</f>
        <v>49</v>
      </c>
      <c r="J118">
        <v>0</v>
      </c>
      <c r="K118">
        <v>14</v>
      </c>
      <c r="L118" t="s">
        <v>53</v>
      </c>
      <c r="M118" s="3">
        <v>134.25</v>
      </c>
      <c r="N118" s="3">
        <v>170.95</v>
      </c>
      <c r="O118" s="10" t="str">
        <f>TEXT(Inventory_Data[[#This Row],[Date]],"mmm")</f>
        <v>Jan</v>
      </c>
    </row>
    <row r="119" spans="1:15" x14ac:dyDescent="0.2">
      <c r="A119" s="21">
        <v>45676</v>
      </c>
      <c r="B119" s="5" t="s">
        <v>92</v>
      </c>
      <c r="C119" t="s">
        <v>93</v>
      </c>
      <c r="D119" t="s">
        <v>27</v>
      </c>
      <c r="E119" t="s">
        <v>17</v>
      </c>
      <c r="F119">
        <v>188</v>
      </c>
      <c r="G119">
        <v>113</v>
      </c>
      <c r="H119">
        <v>208</v>
      </c>
      <c r="I119">
        <f>Inventory_Data[[#This Row],[Opening_Stock]]+Inventory_Data[[#This Row],[Units_Received]]-Inventory_Data[[#This Row],[Units_Sold]]</f>
        <v>93</v>
      </c>
      <c r="J119">
        <v>0</v>
      </c>
      <c r="K119">
        <v>7</v>
      </c>
      <c r="L119" t="s">
        <v>29</v>
      </c>
      <c r="M119" s="3">
        <v>5.0599999999999996</v>
      </c>
      <c r="N119" s="3">
        <v>7.11</v>
      </c>
      <c r="O119" s="10" t="str">
        <f>TEXT(Inventory_Data[[#This Row],[Date]],"mmm")</f>
        <v>Jan</v>
      </c>
    </row>
    <row r="120" spans="1:15" x14ac:dyDescent="0.2">
      <c r="A120" s="21">
        <v>45676</v>
      </c>
      <c r="B120" s="5" t="s">
        <v>64</v>
      </c>
      <c r="C120" t="s">
        <v>65</v>
      </c>
      <c r="D120" t="s">
        <v>27</v>
      </c>
      <c r="E120" t="s">
        <v>28</v>
      </c>
      <c r="F120">
        <v>279</v>
      </c>
      <c r="G120">
        <v>81</v>
      </c>
      <c r="H120">
        <v>109</v>
      </c>
      <c r="I120">
        <f>Inventory_Data[[#This Row],[Opening_Stock]]+Inventory_Data[[#This Row],[Units_Received]]-Inventory_Data[[#This Row],[Units_Sold]]</f>
        <v>251</v>
      </c>
      <c r="J120">
        <v>0</v>
      </c>
      <c r="K120">
        <v>3</v>
      </c>
      <c r="L120" t="s">
        <v>80</v>
      </c>
      <c r="M120" s="3">
        <v>13.01</v>
      </c>
      <c r="N120" s="3">
        <v>18.010000000000002</v>
      </c>
      <c r="O120" s="10" t="str">
        <f>TEXT(Inventory_Data[[#This Row],[Date]],"mmm")</f>
        <v>Jan</v>
      </c>
    </row>
    <row r="121" spans="1:15" x14ac:dyDescent="0.2">
      <c r="A121" s="21">
        <v>45676</v>
      </c>
      <c r="B121" s="5" t="s">
        <v>50</v>
      </c>
      <c r="C121" t="s">
        <v>51</v>
      </c>
      <c r="D121" t="s">
        <v>52</v>
      </c>
      <c r="E121" t="s">
        <v>17</v>
      </c>
      <c r="F121">
        <v>25</v>
      </c>
      <c r="G121">
        <v>2</v>
      </c>
      <c r="H121">
        <v>13</v>
      </c>
      <c r="I121">
        <f>Inventory_Data[[#This Row],[Opening_Stock]]+Inventory_Data[[#This Row],[Units_Received]]-Inventory_Data[[#This Row],[Units_Sold]]</f>
        <v>14</v>
      </c>
      <c r="J121">
        <v>0</v>
      </c>
      <c r="K121">
        <v>7</v>
      </c>
      <c r="L121" t="s">
        <v>56</v>
      </c>
      <c r="M121" s="3">
        <v>296.89999999999998</v>
      </c>
      <c r="N121" s="3">
        <v>418.72</v>
      </c>
      <c r="O121" s="10" t="str">
        <f>TEXT(Inventory_Data[[#This Row],[Date]],"mmm")</f>
        <v>Jan</v>
      </c>
    </row>
    <row r="122" spans="1:15" x14ac:dyDescent="0.2">
      <c r="A122" s="21">
        <v>45677</v>
      </c>
      <c r="B122" s="5" t="s">
        <v>106</v>
      </c>
      <c r="C122" t="s">
        <v>107</v>
      </c>
      <c r="D122" t="s">
        <v>16</v>
      </c>
      <c r="E122" t="s">
        <v>35</v>
      </c>
      <c r="F122">
        <v>49</v>
      </c>
      <c r="G122">
        <v>66</v>
      </c>
      <c r="H122">
        <v>22</v>
      </c>
      <c r="I122">
        <f>Inventory_Data[[#This Row],[Opening_Stock]]+Inventory_Data[[#This Row],[Units_Received]]-Inventory_Data[[#This Row],[Units_Sold]]</f>
        <v>93</v>
      </c>
      <c r="J122">
        <v>0</v>
      </c>
      <c r="K122">
        <v>4</v>
      </c>
      <c r="L122" t="s">
        <v>18</v>
      </c>
      <c r="M122" s="3">
        <v>72.58</v>
      </c>
      <c r="N122" s="3">
        <v>89.5</v>
      </c>
      <c r="O122" s="10" t="str">
        <f>TEXT(Inventory_Data[[#This Row],[Date]],"mmm")</f>
        <v>Jan</v>
      </c>
    </row>
    <row r="123" spans="1:15" x14ac:dyDescent="0.2">
      <c r="A123" s="21">
        <v>45677</v>
      </c>
      <c r="B123" s="5" t="s">
        <v>152</v>
      </c>
      <c r="C123" t="s">
        <v>153</v>
      </c>
      <c r="D123" t="s">
        <v>16</v>
      </c>
      <c r="E123" t="s">
        <v>17</v>
      </c>
      <c r="F123">
        <v>154</v>
      </c>
      <c r="G123">
        <v>85</v>
      </c>
      <c r="H123">
        <v>14</v>
      </c>
      <c r="I123">
        <f>Inventory_Data[[#This Row],[Opening_Stock]]+Inventory_Data[[#This Row],[Units_Received]]-Inventory_Data[[#This Row],[Units_Sold]]</f>
        <v>225</v>
      </c>
      <c r="J123">
        <v>0</v>
      </c>
      <c r="K123">
        <v>6</v>
      </c>
      <c r="L123" t="s">
        <v>18</v>
      </c>
      <c r="M123" s="3">
        <v>77.34</v>
      </c>
      <c r="N123" s="3">
        <v>102.85</v>
      </c>
      <c r="O123" s="10" t="str">
        <f>TEXT(Inventory_Data[[#This Row],[Date]],"mmm")</f>
        <v>Jan</v>
      </c>
    </row>
    <row r="124" spans="1:15" x14ac:dyDescent="0.2">
      <c r="A124" s="21">
        <v>45677</v>
      </c>
      <c r="B124" s="5" t="s">
        <v>162</v>
      </c>
      <c r="C124" t="s">
        <v>163</v>
      </c>
      <c r="D124" t="s">
        <v>16</v>
      </c>
      <c r="E124" t="s">
        <v>17</v>
      </c>
      <c r="F124">
        <v>120</v>
      </c>
      <c r="G124">
        <v>69</v>
      </c>
      <c r="H124">
        <v>10</v>
      </c>
      <c r="I124">
        <f>Inventory_Data[[#This Row],[Opening_Stock]]+Inventory_Data[[#This Row],[Units_Received]]-Inventory_Data[[#This Row],[Units_Sold]]</f>
        <v>179</v>
      </c>
      <c r="J124">
        <v>0</v>
      </c>
      <c r="K124">
        <v>13</v>
      </c>
      <c r="L124" t="s">
        <v>18</v>
      </c>
      <c r="M124" s="3">
        <v>125.95</v>
      </c>
      <c r="N124" s="3">
        <v>185.34</v>
      </c>
      <c r="O124" s="10" t="str">
        <f>TEXT(Inventory_Data[[#This Row],[Date]],"mmm")</f>
        <v>Jan</v>
      </c>
    </row>
    <row r="125" spans="1:15" x14ac:dyDescent="0.2">
      <c r="A125" s="21">
        <v>45677</v>
      </c>
      <c r="B125" s="5" t="s">
        <v>164</v>
      </c>
      <c r="C125" t="s">
        <v>165</v>
      </c>
      <c r="D125" t="s">
        <v>48</v>
      </c>
      <c r="E125" t="s">
        <v>17</v>
      </c>
      <c r="F125">
        <v>93</v>
      </c>
      <c r="G125">
        <v>113</v>
      </c>
      <c r="H125">
        <v>85</v>
      </c>
      <c r="I125">
        <f>Inventory_Data[[#This Row],[Opening_Stock]]+Inventory_Data[[#This Row],[Units_Received]]-Inventory_Data[[#This Row],[Units_Sold]]</f>
        <v>121</v>
      </c>
      <c r="J125">
        <v>0</v>
      </c>
      <c r="K125">
        <v>4</v>
      </c>
      <c r="L125" t="s">
        <v>63</v>
      </c>
      <c r="M125" s="3">
        <v>23.11</v>
      </c>
      <c r="N125" s="3">
        <v>30.61</v>
      </c>
      <c r="O125" s="10" t="str">
        <f>TEXT(Inventory_Data[[#This Row],[Date]],"mmm")</f>
        <v>Jan</v>
      </c>
    </row>
    <row r="126" spans="1:15" x14ac:dyDescent="0.2">
      <c r="A126" s="21">
        <v>45677</v>
      </c>
      <c r="B126" s="5" t="s">
        <v>124</v>
      </c>
      <c r="C126" t="s">
        <v>125</v>
      </c>
      <c r="D126" t="s">
        <v>52</v>
      </c>
      <c r="E126" t="s">
        <v>21</v>
      </c>
      <c r="F126">
        <v>31</v>
      </c>
      <c r="G126">
        <v>3</v>
      </c>
      <c r="H126">
        <v>6</v>
      </c>
      <c r="I126">
        <f>Inventory_Data[[#This Row],[Opening_Stock]]+Inventory_Data[[#This Row],[Units_Received]]-Inventory_Data[[#This Row],[Units_Sold]]</f>
        <v>28</v>
      </c>
      <c r="J126">
        <v>0</v>
      </c>
      <c r="K126">
        <v>12</v>
      </c>
      <c r="L126" t="s">
        <v>56</v>
      </c>
      <c r="M126" s="3">
        <v>46.97</v>
      </c>
      <c r="N126" s="3">
        <v>67.62</v>
      </c>
      <c r="O126" s="10" t="str">
        <f>TEXT(Inventory_Data[[#This Row],[Date]],"mmm")</f>
        <v>Jan</v>
      </c>
    </row>
    <row r="127" spans="1:15" x14ac:dyDescent="0.2">
      <c r="A127" s="21">
        <v>45677</v>
      </c>
      <c r="B127" s="5" t="s">
        <v>138</v>
      </c>
      <c r="C127" t="s">
        <v>139</v>
      </c>
      <c r="D127" t="s">
        <v>34</v>
      </c>
      <c r="E127" t="s">
        <v>17</v>
      </c>
      <c r="F127">
        <v>295</v>
      </c>
      <c r="G127">
        <v>191</v>
      </c>
      <c r="H127">
        <v>56</v>
      </c>
      <c r="I127">
        <f>Inventory_Data[[#This Row],[Opening_Stock]]+Inventory_Data[[#This Row],[Units_Received]]-Inventory_Data[[#This Row],[Units_Sold]]</f>
        <v>430</v>
      </c>
      <c r="J127">
        <v>0</v>
      </c>
      <c r="K127">
        <v>5</v>
      </c>
      <c r="L127" t="s">
        <v>39</v>
      </c>
      <c r="M127" s="3">
        <v>15.39</v>
      </c>
      <c r="N127" s="3">
        <v>18.739999999999998</v>
      </c>
      <c r="O127" s="10" t="str">
        <f>TEXT(Inventory_Data[[#This Row],[Date]],"mmm")</f>
        <v>Jan</v>
      </c>
    </row>
    <row r="128" spans="1:15" x14ac:dyDescent="0.2">
      <c r="A128" s="21">
        <v>45678</v>
      </c>
      <c r="B128" s="5" t="s">
        <v>94</v>
      </c>
      <c r="C128" t="s">
        <v>95</v>
      </c>
      <c r="D128" t="s">
        <v>16</v>
      </c>
      <c r="E128" t="s">
        <v>28</v>
      </c>
      <c r="F128">
        <v>54</v>
      </c>
      <c r="G128">
        <v>39</v>
      </c>
      <c r="H128">
        <v>12</v>
      </c>
      <c r="I128">
        <f>Inventory_Data[[#This Row],[Opening_Stock]]+Inventory_Data[[#This Row],[Units_Received]]-Inventory_Data[[#This Row],[Units_Sold]]</f>
        <v>81</v>
      </c>
      <c r="J128">
        <v>0</v>
      </c>
      <c r="K128">
        <v>7</v>
      </c>
      <c r="L128" t="s">
        <v>45</v>
      </c>
      <c r="M128" s="3">
        <v>130.27000000000001</v>
      </c>
      <c r="N128" s="3">
        <v>199.71</v>
      </c>
      <c r="O128" s="10" t="str">
        <f>TEXT(Inventory_Data[[#This Row],[Date]],"mmm")</f>
        <v>Jan</v>
      </c>
    </row>
    <row r="129" spans="1:15" x14ac:dyDescent="0.2">
      <c r="A129" s="21">
        <v>45678</v>
      </c>
      <c r="B129" s="5" t="s">
        <v>144</v>
      </c>
      <c r="C129" t="s">
        <v>145</v>
      </c>
      <c r="D129" t="s">
        <v>48</v>
      </c>
      <c r="E129" t="s">
        <v>17</v>
      </c>
      <c r="F129">
        <v>100</v>
      </c>
      <c r="G129">
        <v>114</v>
      </c>
      <c r="H129">
        <v>49</v>
      </c>
      <c r="I129">
        <f>Inventory_Data[[#This Row],[Opening_Stock]]+Inventory_Data[[#This Row],[Units_Received]]-Inventory_Data[[#This Row],[Units_Sold]]</f>
        <v>165</v>
      </c>
      <c r="J129">
        <v>0</v>
      </c>
      <c r="K129">
        <v>9</v>
      </c>
      <c r="L129" t="s">
        <v>49</v>
      </c>
      <c r="M129" s="3">
        <v>11.1</v>
      </c>
      <c r="N129" s="3">
        <v>12.96</v>
      </c>
      <c r="O129" s="10" t="str">
        <f>TEXT(Inventory_Data[[#This Row],[Date]],"mmm")</f>
        <v>Jan</v>
      </c>
    </row>
    <row r="130" spans="1:15" x14ac:dyDescent="0.2">
      <c r="A130" s="21">
        <v>45678</v>
      </c>
      <c r="B130" s="5" t="s">
        <v>126</v>
      </c>
      <c r="C130" t="s">
        <v>127</v>
      </c>
      <c r="D130" t="s">
        <v>34</v>
      </c>
      <c r="E130" t="s">
        <v>17</v>
      </c>
      <c r="F130">
        <v>185</v>
      </c>
      <c r="G130">
        <v>74</v>
      </c>
      <c r="H130">
        <v>66</v>
      </c>
      <c r="I130">
        <f>Inventory_Data[[#This Row],[Opening_Stock]]+Inventory_Data[[#This Row],[Units_Received]]-Inventory_Data[[#This Row],[Units_Sold]]</f>
        <v>193</v>
      </c>
      <c r="J130">
        <v>0</v>
      </c>
      <c r="K130">
        <v>3</v>
      </c>
      <c r="L130" t="s">
        <v>42</v>
      </c>
      <c r="M130" s="3">
        <v>6.85</v>
      </c>
      <c r="N130" s="3">
        <v>9.7200000000000006</v>
      </c>
      <c r="O130" s="10" t="str">
        <f>TEXT(Inventory_Data[[#This Row],[Date]],"mmm")</f>
        <v>Jan</v>
      </c>
    </row>
    <row r="131" spans="1:15" x14ac:dyDescent="0.2">
      <c r="A131" s="21">
        <v>45678</v>
      </c>
      <c r="B131" s="5" t="s">
        <v>40</v>
      </c>
      <c r="C131" t="s">
        <v>41</v>
      </c>
      <c r="D131" t="s">
        <v>34</v>
      </c>
      <c r="E131" t="s">
        <v>35</v>
      </c>
      <c r="F131">
        <v>96</v>
      </c>
      <c r="G131">
        <v>43</v>
      </c>
      <c r="H131">
        <v>139</v>
      </c>
      <c r="I131">
        <f>Inventory_Data[[#This Row],[Opening_Stock]]+Inventory_Data[[#This Row],[Units_Received]]-Inventory_Data[[#This Row],[Units_Sold]]</f>
        <v>0</v>
      </c>
      <c r="J131">
        <v>1</v>
      </c>
      <c r="K131">
        <v>12</v>
      </c>
      <c r="L131" t="s">
        <v>42</v>
      </c>
      <c r="M131" s="3">
        <v>28.07</v>
      </c>
      <c r="N131" s="3">
        <v>35.840000000000003</v>
      </c>
      <c r="O131" s="10" t="str">
        <f>TEXT(Inventory_Data[[#This Row],[Date]],"mmm")</f>
        <v>Jan</v>
      </c>
    </row>
    <row r="132" spans="1:15" x14ac:dyDescent="0.2">
      <c r="A132" s="21">
        <v>45679</v>
      </c>
      <c r="B132" s="5" t="s">
        <v>166</v>
      </c>
      <c r="C132" t="s">
        <v>167</v>
      </c>
      <c r="D132" t="s">
        <v>16</v>
      </c>
      <c r="E132" t="s">
        <v>21</v>
      </c>
      <c r="F132">
        <v>47</v>
      </c>
      <c r="G132">
        <v>45</v>
      </c>
      <c r="H132">
        <v>68</v>
      </c>
      <c r="I132">
        <f>Inventory_Data[[#This Row],[Opening_Stock]]+Inventory_Data[[#This Row],[Units_Received]]-Inventory_Data[[#This Row],[Units_Sold]]</f>
        <v>24</v>
      </c>
      <c r="J132">
        <v>0</v>
      </c>
      <c r="K132">
        <v>3</v>
      </c>
      <c r="L132" t="s">
        <v>45</v>
      </c>
      <c r="M132" s="3">
        <v>50.42</v>
      </c>
      <c r="N132" s="3">
        <v>65.2</v>
      </c>
      <c r="O132" s="10" t="str">
        <f>TEXT(Inventory_Data[[#This Row],[Date]],"mmm")</f>
        <v>Jan</v>
      </c>
    </row>
    <row r="133" spans="1:15" x14ac:dyDescent="0.2">
      <c r="A133" s="21">
        <v>45679</v>
      </c>
      <c r="B133" s="5" t="s">
        <v>94</v>
      </c>
      <c r="C133" t="s">
        <v>95</v>
      </c>
      <c r="D133" t="s">
        <v>16</v>
      </c>
      <c r="E133" t="s">
        <v>35</v>
      </c>
      <c r="F133">
        <v>178</v>
      </c>
      <c r="G133">
        <v>19</v>
      </c>
      <c r="H133">
        <v>80</v>
      </c>
      <c r="I133">
        <f>Inventory_Data[[#This Row],[Opening_Stock]]+Inventory_Data[[#This Row],[Units_Received]]-Inventory_Data[[#This Row],[Units_Sold]]</f>
        <v>117</v>
      </c>
      <c r="J133">
        <v>0</v>
      </c>
      <c r="K133">
        <v>5</v>
      </c>
      <c r="L133" t="s">
        <v>24</v>
      </c>
      <c r="M133" s="3">
        <v>122.69</v>
      </c>
      <c r="N133" s="3">
        <v>144.34</v>
      </c>
      <c r="O133" s="10" t="str">
        <f>TEXT(Inventory_Data[[#This Row],[Date]],"mmm")</f>
        <v>Jan</v>
      </c>
    </row>
    <row r="134" spans="1:15" x14ac:dyDescent="0.2">
      <c r="A134" s="21">
        <v>45679</v>
      </c>
      <c r="B134" s="5" t="s">
        <v>124</v>
      </c>
      <c r="C134" t="s">
        <v>125</v>
      </c>
      <c r="D134" t="s">
        <v>52</v>
      </c>
      <c r="E134" t="s">
        <v>17</v>
      </c>
      <c r="F134">
        <v>56</v>
      </c>
      <c r="G134">
        <v>5</v>
      </c>
      <c r="H134">
        <v>12</v>
      </c>
      <c r="I134">
        <f>Inventory_Data[[#This Row],[Opening_Stock]]+Inventory_Data[[#This Row],[Units_Received]]-Inventory_Data[[#This Row],[Units_Sold]]</f>
        <v>49</v>
      </c>
      <c r="J134">
        <v>0</v>
      </c>
      <c r="K134">
        <v>7</v>
      </c>
      <c r="L134" t="s">
        <v>56</v>
      </c>
      <c r="M134" s="3">
        <v>262.81</v>
      </c>
      <c r="N134" s="3">
        <v>369.58</v>
      </c>
      <c r="O134" s="10" t="str">
        <f>TEXT(Inventory_Data[[#This Row],[Date]],"mmm")</f>
        <v>Jan</v>
      </c>
    </row>
    <row r="135" spans="1:15" x14ac:dyDescent="0.2">
      <c r="A135" s="21">
        <v>45679</v>
      </c>
      <c r="B135" s="5" t="s">
        <v>67</v>
      </c>
      <c r="C135" t="s">
        <v>68</v>
      </c>
      <c r="D135" t="s">
        <v>52</v>
      </c>
      <c r="E135" t="s">
        <v>28</v>
      </c>
      <c r="F135">
        <v>36</v>
      </c>
      <c r="G135">
        <v>16</v>
      </c>
      <c r="H135">
        <v>3</v>
      </c>
      <c r="I135">
        <f>Inventory_Data[[#This Row],[Opening_Stock]]+Inventory_Data[[#This Row],[Units_Received]]-Inventory_Data[[#This Row],[Units_Sold]]</f>
        <v>49</v>
      </c>
      <c r="J135">
        <v>0</v>
      </c>
      <c r="K135">
        <v>9</v>
      </c>
      <c r="L135" t="s">
        <v>53</v>
      </c>
      <c r="M135" s="3">
        <v>126.18</v>
      </c>
      <c r="N135" s="3">
        <v>175.91</v>
      </c>
      <c r="O135" s="10" t="str">
        <f>TEXT(Inventory_Data[[#This Row],[Date]],"mmm")</f>
        <v>Jan</v>
      </c>
    </row>
    <row r="136" spans="1:15" x14ac:dyDescent="0.2">
      <c r="A136" s="21">
        <v>45679</v>
      </c>
      <c r="B136" s="5" t="s">
        <v>40</v>
      </c>
      <c r="C136" t="s">
        <v>41</v>
      </c>
      <c r="D136" t="s">
        <v>34</v>
      </c>
      <c r="E136" t="s">
        <v>35</v>
      </c>
      <c r="F136">
        <v>164</v>
      </c>
      <c r="G136">
        <v>194</v>
      </c>
      <c r="H136">
        <v>162</v>
      </c>
      <c r="I136">
        <f>Inventory_Data[[#This Row],[Opening_Stock]]+Inventory_Data[[#This Row],[Units_Received]]-Inventory_Data[[#This Row],[Units_Sold]]</f>
        <v>196</v>
      </c>
      <c r="J136">
        <v>0</v>
      </c>
      <c r="K136">
        <v>3</v>
      </c>
      <c r="L136" t="s">
        <v>36</v>
      </c>
      <c r="M136" s="3">
        <v>15.08</v>
      </c>
      <c r="N136" s="3">
        <v>22.35</v>
      </c>
      <c r="O136" s="10" t="str">
        <f>TEXT(Inventory_Data[[#This Row],[Date]],"mmm")</f>
        <v>Jan</v>
      </c>
    </row>
    <row r="137" spans="1:15" x14ac:dyDescent="0.2">
      <c r="A137" s="21">
        <v>45679</v>
      </c>
      <c r="B137" s="5" t="s">
        <v>168</v>
      </c>
      <c r="C137" t="s">
        <v>169</v>
      </c>
      <c r="D137" t="s">
        <v>34</v>
      </c>
      <c r="E137" t="s">
        <v>28</v>
      </c>
      <c r="F137">
        <v>131</v>
      </c>
      <c r="G137">
        <v>56</v>
      </c>
      <c r="H137">
        <v>142</v>
      </c>
      <c r="I137">
        <f>Inventory_Data[[#This Row],[Opening_Stock]]+Inventory_Data[[#This Row],[Units_Received]]-Inventory_Data[[#This Row],[Units_Sold]]</f>
        <v>45</v>
      </c>
      <c r="J137">
        <v>0</v>
      </c>
      <c r="K137">
        <v>11</v>
      </c>
      <c r="L137" t="s">
        <v>36</v>
      </c>
      <c r="M137" s="3">
        <v>26.46</v>
      </c>
      <c r="N137" s="3">
        <v>38.520000000000003</v>
      </c>
      <c r="O137" s="10" t="str">
        <f>TEXT(Inventory_Data[[#This Row],[Date]],"mmm")</f>
        <v>Jan</v>
      </c>
    </row>
    <row r="138" spans="1:15" x14ac:dyDescent="0.2">
      <c r="A138" s="21">
        <v>45680</v>
      </c>
      <c r="B138" s="5" t="s">
        <v>170</v>
      </c>
      <c r="C138" t="s">
        <v>171</v>
      </c>
      <c r="D138" t="s">
        <v>48</v>
      </c>
      <c r="E138" t="s">
        <v>35</v>
      </c>
      <c r="F138">
        <v>79</v>
      </c>
      <c r="G138">
        <v>108</v>
      </c>
      <c r="H138">
        <v>70</v>
      </c>
      <c r="I138">
        <f>Inventory_Data[[#This Row],[Opening_Stock]]+Inventory_Data[[#This Row],[Units_Received]]-Inventory_Data[[#This Row],[Units_Sold]]</f>
        <v>117</v>
      </c>
      <c r="J138">
        <v>0</v>
      </c>
      <c r="K138">
        <v>6</v>
      </c>
      <c r="L138" t="s">
        <v>63</v>
      </c>
      <c r="M138" s="3">
        <v>16.100000000000001</v>
      </c>
      <c r="N138" s="3">
        <v>19</v>
      </c>
      <c r="O138" s="10" t="str">
        <f>TEXT(Inventory_Data[[#This Row],[Date]],"mmm")</f>
        <v>Jan</v>
      </c>
    </row>
    <row r="139" spans="1:15" x14ac:dyDescent="0.2">
      <c r="A139" s="21">
        <v>45680</v>
      </c>
      <c r="B139" s="5" t="s">
        <v>148</v>
      </c>
      <c r="C139" t="s">
        <v>149</v>
      </c>
      <c r="D139" t="s">
        <v>27</v>
      </c>
      <c r="E139" t="s">
        <v>21</v>
      </c>
      <c r="F139">
        <v>311</v>
      </c>
      <c r="G139">
        <v>165</v>
      </c>
      <c r="H139">
        <v>106</v>
      </c>
      <c r="I139">
        <f>Inventory_Data[[#This Row],[Opening_Stock]]+Inventory_Data[[#This Row],[Units_Received]]-Inventory_Data[[#This Row],[Units_Sold]]</f>
        <v>370</v>
      </c>
      <c r="J139">
        <v>0</v>
      </c>
      <c r="K139">
        <v>5</v>
      </c>
      <c r="L139" t="s">
        <v>80</v>
      </c>
      <c r="M139" s="3">
        <v>18.54</v>
      </c>
      <c r="N139" s="3">
        <v>25.38</v>
      </c>
      <c r="O139" s="10" t="str">
        <f>TEXT(Inventory_Data[[#This Row],[Date]],"mmm")</f>
        <v>Jan</v>
      </c>
    </row>
    <row r="140" spans="1:15" x14ac:dyDescent="0.2">
      <c r="A140" s="21">
        <v>45680</v>
      </c>
      <c r="B140" s="5" t="s">
        <v>50</v>
      </c>
      <c r="C140" t="s">
        <v>51</v>
      </c>
      <c r="D140" t="s">
        <v>52</v>
      </c>
      <c r="E140" t="s">
        <v>35</v>
      </c>
      <c r="F140">
        <v>51</v>
      </c>
      <c r="G140">
        <v>6</v>
      </c>
      <c r="H140">
        <v>11</v>
      </c>
      <c r="I140">
        <f>Inventory_Data[[#This Row],[Opening_Stock]]+Inventory_Data[[#This Row],[Units_Received]]-Inventory_Data[[#This Row],[Units_Sold]]</f>
        <v>46</v>
      </c>
      <c r="J140">
        <v>0</v>
      </c>
      <c r="K140">
        <v>2</v>
      </c>
      <c r="L140" t="s">
        <v>56</v>
      </c>
      <c r="M140" s="3">
        <v>210.99</v>
      </c>
      <c r="N140" s="3">
        <v>279.93</v>
      </c>
      <c r="O140" s="10" t="str">
        <f>TEXT(Inventory_Data[[#This Row],[Date]],"mmm")</f>
        <v>Jan</v>
      </c>
    </row>
    <row r="141" spans="1:15" x14ac:dyDescent="0.2">
      <c r="A141" s="21">
        <v>45680</v>
      </c>
      <c r="B141" s="5" t="s">
        <v>54</v>
      </c>
      <c r="C141" t="s">
        <v>55</v>
      </c>
      <c r="D141" t="s">
        <v>52</v>
      </c>
      <c r="E141" t="s">
        <v>35</v>
      </c>
      <c r="F141">
        <v>39</v>
      </c>
      <c r="G141">
        <v>22</v>
      </c>
      <c r="H141">
        <v>10</v>
      </c>
      <c r="I141">
        <f>Inventory_Data[[#This Row],[Opening_Stock]]+Inventory_Data[[#This Row],[Units_Received]]-Inventory_Data[[#This Row],[Units_Sold]]</f>
        <v>51</v>
      </c>
      <c r="J141">
        <v>0</v>
      </c>
      <c r="K141">
        <v>9</v>
      </c>
      <c r="L141" t="s">
        <v>53</v>
      </c>
      <c r="M141" s="3">
        <v>85.89</v>
      </c>
      <c r="N141" s="3">
        <v>130.02000000000001</v>
      </c>
      <c r="O141" s="10" t="str">
        <f>TEXT(Inventory_Data[[#This Row],[Date]],"mmm")</f>
        <v>Jan</v>
      </c>
    </row>
    <row r="142" spans="1:15" x14ac:dyDescent="0.2">
      <c r="A142" s="21">
        <v>45680</v>
      </c>
      <c r="B142" s="5" t="s">
        <v>32</v>
      </c>
      <c r="C142" t="s">
        <v>33</v>
      </c>
      <c r="D142" t="s">
        <v>34</v>
      </c>
      <c r="E142" t="s">
        <v>28</v>
      </c>
      <c r="F142">
        <v>132</v>
      </c>
      <c r="G142">
        <v>127</v>
      </c>
      <c r="H142">
        <v>71</v>
      </c>
      <c r="I142">
        <f>Inventory_Data[[#This Row],[Opening_Stock]]+Inventory_Data[[#This Row],[Units_Received]]-Inventory_Data[[#This Row],[Units_Sold]]</f>
        <v>188</v>
      </c>
      <c r="J142">
        <v>0</v>
      </c>
      <c r="K142">
        <v>8</v>
      </c>
      <c r="L142" t="s">
        <v>39</v>
      </c>
      <c r="M142" s="3">
        <v>26.44</v>
      </c>
      <c r="N142" s="3">
        <v>30.83</v>
      </c>
      <c r="O142" s="10" t="str">
        <f>TEXT(Inventory_Data[[#This Row],[Date]],"mmm")</f>
        <v>Jan</v>
      </c>
    </row>
    <row r="143" spans="1:15" x14ac:dyDescent="0.2">
      <c r="A143" s="21">
        <v>45681</v>
      </c>
      <c r="B143" s="5" t="s">
        <v>120</v>
      </c>
      <c r="C143" t="s">
        <v>121</v>
      </c>
      <c r="D143" t="s">
        <v>16</v>
      </c>
      <c r="E143" t="s">
        <v>28</v>
      </c>
      <c r="F143">
        <v>102</v>
      </c>
      <c r="G143">
        <v>57</v>
      </c>
      <c r="H143">
        <v>26</v>
      </c>
      <c r="I143">
        <f>Inventory_Data[[#This Row],[Opening_Stock]]+Inventory_Data[[#This Row],[Units_Received]]-Inventory_Data[[#This Row],[Units_Sold]]</f>
        <v>133</v>
      </c>
      <c r="J143">
        <v>0</v>
      </c>
      <c r="K143">
        <v>12</v>
      </c>
      <c r="L143" t="s">
        <v>24</v>
      </c>
      <c r="M143" s="3">
        <v>21.9</v>
      </c>
      <c r="N143" s="3">
        <v>31.09</v>
      </c>
      <c r="O143" s="10" t="str">
        <f>TEXT(Inventory_Data[[#This Row],[Date]],"mmm")</f>
        <v>Jan</v>
      </c>
    </row>
    <row r="144" spans="1:15" x14ac:dyDescent="0.2">
      <c r="A144" s="21">
        <v>45681</v>
      </c>
      <c r="B144" s="5" t="s">
        <v>46</v>
      </c>
      <c r="C144" t="s">
        <v>47</v>
      </c>
      <c r="D144" t="s">
        <v>48</v>
      </c>
      <c r="E144" t="s">
        <v>28</v>
      </c>
      <c r="F144">
        <v>236</v>
      </c>
      <c r="G144">
        <v>99</v>
      </c>
      <c r="H144">
        <v>16</v>
      </c>
      <c r="I144">
        <f>Inventory_Data[[#This Row],[Opening_Stock]]+Inventory_Data[[#This Row],[Units_Received]]-Inventory_Data[[#This Row],[Units_Sold]]</f>
        <v>319</v>
      </c>
      <c r="J144">
        <v>0</v>
      </c>
      <c r="K144">
        <v>8</v>
      </c>
      <c r="L144" t="s">
        <v>77</v>
      </c>
      <c r="M144" s="3">
        <v>80.91</v>
      </c>
      <c r="N144" s="3">
        <v>123.4</v>
      </c>
      <c r="O144" s="10" t="str">
        <f>TEXT(Inventory_Data[[#This Row],[Date]],"mmm")</f>
        <v>Jan</v>
      </c>
    </row>
    <row r="145" spans="1:15" x14ac:dyDescent="0.2">
      <c r="A145" s="21">
        <v>45682</v>
      </c>
      <c r="B145" s="5" t="s">
        <v>162</v>
      </c>
      <c r="C145" t="s">
        <v>163</v>
      </c>
      <c r="D145" t="s">
        <v>16</v>
      </c>
      <c r="E145" t="s">
        <v>28</v>
      </c>
      <c r="F145">
        <v>46</v>
      </c>
      <c r="G145">
        <v>82</v>
      </c>
      <c r="H145">
        <v>75</v>
      </c>
      <c r="I145">
        <f>Inventory_Data[[#This Row],[Opening_Stock]]+Inventory_Data[[#This Row],[Units_Received]]-Inventory_Data[[#This Row],[Units_Sold]]</f>
        <v>53</v>
      </c>
      <c r="J145">
        <v>0</v>
      </c>
      <c r="K145">
        <v>11</v>
      </c>
      <c r="L145" t="s">
        <v>18</v>
      </c>
      <c r="M145" s="3">
        <v>65.28</v>
      </c>
      <c r="N145" s="3">
        <v>93.47</v>
      </c>
      <c r="O145" s="10" t="str">
        <f>TEXT(Inventory_Data[[#This Row],[Date]],"mmm")</f>
        <v>Jan</v>
      </c>
    </row>
    <row r="146" spans="1:15" x14ac:dyDescent="0.2">
      <c r="A146" s="21">
        <v>45682</v>
      </c>
      <c r="B146" s="5" t="s">
        <v>46</v>
      </c>
      <c r="C146" t="s">
        <v>47</v>
      </c>
      <c r="D146" t="s">
        <v>48</v>
      </c>
      <c r="E146" t="s">
        <v>35</v>
      </c>
      <c r="F146">
        <v>135</v>
      </c>
      <c r="G146">
        <v>147</v>
      </c>
      <c r="H146">
        <v>35</v>
      </c>
      <c r="I146">
        <f>Inventory_Data[[#This Row],[Opening_Stock]]+Inventory_Data[[#This Row],[Units_Received]]-Inventory_Data[[#This Row],[Units_Sold]]</f>
        <v>247</v>
      </c>
      <c r="J146">
        <v>0</v>
      </c>
      <c r="K146">
        <v>3</v>
      </c>
      <c r="L146" t="s">
        <v>77</v>
      </c>
      <c r="M146" s="3">
        <v>68.010000000000005</v>
      </c>
      <c r="N146" s="3">
        <v>82.69</v>
      </c>
      <c r="O146" s="10" t="str">
        <f>TEXT(Inventory_Data[[#This Row],[Date]],"mmm")</f>
        <v>Jan</v>
      </c>
    </row>
    <row r="147" spans="1:15" x14ac:dyDescent="0.2">
      <c r="A147" s="21">
        <v>45682</v>
      </c>
      <c r="B147" s="5" t="s">
        <v>172</v>
      </c>
      <c r="C147" t="s">
        <v>173</v>
      </c>
      <c r="D147" t="s">
        <v>27</v>
      </c>
      <c r="E147" t="s">
        <v>35</v>
      </c>
      <c r="F147">
        <v>135</v>
      </c>
      <c r="G147">
        <v>104</v>
      </c>
      <c r="H147">
        <v>31</v>
      </c>
      <c r="I147">
        <f>Inventory_Data[[#This Row],[Opening_Stock]]+Inventory_Data[[#This Row],[Units_Received]]-Inventory_Data[[#This Row],[Units_Sold]]</f>
        <v>208</v>
      </c>
      <c r="J147">
        <v>0</v>
      </c>
      <c r="K147">
        <v>5</v>
      </c>
      <c r="L147" t="s">
        <v>80</v>
      </c>
      <c r="M147" s="3">
        <v>24.12</v>
      </c>
      <c r="N147" s="3">
        <v>33.020000000000003</v>
      </c>
      <c r="O147" s="10" t="str">
        <f>TEXT(Inventory_Data[[#This Row],[Date]],"mmm")</f>
        <v>Jan</v>
      </c>
    </row>
    <row r="148" spans="1:15" x14ac:dyDescent="0.2">
      <c r="A148" s="21">
        <v>45682</v>
      </c>
      <c r="B148" s="5" t="s">
        <v>50</v>
      </c>
      <c r="C148" t="s">
        <v>51</v>
      </c>
      <c r="D148" t="s">
        <v>52</v>
      </c>
      <c r="E148" t="s">
        <v>21</v>
      </c>
      <c r="F148">
        <v>59</v>
      </c>
      <c r="G148">
        <v>7</v>
      </c>
      <c r="H148">
        <v>20</v>
      </c>
      <c r="I148">
        <f>Inventory_Data[[#This Row],[Opening_Stock]]+Inventory_Data[[#This Row],[Units_Received]]-Inventory_Data[[#This Row],[Units_Sold]]</f>
        <v>46</v>
      </c>
      <c r="J148">
        <v>0</v>
      </c>
      <c r="K148">
        <v>2</v>
      </c>
      <c r="L148" t="s">
        <v>53</v>
      </c>
      <c r="M148" s="3">
        <v>66.22</v>
      </c>
      <c r="N148" s="3">
        <v>86.53</v>
      </c>
      <c r="O148" s="10" t="str">
        <f>TEXT(Inventory_Data[[#This Row],[Date]],"mmm")</f>
        <v>Jan</v>
      </c>
    </row>
    <row r="149" spans="1:15" x14ac:dyDescent="0.2">
      <c r="A149" s="21">
        <v>45682</v>
      </c>
      <c r="B149" s="5" t="s">
        <v>54</v>
      </c>
      <c r="C149" t="s">
        <v>55</v>
      </c>
      <c r="D149" t="s">
        <v>52</v>
      </c>
      <c r="E149" t="s">
        <v>28</v>
      </c>
      <c r="F149">
        <v>33</v>
      </c>
      <c r="G149">
        <v>17</v>
      </c>
      <c r="H149">
        <v>5</v>
      </c>
      <c r="I149">
        <f>Inventory_Data[[#This Row],[Opening_Stock]]+Inventory_Data[[#This Row],[Units_Received]]-Inventory_Data[[#This Row],[Units_Sold]]</f>
        <v>45</v>
      </c>
      <c r="J149">
        <v>0</v>
      </c>
      <c r="K149">
        <v>6</v>
      </c>
      <c r="L149" t="s">
        <v>56</v>
      </c>
      <c r="M149" s="3">
        <v>128.03</v>
      </c>
      <c r="N149" s="3">
        <v>190.76</v>
      </c>
      <c r="O149" s="10" t="str">
        <f>TEXT(Inventory_Data[[#This Row],[Date]],"mmm")</f>
        <v>Jan</v>
      </c>
    </row>
    <row r="150" spans="1:15" x14ac:dyDescent="0.2">
      <c r="A150" s="21">
        <v>45682</v>
      </c>
      <c r="B150" s="5" t="s">
        <v>174</v>
      </c>
      <c r="C150" t="s">
        <v>175</v>
      </c>
      <c r="D150" t="s">
        <v>52</v>
      </c>
      <c r="E150" t="s">
        <v>21</v>
      </c>
      <c r="F150">
        <v>22</v>
      </c>
      <c r="G150">
        <v>12</v>
      </c>
      <c r="H150">
        <v>13</v>
      </c>
      <c r="I150">
        <f>Inventory_Data[[#This Row],[Opening_Stock]]+Inventory_Data[[#This Row],[Units_Received]]-Inventory_Data[[#This Row],[Units_Sold]]</f>
        <v>21</v>
      </c>
      <c r="J150">
        <v>0</v>
      </c>
      <c r="K150">
        <v>11</v>
      </c>
      <c r="L150" t="s">
        <v>53</v>
      </c>
      <c r="M150" s="3">
        <v>315.89999999999998</v>
      </c>
      <c r="N150" s="3">
        <v>486.11</v>
      </c>
      <c r="O150" s="10" t="str">
        <f>TEXT(Inventory_Data[[#This Row],[Date]],"mmm")</f>
        <v>Jan</v>
      </c>
    </row>
    <row r="151" spans="1:15" x14ac:dyDescent="0.2">
      <c r="A151" s="21">
        <v>45682</v>
      </c>
      <c r="B151" s="5" t="s">
        <v>57</v>
      </c>
      <c r="C151" t="s">
        <v>58</v>
      </c>
      <c r="D151" t="s">
        <v>52</v>
      </c>
      <c r="E151" t="s">
        <v>35</v>
      </c>
      <c r="F151">
        <v>57</v>
      </c>
      <c r="G151">
        <v>18</v>
      </c>
      <c r="H151">
        <v>19</v>
      </c>
      <c r="I151">
        <f>Inventory_Data[[#This Row],[Opening_Stock]]+Inventory_Data[[#This Row],[Units_Received]]-Inventory_Data[[#This Row],[Units_Sold]]</f>
        <v>56</v>
      </c>
      <c r="J151">
        <v>0</v>
      </c>
      <c r="K151">
        <v>4</v>
      </c>
      <c r="L151" t="s">
        <v>53</v>
      </c>
      <c r="M151" s="3">
        <v>164.7</v>
      </c>
      <c r="N151" s="3">
        <v>209.59</v>
      </c>
      <c r="O151" s="10" t="str">
        <f>TEXT(Inventory_Data[[#This Row],[Date]],"mmm")</f>
        <v>Jan</v>
      </c>
    </row>
    <row r="152" spans="1:15" x14ac:dyDescent="0.2">
      <c r="A152" s="21">
        <v>45682</v>
      </c>
      <c r="B152" s="5" t="s">
        <v>176</v>
      </c>
      <c r="C152" t="s">
        <v>177</v>
      </c>
      <c r="D152" t="s">
        <v>34</v>
      </c>
      <c r="E152" t="s">
        <v>17</v>
      </c>
      <c r="F152">
        <v>373</v>
      </c>
      <c r="G152">
        <v>203</v>
      </c>
      <c r="H152">
        <v>43</v>
      </c>
      <c r="I152">
        <f>Inventory_Data[[#This Row],[Opening_Stock]]+Inventory_Data[[#This Row],[Units_Received]]-Inventory_Data[[#This Row],[Units_Sold]]</f>
        <v>533</v>
      </c>
      <c r="J152">
        <v>0</v>
      </c>
      <c r="K152">
        <v>4</v>
      </c>
      <c r="L152" t="s">
        <v>42</v>
      </c>
      <c r="M152" s="3">
        <v>19.420000000000002</v>
      </c>
      <c r="N152" s="3">
        <v>22.66</v>
      </c>
      <c r="O152" s="10" t="str">
        <f>TEXT(Inventory_Data[[#This Row],[Date]],"mmm")</f>
        <v>Jan</v>
      </c>
    </row>
    <row r="153" spans="1:15" x14ac:dyDescent="0.2">
      <c r="A153" s="21">
        <v>45682</v>
      </c>
      <c r="B153" s="5" t="s">
        <v>176</v>
      </c>
      <c r="C153" t="s">
        <v>177</v>
      </c>
      <c r="D153" t="s">
        <v>34</v>
      </c>
      <c r="E153" t="s">
        <v>17</v>
      </c>
      <c r="F153">
        <v>256</v>
      </c>
      <c r="G153">
        <v>59</v>
      </c>
      <c r="H153">
        <v>102</v>
      </c>
      <c r="I153">
        <f>Inventory_Data[[#This Row],[Opening_Stock]]+Inventory_Data[[#This Row],[Units_Received]]-Inventory_Data[[#This Row],[Units_Sold]]</f>
        <v>213</v>
      </c>
      <c r="J153">
        <v>0</v>
      </c>
      <c r="K153">
        <v>12</v>
      </c>
      <c r="L153" t="s">
        <v>39</v>
      </c>
      <c r="M153" s="3">
        <v>18.25</v>
      </c>
      <c r="N153" s="3">
        <v>23.44</v>
      </c>
      <c r="O153" s="10" t="str">
        <f>TEXT(Inventory_Data[[#This Row],[Date]],"mmm")</f>
        <v>Jan</v>
      </c>
    </row>
    <row r="154" spans="1:15" x14ac:dyDescent="0.2">
      <c r="A154" s="21">
        <v>45683</v>
      </c>
      <c r="B154" s="5" t="s">
        <v>86</v>
      </c>
      <c r="C154" t="s">
        <v>87</v>
      </c>
      <c r="D154" t="s">
        <v>48</v>
      </c>
      <c r="E154" t="s">
        <v>17</v>
      </c>
      <c r="F154">
        <v>229</v>
      </c>
      <c r="G154">
        <v>122</v>
      </c>
      <c r="H154">
        <v>62</v>
      </c>
      <c r="I154">
        <f>Inventory_Data[[#This Row],[Opening_Stock]]+Inventory_Data[[#This Row],[Units_Received]]-Inventory_Data[[#This Row],[Units_Sold]]</f>
        <v>289</v>
      </c>
      <c r="J154">
        <v>0</v>
      </c>
      <c r="K154">
        <v>3</v>
      </c>
      <c r="L154" t="s">
        <v>77</v>
      </c>
      <c r="M154" s="3">
        <v>86.38</v>
      </c>
      <c r="N154" s="3">
        <v>101.77</v>
      </c>
      <c r="O154" s="10" t="str">
        <f>TEXT(Inventory_Data[[#This Row],[Date]],"mmm")</f>
        <v>Jan</v>
      </c>
    </row>
    <row r="155" spans="1:15" x14ac:dyDescent="0.2">
      <c r="A155" s="21">
        <v>45683</v>
      </c>
      <c r="B155" s="5" t="s">
        <v>146</v>
      </c>
      <c r="C155" t="s">
        <v>147</v>
      </c>
      <c r="D155" t="s">
        <v>48</v>
      </c>
      <c r="E155" t="s">
        <v>17</v>
      </c>
      <c r="F155">
        <v>67</v>
      </c>
      <c r="G155">
        <v>96</v>
      </c>
      <c r="H155">
        <v>10</v>
      </c>
      <c r="I155">
        <f>Inventory_Data[[#This Row],[Opening_Stock]]+Inventory_Data[[#This Row],[Units_Received]]-Inventory_Data[[#This Row],[Units_Sold]]</f>
        <v>153</v>
      </c>
      <c r="J155">
        <v>0</v>
      </c>
      <c r="K155">
        <v>13</v>
      </c>
      <c r="L155" t="s">
        <v>77</v>
      </c>
      <c r="M155" s="3">
        <v>23.44</v>
      </c>
      <c r="N155" s="3">
        <v>29.8</v>
      </c>
      <c r="O155" s="10" t="str">
        <f>TEXT(Inventory_Data[[#This Row],[Date]],"mmm")</f>
        <v>Jan</v>
      </c>
    </row>
    <row r="156" spans="1:15" x14ac:dyDescent="0.2">
      <c r="A156" s="21">
        <v>45683</v>
      </c>
      <c r="B156" s="5" t="s">
        <v>57</v>
      </c>
      <c r="C156" t="s">
        <v>58</v>
      </c>
      <c r="D156" t="s">
        <v>52</v>
      </c>
      <c r="E156" t="s">
        <v>35</v>
      </c>
      <c r="F156">
        <v>74</v>
      </c>
      <c r="G156">
        <v>19</v>
      </c>
      <c r="H156">
        <v>2</v>
      </c>
      <c r="I156">
        <f>Inventory_Data[[#This Row],[Opening_Stock]]+Inventory_Data[[#This Row],[Units_Received]]-Inventory_Data[[#This Row],[Units_Sold]]</f>
        <v>91</v>
      </c>
      <c r="J156">
        <v>0</v>
      </c>
      <c r="K156">
        <v>4</v>
      </c>
      <c r="L156" t="s">
        <v>83</v>
      </c>
      <c r="M156" s="3">
        <v>202.67</v>
      </c>
      <c r="N156" s="3">
        <v>279.72000000000003</v>
      </c>
      <c r="O156" s="10" t="str">
        <f>TEXT(Inventory_Data[[#This Row],[Date]],"mmm")</f>
        <v>Jan</v>
      </c>
    </row>
    <row r="157" spans="1:15" x14ac:dyDescent="0.2">
      <c r="A157" s="21">
        <v>45683</v>
      </c>
      <c r="B157" s="5" t="s">
        <v>102</v>
      </c>
      <c r="C157" t="s">
        <v>103</v>
      </c>
      <c r="D157" t="s">
        <v>52</v>
      </c>
      <c r="E157" t="s">
        <v>21</v>
      </c>
      <c r="F157">
        <v>50</v>
      </c>
      <c r="G157">
        <v>23</v>
      </c>
      <c r="H157">
        <v>4</v>
      </c>
      <c r="I157">
        <f>Inventory_Data[[#This Row],[Opening_Stock]]+Inventory_Data[[#This Row],[Units_Received]]-Inventory_Data[[#This Row],[Units_Sold]]</f>
        <v>69</v>
      </c>
      <c r="J157">
        <v>0</v>
      </c>
      <c r="K157">
        <v>3</v>
      </c>
      <c r="L157" t="s">
        <v>53</v>
      </c>
      <c r="M157" s="3">
        <v>116.23</v>
      </c>
      <c r="N157" s="3">
        <v>180.12</v>
      </c>
      <c r="O157" s="10" t="str">
        <f>TEXT(Inventory_Data[[#This Row],[Date]],"mmm")</f>
        <v>Jan</v>
      </c>
    </row>
    <row r="158" spans="1:15" x14ac:dyDescent="0.2">
      <c r="A158" s="21">
        <v>45683</v>
      </c>
      <c r="B158" s="5" t="s">
        <v>40</v>
      </c>
      <c r="C158" t="s">
        <v>41</v>
      </c>
      <c r="D158" t="s">
        <v>34</v>
      </c>
      <c r="E158" t="s">
        <v>35</v>
      </c>
      <c r="F158">
        <v>366</v>
      </c>
      <c r="G158">
        <v>105</v>
      </c>
      <c r="H158">
        <v>136</v>
      </c>
      <c r="I158">
        <f>Inventory_Data[[#This Row],[Opening_Stock]]+Inventory_Data[[#This Row],[Units_Received]]-Inventory_Data[[#This Row],[Units_Sold]]</f>
        <v>335</v>
      </c>
      <c r="J158">
        <v>0</v>
      </c>
      <c r="K158">
        <v>10</v>
      </c>
      <c r="L158" t="s">
        <v>42</v>
      </c>
      <c r="M158" s="3">
        <v>10.96</v>
      </c>
      <c r="N158" s="3">
        <v>16.829999999999998</v>
      </c>
      <c r="O158" s="10" t="str">
        <f>TEXT(Inventory_Data[[#This Row],[Date]],"mmm")</f>
        <v>Jan</v>
      </c>
    </row>
    <row r="159" spans="1:15" x14ac:dyDescent="0.2">
      <c r="A159" s="21">
        <v>45684</v>
      </c>
      <c r="B159" s="5" t="s">
        <v>106</v>
      </c>
      <c r="C159" t="s">
        <v>107</v>
      </c>
      <c r="D159" t="s">
        <v>16</v>
      </c>
      <c r="E159" t="s">
        <v>28</v>
      </c>
      <c r="F159">
        <v>50</v>
      </c>
      <c r="G159">
        <v>28</v>
      </c>
      <c r="H159">
        <v>72</v>
      </c>
      <c r="I159">
        <f>Inventory_Data[[#This Row],[Opening_Stock]]+Inventory_Data[[#This Row],[Units_Received]]-Inventory_Data[[#This Row],[Units_Sold]]</f>
        <v>6</v>
      </c>
      <c r="J159">
        <v>0</v>
      </c>
      <c r="K159">
        <v>9</v>
      </c>
      <c r="L159" t="s">
        <v>45</v>
      </c>
      <c r="M159" s="3">
        <v>138.68</v>
      </c>
      <c r="N159" s="3">
        <v>176.79</v>
      </c>
      <c r="O159" s="10" t="str">
        <f>TEXT(Inventory_Data[[#This Row],[Date]],"mmm")</f>
        <v>Jan</v>
      </c>
    </row>
    <row r="160" spans="1:15" x14ac:dyDescent="0.2">
      <c r="A160" s="21">
        <v>45684</v>
      </c>
      <c r="B160" s="5" t="s">
        <v>71</v>
      </c>
      <c r="C160" t="s">
        <v>72</v>
      </c>
      <c r="D160" t="s">
        <v>16</v>
      </c>
      <c r="E160" t="s">
        <v>35</v>
      </c>
      <c r="F160">
        <v>51</v>
      </c>
      <c r="G160">
        <v>82</v>
      </c>
      <c r="H160">
        <v>31</v>
      </c>
      <c r="I160">
        <f>Inventory_Data[[#This Row],[Opening_Stock]]+Inventory_Data[[#This Row],[Units_Received]]-Inventory_Data[[#This Row],[Units_Sold]]</f>
        <v>102</v>
      </c>
      <c r="J160">
        <v>0</v>
      </c>
      <c r="K160">
        <v>5</v>
      </c>
      <c r="L160" t="s">
        <v>24</v>
      </c>
      <c r="M160" s="3">
        <v>93.48</v>
      </c>
      <c r="N160" s="3">
        <v>129.53</v>
      </c>
      <c r="O160" s="10" t="str">
        <f>TEXT(Inventory_Data[[#This Row],[Date]],"mmm")</f>
        <v>Jan</v>
      </c>
    </row>
    <row r="161" spans="1:15" x14ac:dyDescent="0.2">
      <c r="A161" s="21">
        <v>45684</v>
      </c>
      <c r="B161" s="5" t="s">
        <v>162</v>
      </c>
      <c r="C161" t="s">
        <v>163</v>
      </c>
      <c r="D161" t="s">
        <v>16</v>
      </c>
      <c r="E161" t="s">
        <v>21</v>
      </c>
      <c r="F161">
        <v>35</v>
      </c>
      <c r="G161">
        <v>63</v>
      </c>
      <c r="H161">
        <v>47</v>
      </c>
      <c r="I161">
        <f>Inventory_Data[[#This Row],[Opening_Stock]]+Inventory_Data[[#This Row],[Units_Received]]-Inventory_Data[[#This Row],[Units_Sold]]</f>
        <v>51</v>
      </c>
      <c r="J161">
        <v>0</v>
      </c>
      <c r="K161">
        <v>11</v>
      </c>
      <c r="L161" t="s">
        <v>24</v>
      </c>
      <c r="M161" s="3">
        <v>150.99</v>
      </c>
      <c r="N161" s="3">
        <v>198.29</v>
      </c>
      <c r="O161" s="10" t="str">
        <f>TEXT(Inventory_Data[[#This Row],[Date]],"mmm")</f>
        <v>Jan</v>
      </c>
    </row>
    <row r="162" spans="1:15" x14ac:dyDescent="0.2">
      <c r="A162" s="21">
        <v>45684</v>
      </c>
      <c r="B162" s="5" t="s">
        <v>90</v>
      </c>
      <c r="C162" t="s">
        <v>91</v>
      </c>
      <c r="D162" t="s">
        <v>48</v>
      </c>
      <c r="E162" t="s">
        <v>35</v>
      </c>
      <c r="F162">
        <v>206</v>
      </c>
      <c r="G162">
        <v>145</v>
      </c>
      <c r="H162">
        <v>66</v>
      </c>
      <c r="I162">
        <f>Inventory_Data[[#This Row],[Opening_Stock]]+Inventory_Data[[#This Row],[Units_Received]]-Inventory_Data[[#This Row],[Units_Sold]]</f>
        <v>285</v>
      </c>
      <c r="J162">
        <v>0</v>
      </c>
      <c r="K162">
        <v>2</v>
      </c>
      <c r="L162" t="s">
        <v>49</v>
      </c>
      <c r="M162" s="3">
        <v>10.53</v>
      </c>
      <c r="N162" s="3">
        <v>12.33</v>
      </c>
      <c r="O162" s="10" t="str">
        <f>TEXT(Inventory_Data[[#This Row],[Date]],"mmm")</f>
        <v>Jan</v>
      </c>
    </row>
    <row r="163" spans="1:15" x14ac:dyDescent="0.2">
      <c r="A163" s="21">
        <v>45684</v>
      </c>
      <c r="B163" s="5" t="s">
        <v>59</v>
      </c>
      <c r="C163" t="s">
        <v>60</v>
      </c>
      <c r="D163" t="s">
        <v>34</v>
      </c>
      <c r="E163" t="s">
        <v>21</v>
      </c>
      <c r="F163">
        <v>100</v>
      </c>
      <c r="G163">
        <v>33</v>
      </c>
      <c r="H163">
        <v>133</v>
      </c>
      <c r="I163">
        <f>Inventory_Data[[#This Row],[Opening_Stock]]+Inventory_Data[[#This Row],[Units_Received]]-Inventory_Data[[#This Row],[Units_Sold]]</f>
        <v>0</v>
      </c>
      <c r="J163">
        <v>1</v>
      </c>
      <c r="K163">
        <v>9</v>
      </c>
      <c r="L163" t="s">
        <v>39</v>
      </c>
      <c r="M163" s="3">
        <v>19.82</v>
      </c>
      <c r="N163" s="3">
        <v>27.29</v>
      </c>
      <c r="O163" s="10" t="str">
        <f>TEXT(Inventory_Data[[#This Row],[Date]],"mmm")</f>
        <v>Jan</v>
      </c>
    </row>
    <row r="164" spans="1:15" x14ac:dyDescent="0.2">
      <c r="A164" s="21">
        <v>45685</v>
      </c>
      <c r="B164" s="5" t="s">
        <v>106</v>
      </c>
      <c r="C164" t="s">
        <v>107</v>
      </c>
      <c r="D164" t="s">
        <v>16</v>
      </c>
      <c r="E164" t="s">
        <v>28</v>
      </c>
      <c r="F164">
        <v>150</v>
      </c>
      <c r="G164">
        <v>71</v>
      </c>
      <c r="H164">
        <v>68</v>
      </c>
      <c r="I164">
        <f>Inventory_Data[[#This Row],[Opening_Stock]]+Inventory_Data[[#This Row],[Units_Received]]-Inventory_Data[[#This Row],[Units_Sold]]</f>
        <v>153</v>
      </c>
      <c r="J164">
        <v>0</v>
      </c>
      <c r="K164">
        <v>7</v>
      </c>
      <c r="L164" t="s">
        <v>18</v>
      </c>
      <c r="M164" s="3">
        <v>18.47</v>
      </c>
      <c r="N164" s="3">
        <v>27.96</v>
      </c>
      <c r="O164" s="10" t="str">
        <f>TEXT(Inventory_Data[[#This Row],[Date]],"mmm")</f>
        <v>Jan</v>
      </c>
    </row>
    <row r="165" spans="1:15" x14ac:dyDescent="0.2">
      <c r="A165" s="21">
        <v>45685</v>
      </c>
      <c r="B165" s="5" t="s">
        <v>146</v>
      </c>
      <c r="C165" t="s">
        <v>147</v>
      </c>
      <c r="D165" t="s">
        <v>48</v>
      </c>
      <c r="E165" t="s">
        <v>21</v>
      </c>
      <c r="F165">
        <v>193</v>
      </c>
      <c r="G165">
        <v>121</v>
      </c>
      <c r="H165">
        <v>92</v>
      </c>
      <c r="I165">
        <f>Inventory_Data[[#This Row],[Opening_Stock]]+Inventory_Data[[#This Row],[Units_Received]]-Inventory_Data[[#This Row],[Units_Sold]]</f>
        <v>222</v>
      </c>
      <c r="J165">
        <v>0</v>
      </c>
      <c r="K165">
        <v>4</v>
      </c>
      <c r="L165" t="s">
        <v>77</v>
      </c>
      <c r="M165" s="3">
        <v>75.739999999999995</v>
      </c>
      <c r="N165" s="3">
        <v>108.29</v>
      </c>
      <c r="O165" s="10" t="str">
        <f>TEXT(Inventory_Data[[#This Row],[Date]],"mmm")</f>
        <v>Jan</v>
      </c>
    </row>
    <row r="166" spans="1:15" x14ac:dyDescent="0.2">
      <c r="A166" s="21">
        <v>45685</v>
      </c>
      <c r="B166" s="5" t="s">
        <v>164</v>
      </c>
      <c r="C166" t="s">
        <v>165</v>
      </c>
      <c r="D166" t="s">
        <v>48</v>
      </c>
      <c r="E166" t="s">
        <v>21</v>
      </c>
      <c r="F166">
        <v>94</v>
      </c>
      <c r="G166">
        <v>141</v>
      </c>
      <c r="H166">
        <v>106</v>
      </c>
      <c r="I166">
        <f>Inventory_Data[[#This Row],[Opening_Stock]]+Inventory_Data[[#This Row],[Units_Received]]-Inventory_Data[[#This Row],[Units_Sold]]</f>
        <v>129</v>
      </c>
      <c r="J166">
        <v>0</v>
      </c>
      <c r="K166">
        <v>8</v>
      </c>
      <c r="L166" t="s">
        <v>49</v>
      </c>
      <c r="M166" s="3">
        <v>58.86</v>
      </c>
      <c r="N166" s="3">
        <v>78.94</v>
      </c>
      <c r="O166" s="10" t="str">
        <f>TEXT(Inventory_Data[[#This Row],[Date]],"mmm")</f>
        <v>Jan</v>
      </c>
    </row>
    <row r="167" spans="1:15" x14ac:dyDescent="0.2">
      <c r="A167" s="21">
        <v>45685</v>
      </c>
      <c r="B167" s="5" t="s">
        <v>172</v>
      </c>
      <c r="C167" t="s">
        <v>173</v>
      </c>
      <c r="D167" t="s">
        <v>27</v>
      </c>
      <c r="E167" t="s">
        <v>35</v>
      </c>
      <c r="F167">
        <v>365</v>
      </c>
      <c r="G167">
        <v>65</v>
      </c>
      <c r="H167">
        <v>163</v>
      </c>
      <c r="I167">
        <f>Inventory_Data[[#This Row],[Opening_Stock]]+Inventory_Data[[#This Row],[Units_Received]]-Inventory_Data[[#This Row],[Units_Sold]]</f>
        <v>267</v>
      </c>
      <c r="J167">
        <v>0</v>
      </c>
      <c r="K167">
        <v>5</v>
      </c>
      <c r="L167" t="s">
        <v>80</v>
      </c>
      <c r="M167" s="3">
        <v>24.9</v>
      </c>
      <c r="N167" s="3">
        <v>33.42</v>
      </c>
      <c r="O167" s="10" t="str">
        <f>TEXT(Inventory_Data[[#This Row],[Date]],"mmm")</f>
        <v>Jan</v>
      </c>
    </row>
    <row r="168" spans="1:15" x14ac:dyDescent="0.2">
      <c r="A168" s="21">
        <v>45685</v>
      </c>
      <c r="B168" s="5" t="s">
        <v>134</v>
      </c>
      <c r="C168" t="s">
        <v>135</v>
      </c>
      <c r="D168" t="s">
        <v>27</v>
      </c>
      <c r="E168" t="s">
        <v>17</v>
      </c>
      <c r="F168">
        <v>139</v>
      </c>
      <c r="G168">
        <v>186</v>
      </c>
      <c r="H168">
        <v>68</v>
      </c>
      <c r="I168">
        <f>Inventory_Data[[#This Row],[Opening_Stock]]+Inventory_Data[[#This Row],[Units_Received]]-Inventory_Data[[#This Row],[Units_Sold]]</f>
        <v>257</v>
      </c>
      <c r="J168">
        <v>0</v>
      </c>
      <c r="K168">
        <v>7</v>
      </c>
      <c r="L168" t="s">
        <v>80</v>
      </c>
      <c r="M168" s="3">
        <v>3.77</v>
      </c>
      <c r="N168" s="3">
        <v>4.42</v>
      </c>
      <c r="O168" s="10" t="str">
        <f>TEXT(Inventory_Data[[#This Row],[Date]],"mmm")</f>
        <v>Jan</v>
      </c>
    </row>
    <row r="169" spans="1:15" x14ac:dyDescent="0.2">
      <c r="A169" s="21">
        <v>45685</v>
      </c>
      <c r="B169" s="5" t="s">
        <v>69</v>
      </c>
      <c r="C169" t="s">
        <v>70</v>
      </c>
      <c r="D169" t="s">
        <v>34</v>
      </c>
      <c r="E169" t="s">
        <v>28</v>
      </c>
      <c r="F169">
        <v>348</v>
      </c>
      <c r="G169">
        <v>169</v>
      </c>
      <c r="H169">
        <v>58</v>
      </c>
      <c r="I169">
        <f>Inventory_Data[[#This Row],[Opening_Stock]]+Inventory_Data[[#This Row],[Units_Received]]-Inventory_Data[[#This Row],[Units_Sold]]</f>
        <v>459</v>
      </c>
      <c r="J169">
        <v>0</v>
      </c>
      <c r="K169">
        <v>14</v>
      </c>
      <c r="L169" t="s">
        <v>39</v>
      </c>
      <c r="M169" s="3">
        <v>24.66</v>
      </c>
      <c r="N169" s="3">
        <v>32.340000000000003</v>
      </c>
      <c r="O169" s="10" t="str">
        <f>TEXT(Inventory_Data[[#This Row],[Date]],"mmm")</f>
        <v>Jan</v>
      </c>
    </row>
    <row r="170" spans="1:15" x14ac:dyDescent="0.2">
      <c r="A170" s="21">
        <v>45686</v>
      </c>
      <c r="B170" s="5" t="s">
        <v>84</v>
      </c>
      <c r="C170" t="s">
        <v>85</v>
      </c>
      <c r="D170" t="s">
        <v>48</v>
      </c>
      <c r="E170" t="s">
        <v>35</v>
      </c>
      <c r="F170">
        <v>50</v>
      </c>
      <c r="G170">
        <v>88</v>
      </c>
      <c r="H170">
        <v>73</v>
      </c>
      <c r="I170">
        <f>Inventory_Data[[#This Row],[Opening_Stock]]+Inventory_Data[[#This Row],[Units_Received]]-Inventory_Data[[#This Row],[Units_Sold]]</f>
        <v>65</v>
      </c>
      <c r="J170">
        <v>0</v>
      </c>
      <c r="K170">
        <v>11</v>
      </c>
      <c r="L170" t="s">
        <v>77</v>
      </c>
      <c r="M170" s="3">
        <v>31.71</v>
      </c>
      <c r="N170" s="3">
        <v>40.4</v>
      </c>
      <c r="O170" s="10" t="str">
        <f>TEXT(Inventory_Data[[#This Row],[Date]],"mmm")</f>
        <v>Jan</v>
      </c>
    </row>
    <row r="171" spans="1:15" x14ac:dyDescent="0.2">
      <c r="A171" s="21">
        <v>45686</v>
      </c>
      <c r="B171" s="5" t="s">
        <v>164</v>
      </c>
      <c r="C171" t="s">
        <v>165</v>
      </c>
      <c r="D171" t="s">
        <v>48</v>
      </c>
      <c r="E171" t="s">
        <v>21</v>
      </c>
      <c r="F171">
        <v>243</v>
      </c>
      <c r="G171">
        <v>72</v>
      </c>
      <c r="H171">
        <v>128</v>
      </c>
      <c r="I171">
        <f>Inventory_Data[[#This Row],[Opening_Stock]]+Inventory_Data[[#This Row],[Units_Received]]-Inventory_Data[[#This Row],[Units_Sold]]</f>
        <v>187</v>
      </c>
      <c r="J171">
        <v>0</v>
      </c>
      <c r="K171">
        <v>11</v>
      </c>
      <c r="L171" t="s">
        <v>63</v>
      </c>
      <c r="M171" s="3">
        <v>23.68</v>
      </c>
      <c r="N171" s="3">
        <v>30.19</v>
      </c>
      <c r="O171" s="10" t="str">
        <f>TEXT(Inventory_Data[[#This Row],[Date]],"mmm")</f>
        <v>Jan</v>
      </c>
    </row>
    <row r="172" spans="1:15" x14ac:dyDescent="0.2">
      <c r="A172" s="21">
        <v>45686</v>
      </c>
      <c r="B172" s="5" t="s">
        <v>136</v>
      </c>
      <c r="C172" t="s">
        <v>137</v>
      </c>
      <c r="D172" t="s">
        <v>27</v>
      </c>
      <c r="E172" t="s">
        <v>35</v>
      </c>
      <c r="F172">
        <v>299</v>
      </c>
      <c r="G172">
        <v>131</v>
      </c>
      <c r="H172">
        <v>207</v>
      </c>
      <c r="I172">
        <f>Inventory_Data[[#This Row],[Opening_Stock]]+Inventory_Data[[#This Row],[Units_Received]]-Inventory_Data[[#This Row],[Units_Sold]]</f>
        <v>223</v>
      </c>
      <c r="J172">
        <v>0</v>
      </c>
      <c r="K172">
        <v>3</v>
      </c>
      <c r="L172" t="s">
        <v>66</v>
      </c>
      <c r="M172" s="3">
        <v>10.56</v>
      </c>
      <c r="N172" s="3">
        <v>14.35</v>
      </c>
      <c r="O172" s="10" t="str">
        <f>TEXT(Inventory_Data[[#This Row],[Date]],"mmm")</f>
        <v>Jan</v>
      </c>
    </row>
    <row r="173" spans="1:15" x14ac:dyDescent="0.2">
      <c r="A173" s="21">
        <v>45686</v>
      </c>
      <c r="B173" s="5" t="s">
        <v>176</v>
      </c>
      <c r="C173" t="s">
        <v>177</v>
      </c>
      <c r="D173" t="s">
        <v>34</v>
      </c>
      <c r="E173" t="s">
        <v>21</v>
      </c>
      <c r="F173">
        <v>253</v>
      </c>
      <c r="G173">
        <v>187</v>
      </c>
      <c r="H173">
        <v>118</v>
      </c>
      <c r="I173">
        <f>Inventory_Data[[#This Row],[Opening_Stock]]+Inventory_Data[[#This Row],[Units_Received]]-Inventory_Data[[#This Row],[Units_Sold]]</f>
        <v>322</v>
      </c>
      <c r="J173">
        <v>0</v>
      </c>
      <c r="K173">
        <v>3</v>
      </c>
      <c r="L173" t="s">
        <v>36</v>
      </c>
      <c r="M173" s="3">
        <v>17.32</v>
      </c>
      <c r="N173" s="3">
        <v>26.6</v>
      </c>
      <c r="O173" s="10" t="str">
        <f>TEXT(Inventory_Data[[#This Row],[Date]],"mmm")</f>
        <v>Jan</v>
      </c>
    </row>
    <row r="174" spans="1:15" x14ac:dyDescent="0.2">
      <c r="A174" s="21">
        <v>45686</v>
      </c>
      <c r="B174" s="5" t="s">
        <v>32</v>
      </c>
      <c r="C174" t="s">
        <v>33</v>
      </c>
      <c r="D174" t="s">
        <v>34</v>
      </c>
      <c r="E174" t="s">
        <v>35</v>
      </c>
      <c r="F174">
        <v>298</v>
      </c>
      <c r="G174">
        <v>41</v>
      </c>
      <c r="H174">
        <v>163</v>
      </c>
      <c r="I174">
        <f>Inventory_Data[[#This Row],[Opening_Stock]]+Inventory_Data[[#This Row],[Units_Received]]-Inventory_Data[[#This Row],[Units_Sold]]</f>
        <v>176</v>
      </c>
      <c r="J174">
        <v>0</v>
      </c>
      <c r="K174">
        <v>11</v>
      </c>
      <c r="L174" t="s">
        <v>39</v>
      </c>
      <c r="M174" s="3">
        <v>27.93</v>
      </c>
      <c r="N174" s="3">
        <v>41.11</v>
      </c>
      <c r="O174" s="10" t="str">
        <f>TEXT(Inventory_Data[[#This Row],[Date]],"mmm")</f>
        <v>Jan</v>
      </c>
    </row>
    <row r="175" spans="1:15" x14ac:dyDescent="0.2">
      <c r="A175" s="21">
        <v>45686</v>
      </c>
      <c r="B175" s="5" t="s">
        <v>59</v>
      </c>
      <c r="C175" t="s">
        <v>60</v>
      </c>
      <c r="D175" t="s">
        <v>34</v>
      </c>
      <c r="E175" t="s">
        <v>17</v>
      </c>
      <c r="F175">
        <v>332</v>
      </c>
      <c r="G175">
        <v>183</v>
      </c>
      <c r="H175">
        <v>37</v>
      </c>
      <c r="I175">
        <f>Inventory_Data[[#This Row],[Opening_Stock]]+Inventory_Data[[#This Row],[Units_Received]]-Inventory_Data[[#This Row],[Units_Sold]]</f>
        <v>478</v>
      </c>
      <c r="J175">
        <v>0</v>
      </c>
      <c r="K175">
        <v>9</v>
      </c>
      <c r="L175" t="s">
        <v>42</v>
      </c>
      <c r="M175" s="3">
        <v>2.81</v>
      </c>
      <c r="N175" s="3">
        <v>4.1500000000000004</v>
      </c>
      <c r="O175" s="10" t="str">
        <f>TEXT(Inventory_Data[[#This Row],[Date]],"mmm")</f>
        <v>Jan</v>
      </c>
    </row>
    <row r="176" spans="1:15" x14ac:dyDescent="0.2">
      <c r="A176" s="21">
        <v>45686</v>
      </c>
      <c r="B176" s="5" t="s">
        <v>126</v>
      </c>
      <c r="C176" t="s">
        <v>127</v>
      </c>
      <c r="D176" t="s">
        <v>34</v>
      </c>
      <c r="E176" t="s">
        <v>17</v>
      </c>
      <c r="F176">
        <v>306</v>
      </c>
      <c r="G176">
        <v>157</v>
      </c>
      <c r="H176">
        <v>41</v>
      </c>
      <c r="I176">
        <f>Inventory_Data[[#This Row],[Opening_Stock]]+Inventory_Data[[#This Row],[Units_Received]]-Inventory_Data[[#This Row],[Units_Sold]]</f>
        <v>422</v>
      </c>
      <c r="J176">
        <v>0</v>
      </c>
      <c r="K176">
        <v>6</v>
      </c>
      <c r="L176" t="s">
        <v>39</v>
      </c>
      <c r="M176" s="3">
        <v>17.23</v>
      </c>
      <c r="N176" s="3">
        <v>23.45</v>
      </c>
      <c r="O176" s="10" t="str">
        <f>TEXT(Inventory_Data[[#This Row],[Date]],"mmm")</f>
        <v>Jan</v>
      </c>
    </row>
    <row r="177" spans="1:15" x14ac:dyDescent="0.2">
      <c r="A177" s="21">
        <v>45686</v>
      </c>
      <c r="B177" s="5" t="s">
        <v>168</v>
      </c>
      <c r="C177" t="s">
        <v>169</v>
      </c>
      <c r="D177" t="s">
        <v>34</v>
      </c>
      <c r="E177" t="s">
        <v>21</v>
      </c>
      <c r="F177">
        <v>333</v>
      </c>
      <c r="G177">
        <v>156</v>
      </c>
      <c r="H177">
        <v>123</v>
      </c>
      <c r="I177">
        <f>Inventory_Data[[#This Row],[Opening_Stock]]+Inventory_Data[[#This Row],[Units_Received]]-Inventory_Data[[#This Row],[Units_Sold]]</f>
        <v>366</v>
      </c>
      <c r="J177">
        <v>0</v>
      </c>
      <c r="K177">
        <v>8</v>
      </c>
      <c r="L177" t="s">
        <v>39</v>
      </c>
      <c r="M177" s="3">
        <v>9.9499999999999993</v>
      </c>
      <c r="N177" s="3">
        <v>12.61</v>
      </c>
      <c r="O177" s="10" t="str">
        <f>TEXT(Inventory_Data[[#This Row],[Date]],"mmm")</f>
        <v>Jan</v>
      </c>
    </row>
    <row r="178" spans="1:15" x14ac:dyDescent="0.2">
      <c r="A178" s="21">
        <v>45687</v>
      </c>
      <c r="B178" s="5" t="s">
        <v>59</v>
      </c>
      <c r="C178" t="s">
        <v>60</v>
      </c>
      <c r="D178" t="s">
        <v>34</v>
      </c>
      <c r="E178" t="s">
        <v>21</v>
      </c>
      <c r="F178">
        <v>327</v>
      </c>
      <c r="G178">
        <v>46</v>
      </c>
      <c r="H178">
        <v>44</v>
      </c>
      <c r="I178">
        <f>Inventory_Data[[#This Row],[Opening_Stock]]+Inventory_Data[[#This Row],[Units_Received]]-Inventory_Data[[#This Row],[Units_Sold]]</f>
        <v>329</v>
      </c>
      <c r="J178">
        <v>0</v>
      </c>
      <c r="K178">
        <v>9</v>
      </c>
      <c r="L178" t="s">
        <v>39</v>
      </c>
      <c r="M178" s="3">
        <v>24.7</v>
      </c>
      <c r="N178" s="3">
        <v>28.54</v>
      </c>
      <c r="O178" s="10" t="str">
        <f>TEXT(Inventory_Data[[#This Row],[Date]],"mmm")</f>
        <v>Jan</v>
      </c>
    </row>
    <row r="179" spans="1:15" x14ac:dyDescent="0.2">
      <c r="A179" s="21">
        <v>45688</v>
      </c>
      <c r="B179" s="5" t="s">
        <v>148</v>
      </c>
      <c r="C179" t="s">
        <v>149</v>
      </c>
      <c r="D179" t="s">
        <v>27</v>
      </c>
      <c r="E179" t="s">
        <v>28</v>
      </c>
      <c r="F179">
        <v>293</v>
      </c>
      <c r="G179">
        <v>89</v>
      </c>
      <c r="H179">
        <v>185</v>
      </c>
      <c r="I179">
        <f>Inventory_Data[[#This Row],[Opening_Stock]]+Inventory_Data[[#This Row],[Units_Received]]-Inventory_Data[[#This Row],[Units_Sold]]</f>
        <v>197</v>
      </c>
      <c r="J179">
        <v>0</v>
      </c>
      <c r="K179">
        <v>7</v>
      </c>
      <c r="L179" t="s">
        <v>80</v>
      </c>
      <c r="M179" s="3">
        <v>21.54</v>
      </c>
      <c r="N179" s="3">
        <v>29.36</v>
      </c>
      <c r="O179" s="10" t="str">
        <f>TEXT(Inventory_Data[[#This Row],[Date]],"mmm")</f>
        <v>Jan</v>
      </c>
    </row>
    <row r="180" spans="1:15" x14ac:dyDescent="0.2">
      <c r="A180" s="21">
        <v>45688</v>
      </c>
      <c r="B180" s="5" t="s">
        <v>150</v>
      </c>
      <c r="C180" t="s">
        <v>151</v>
      </c>
      <c r="D180" t="s">
        <v>52</v>
      </c>
      <c r="E180" t="s">
        <v>35</v>
      </c>
      <c r="F180">
        <v>49</v>
      </c>
      <c r="G180">
        <v>14</v>
      </c>
      <c r="H180">
        <v>10</v>
      </c>
      <c r="I180">
        <f>Inventory_Data[[#This Row],[Opening_Stock]]+Inventory_Data[[#This Row],[Units_Received]]-Inventory_Data[[#This Row],[Units_Sold]]</f>
        <v>53</v>
      </c>
      <c r="J180">
        <v>0</v>
      </c>
      <c r="K180">
        <v>3</v>
      </c>
      <c r="L180" t="s">
        <v>56</v>
      </c>
      <c r="M180" s="3">
        <v>66.55</v>
      </c>
      <c r="N180" s="3">
        <v>96.2</v>
      </c>
      <c r="O180" s="10" t="str">
        <f>TEXT(Inventory_Data[[#This Row],[Date]],"mmm")</f>
        <v>Jan</v>
      </c>
    </row>
    <row r="181" spans="1:15" x14ac:dyDescent="0.2">
      <c r="A181" s="21">
        <v>45689</v>
      </c>
      <c r="B181" s="5" t="s">
        <v>78</v>
      </c>
      <c r="C181" t="s">
        <v>79</v>
      </c>
      <c r="D181" t="s">
        <v>27</v>
      </c>
      <c r="E181" t="s">
        <v>21</v>
      </c>
      <c r="F181">
        <v>329</v>
      </c>
      <c r="G181">
        <v>105</v>
      </c>
      <c r="H181">
        <v>80</v>
      </c>
      <c r="I181">
        <f>Inventory_Data[[#This Row],[Opening_Stock]]+Inventory_Data[[#This Row],[Units_Received]]-Inventory_Data[[#This Row],[Units_Sold]]</f>
        <v>354</v>
      </c>
      <c r="J181">
        <v>0</v>
      </c>
      <c r="K181">
        <v>6</v>
      </c>
      <c r="L181" t="s">
        <v>80</v>
      </c>
      <c r="M181" s="3">
        <v>2.08</v>
      </c>
      <c r="N181" s="3">
        <v>2.4300000000000002</v>
      </c>
      <c r="O181" s="10" t="str">
        <f>TEXT(Inventory_Data[[#This Row],[Date]],"mmm")</f>
        <v>Feb</v>
      </c>
    </row>
    <row r="182" spans="1:15" x14ac:dyDescent="0.2">
      <c r="A182" s="21">
        <v>45689</v>
      </c>
      <c r="B182" s="5" t="s">
        <v>134</v>
      </c>
      <c r="C182" t="s">
        <v>135</v>
      </c>
      <c r="D182" t="s">
        <v>27</v>
      </c>
      <c r="E182" t="s">
        <v>17</v>
      </c>
      <c r="F182">
        <v>80</v>
      </c>
      <c r="G182">
        <v>170</v>
      </c>
      <c r="H182">
        <v>86</v>
      </c>
      <c r="I182">
        <f>Inventory_Data[[#This Row],[Opening_Stock]]+Inventory_Data[[#This Row],[Units_Received]]-Inventory_Data[[#This Row],[Units_Sold]]</f>
        <v>164</v>
      </c>
      <c r="J182">
        <v>0</v>
      </c>
      <c r="K182">
        <v>5</v>
      </c>
      <c r="L182" t="s">
        <v>29</v>
      </c>
      <c r="M182" s="3">
        <v>21.8</v>
      </c>
      <c r="N182" s="3">
        <v>25.12</v>
      </c>
      <c r="O182" s="10" t="str">
        <f>TEXT(Inventory_Data[[#This Row],[Date]],"mmm")</f>
        <v>Feb</v>
      </c>
    </row>
    <row r="183" spans="1:15" x14ac:dyDescent="0.2">
      <c r="A183" s="21">
        <v>45690</v>
      </c>
      <c r="B183" s="5" t="s">
        <v>166</v>
      </c>
      <c r="C183" t="s">
        <v>167</v>
      </c>
      <c r="D183" t="s">
        <v>16</v>
      </c>
      <c r="E183" t="s">
        <v>17</v>
      </c>
      <c r="F183">
        <v>66</v>
      </c>
      <c r="G183">
        <v>24</v>
      </c>
      <c r="H183">
        <v>74</v>
      </c>
      <c r="I183">
        <f>Inventory_Data[[#This Row],[Opening_Stock]]+Inventory_Data[[#This Row],[Units_Received]]-Inventory_Data[[#This Row],[Units_Sold]]</f>
        <v>16</v>
      </c>
      <c r="J183">
        <v>0</v>
      </c>
      <c r="K183">
        <v>13</v>
      </c>
      <c r="L183" t="s">
        <v>24</v>
      </c>
      <c r="M183" s="3">
        <v>93.69</v>
      </c>
      <c r="N183" s="3">
        <v>129.16999999999999</v>
      </c>
      <c r="O183" s="10" t="str">
        <f>TEXT(Inventory_Data[[#This Row],[Date]],"mmm")</f>
        <v>Feb</v>
      </c>
    </row>
    <row r="184" spans="1:15" x14ac:dyDescent="0.2">
      <c r="A184" s="21">
        <v>45690</v>
      </c>
      <c r="B184" s="5" t="s">
        <v>94</v>
      </c>
      <c r="C184" t="s">
        <v>95</v>
      </c>
      <c r="D184" t="s">
        <v>16</v>
      </c>
      <c r="E184" t="s">
        <v>21</v>
      </c>
      <c r="F184">
        <v>25</v>
      </c>
      <c r="G184">
        <v>72</v>
      </c>
      <c r="H184">
        <v>71</v>
      </c>
      <c r="I184">
        <f>Inventory_Data[[#This Row],[Opening_Stock]]+Inventory_Data[[#This Row],[Units_Received]]-Inventory_Data[[#This Row],[Units_Sold]]</f>
        <v>26</v>
      </c>
      <c r="J184">
        <v>0</v>
      </c>
      <c r="K184">
        <v>11</v>
      </c>
      <c r="L184" t="s">
        <v>45</v>
      </c>
      <c r="M184" s="3">
        <v>16.309999999999999</v>
      </c>
      <c r="N184" s="3">
        <v>25.14</v>
      </c>
      <c r="O184" s="10" t="str">
        <f>TEXT(Inventory_Data[[#This Row],[Date]],"mmm")</f>
        <v>Feb</v>
      </c>
    </row>
    <row r="185" spans="1:15" x14ac:dyDescent="0.2">
      <c r="A185" s="21">
        <v>45690</v>
      </c>
      <c r="B185" s="5" t="s">
        <v>130</v>
      </c>
      <c r="C185" t="s">
        <v>131</v>
      </c>
      <c r="D185" t="s">
        <v>48</v>
      </c>
      <c r="E185" t="s">
        <v>21</v>
      </c>
      <c r="F185">
        <v>208</v>
      </c>
      <c r="G185">
        <v>76</v>
      </c>
      <c r="H185">
        <v>63</v>
      </c>
      <c r="I185">
        <f>Inventory_Data[[#This Row],[Opening_Stock]]+Inventory_Data[[#This Row],[Units_Received]]-Inventory_Data[[#This Row],[Units_Sold]]</f>
        <v>221</v>
      </c>
      <c r="J185">
        <v>0</v>
      </c>
      <c r="K185">
        <v>7</v>
      </c>
      <c r="L185" t="s">
        <v>77</v>
      </c>
      <c r="M185" s="3">
        <v>12.48</v>
      </c>
      <c r="N185" s="3">
        <v>19.21</v>
      </c>
      <c r="O185" s="10" t="str">
        <f>TEXT(Inventory_Data[[#This Row],[Date]],"mmm")</f>
        <v>Feb</v>
      </c>
    </row>
    <row r="186" spans="1:15" x14ac:dyDescent="0.2">
      <c r="A186" s="21">
        <v>45690</v>
      </c>
      <c r="B186" s="5" t="s">
        <v>122</v>
      </c>
      <c r="C186" t="s">
        <v>123</v>
      </c>
      <c r="D186" t="s">
        <v>27</v>
      </c>
      <c r="E186" t="s">
        <v>28</v>
      </c>
      <c r="F186">
        <v>375</v>
      </c>
      <c r="G186">
        <v>218</v>
      </c>
      <c r="H186">
        <v>99</v>
      </c>
      <c r="I186">
        <f>Inventory_Data[[#This Row],[Opening_Stock]]+Inventory_Data[[#This Row],[Units_Received]]-Inventory_Data[[#This Row],[Units_Sold]]</f>
        <v>494</v>
      </c>
      <c r="J186">
        <v>0</v>
      </c>
      <c r="K186">
        <v>5</v>
      </c>
      <c r="L186" t="s">
        <v>80</v>
      </c>
      <c r="M186" s="3">
        <v>22.5</v>
      </c>
      <c r="N186" s="3">
        <v>33.11</v>
      </c>
      <c r="O186" s="10" t="str">
        <f>TEXT(Inventory_Data[[#This Row],[Date]],"mmm")</f>
        <v>Feb</v>
      </c>
    </row>
    <row r="187" spans="1:15" x14ac:dyDescent="0.2">
      <c r="A187" s="21">
        <v>45691</v>
      </c>
      <c r="B187" s="5" t="s">
        <v>152</v>
      </c>
      <c r="C187" t="s">
        <v>153</v>
      </c>
      <c r="D187" t="s">
        <v>16</v>
      </c>
      <c r="E187" t="s">
        <v>17</v>
      </c>
      <c r="F187">
        <v>66</v>
      </c>
      <c r="G187">
        <v>17</v>
      </c>
      <c r="H187">
        <v>27</v>
      </c>
      <c r="I187">
        <f>Inventory_Data[[#This Row],[Opening_Stock]]+Inventory_Data[[#This Row],[Units_Received]]-Inventory_Data[[#This Row],[Units_Sold]]</f>
        <v>56</v>
      </c>
      <c r="J187">
        <v>0</v>
      </c>
      <c r="K187">
        <v>6</v>
      </c>
      <c r="L187" t="s">
        <v>24</v>
      </c>
      <c r="M187" s="3">
        <v>38.99</v>
      </c>
      <c r="N187" s="3">
        <v>47.72</v>
      </c>
      <c r="O187" s="10" t="str">
        <f>TEXT(Inventory_Data[[#This Row],[Date]],"mmm")</f>
        <v>Feb</v>
      </c>
    </row>
    <row r="188" spans="1:15" x14ac:dyDescent="0.2">
      <c r="A188" s="21">
        <v>45691</v>
      </c>
      <c r="B188" s="5" t="s">
        <v>73</v>
      </c>
      <c r="C188" t="s">
        <v>74</v>
      </c>
      <c r="D188" t="s">
        <v>16</v>
      </c>
      <c r="E188" t="s">
        <v>21</v>
      </c>
      <c r="F188">
        <v>112</v>
      </c>
      <c r="G188">
        <v>18</v>
      </c>
      <c r="H188">
        <v>19</v>
      </c>
      <c r="I188">
        <f>Inventory_Data[[#This Row],[Opening_Stock]]+Inventory_Data[[#This Row],[Units_Received]]-Inventory_Data[[#This Row],[Units_Sold]]</f>
        <v>111</v>
      </c>
      <c r="J188">
        <v>0</v>
      </c>
      <c r="K188">
        <v>11</v>
      </c>
      <c r="L188" t="s">
        <v>18</v>
      </c>
      <c r="M188" s="3">
        <v>169.39</v>
      </c>
      <c r="N188" s="3">
        <v>244.09</v>
      </c>
      <c r="O188" s="10" t="str">
        <f>TEXT(Inventory_Data[[#This Row],[Date]],"mmm")</f>
        <v>Feb</v>
      </c>
    </row>
    <row r="189" spans="1:15" x14ac:dyDescent="0.2">
      <c r="A189" s="21">
        <v>45691</v>
      </c>
      <c r="B189" s="5" t="s">
        <v>178</v>
      </c>
      <c r="C189" t="s">
        <v>179</v>
      </c>
      <c r="D189" t="s">
        <v>16</v>
      </c>
      <c r="E189" t="s">
        <v>17</v>
      </c>
      <c r="F189">
        <v>50</v>
      </c>
      <c r="G189">
        <v>20</v>
      </c>
      <c r="H189">
        <v>6</v>
      </c>
      <c r="I189">
        <f>Inventory_Data[[#This Row],[Opening_Stock]]+Inventory_Data[[#This Row],[Units_Received]]-Inventory_Data[[#This Row],[Units_Sold]]</f>
        <v>64</v>
      </c>
      <c r="J189">
        <v>0</v>
      </c>
      <c r="K189">
        <v>9</v>
      </c>
      <c r="L189" t="s">
        <v>45</v>
      </c>
      <c r="M189" s="3">
        <v>131.21</v>
      </c>
      <c r="N189" s="3">
        <v>199.82</v>
      </c>
      <c r="O189" s="10" t="str">
        <f>TEXT(Inventory_Data[[#This Row],[Date]],"mmm")</f>
        <v>Feb</v>
      </c>
    </row>
    <row r="190" spans="1:15" x14ac:dyDescent="0.2">
      <c r="A190" s="21">
        <v>45691</v>
      </c>
      <c r="B190" s="5" t="s">
        <v>19</v>
      </c>
      <c r="C190" t="s">
        <v>20</v>
      </c>
      <c r="D190" t="s">
        <v>16</v>
      </c>
      <c r="E190" t="s">
        <v>17</v>
      </c>
      <c r="F190">
        <v>64</v>
      </c>
      <c r="G190">
        <v>67</v>
      </c>
      <c r="H190">
        <v>55</v>
      </c>
      <c r="I190">
        <f>Inventory_Data[[#This Row],[Opening_Stock]]+Inventory_Data[[#This Row],[Units_Received]]-Inventory_Data[[#This Row],[Units_Sold]]</f>
        <v>76</v>
      </c>
      <c r="J190">
        <v>0</v>
      </c>
      <c r="K190">
        <v>3</v>
      </c>
      <c r="L190" t="s">
        <v>18</v>
      </c>
      <c r="M190" s="3">
        <v>187.53</v>
      </c>
      <c r="N190" s="3">
        <v>217.94</v>
      </c>
      <c r="O190" s="10" t="str">
        <f>TEXT(Inventory_Data[[#This Row],[Date]],"mmm")</f>
        <v>Feb</v>
      </c>
    </row>
    <row r="191" spans="1:15" x14ac:dyDescent="0.2">
      <c r="A191" s="21">
        <v>45691</v>
      </c>
      <c r="B191" s="5" t="s">
        <v>96</v>
      </c>
      <c r="C191" t="s">
        <v>97</v>
      </c>
      <c r="D191" t="s">
        <v>48</v>
      </c>
      <c r="E191" t="s">
        <v>35</v>
      </c>
      <c r="F191">
        <v>279</v>
      </c>
      <c r="G191">
        <v>104</v>
      </c>
      <c r="H191">
        <v>74</v>
      </c>
      <c r="I191">
        <f>Inventory_Data[[#This Row],[Opening_Stock]]+Inventory_Data[[#This Row],[Units_Received]]-Inventory_Data[[#This Row],[Units_Sold]]</f>
        <v>309</v>
      </c>
      <c r="J191">
        <v>0</v>
      </c>
      <c r="K191">
        <v>5</v>
      </c>
      <c r="L191" t="s">
        <v>63</v>
      </c>
      <c r="M191" s="3">
        <v>26.51</v>
      </c>
      <c r="N191" s="3">
        <v>37.03</v>
      </c>
      <c r="O191" s="10" t="str">
        <f>TEXT(Inventory_Data[[#This Row],[Date]],"mmm")</f>
        <v>Feb</v>
      </c>
    </row>
    <row r="192" spans="1:15" x14ac:dyDescent="0.2">
      <c r="A192" s="21">
        <v>45691</v>
      </c>
      <c r="B192" s="5" t="s">
        <v>180</v>
      </c>
      <c r="C192" t="s">
        <v>181</v>
      </c>
      <c r="D192" t="s">
        <v>34</v>
      </c>
      <c r="E192" t="s">
        <v>35</v>
      </c>
      <c r="F192">
        <v>204</v>
      </c>
      <c r="G192">
        <v>113</v>
      </c>
      <c r="H192">
        <v>101</v>
      </c>
      <c r="I192">
        <f>Inventory_Data[[#This Row],[Opening_Stock]]+Inventory_Data[[#This Row],[Units_Received]]-Inventory_Data[[#This Row],[Units_Sold]]</f>
        <v>216</v>
      </c>
      <c r="J192">
        <v>0</v>
      </c>
      <c r="K192">
        <v>3</v>
      </c>
      <c r="L192" t="s">
        <v>42</v>
      </c>
      <c r="M192" s="3">
        <v>4.7699999999999996</v>
      </c>
      <c r="N192" s="3">
        <v>6.85</v>
      </c>
      <c r="O192" s="10" t="str">
        <f>TEXT(Inventory_Data[[#This Row],[Date]],"mmm")</f>
        <v>Feb</v>
      </c>
    </row>
    <row r="193" spans="1:15" x14ac:dyDescent="0.2">
      <c r="A193" s="21">
        <v>45692</v>
      </c>
      <c r="B193" s="5" t="s">
        <v>71</v>
      </c>
      <c r="C193" t="s">
        <v>72</v>
      </c>
      <c r="D193" t="s">
        <v>16</v>
      </c>
      <c r="E193" t="s">
        <v>35</v>
      </c>
      <c r="F193">
        <v>114</v>
      </c>
      <c r="G193">
        <v>23</v>
      </c>
      <c r="H193">
        <v>69</v>
      </c>
      <c r="I193">
        <f>Inventory_Data[[#This Row],[Opening_Stock]]+Inventory_Data[[#This Row],[Units_Received]]-Inventory_Data[[#This Row],[Units_Sold]]</f>
        <v>68</v>
      </c>
      <c r="J193">
        <v>0</v>
      </c>
      <c r="K193">
        <v>7</v>
      </c>
      <c r="L193" t="s">
        <v>45</v>
      </c>
      <c r="M193" s="3">
        <v>185.01</v>
      </c>
      <c r="N193" s="3">
        <v>236.26</v>
      </c>
      <c r="O193" s="10" t="str">
        <f>TEXT(Inventory_Data[[#This Row],[Date]],"mmm")</f>
        <v>Feb</v>
      </c>
    </row>
    <row r="194" spans="1:15" x14ac:dyDescent="0.2">
      <c r="A194" s="21">
        <v>45692</v>
      </c>
      <c r="B194" s="5" t="s">
        <v>178</v>
      </c>
      <c r="C194" t="s">
        <v>179</v>
      </c>
      <c r="D194" t="s">
        <v>16</v>
      </c>
      <c r="E194" t="s">
        <v>35</v>
      </c>
      <c r="F194">
        <v>101</v>
      </c>
      <c r="G194">
        <v>62</v>
      </c>
      <c r="H194">
        <v>68</v>
      </c>
      <c r="I194">
        <f>Inventory_Data[[#This Row],[Opening_Stock]]+Inventory_Data[[#This Row],[Units_Received]]-Inventory_Data[[#This Row],[Units_Sold]]</f>
        <v>95</v>
      </c>
      <c r="J194">
        <v>0</v>
      </c>
      <c r="K194">
        <v>4</v>
      </c>
      <c r="L194" t="s">
        <v>45</v>
      </c>
      <c r="M194" s="3">
        <v>213.94</v>
      </c>
      <c r="N194" s="3">
        <v>255.65</v>
      </c>
      <c r="O194" s="10" t="str">
        <f>TEXT(Inventory_Data[[#This Row],[Date]],"mmm")</f>
        <v>Feb</v>
      </c>
    </row>
    <row r="195" spans="1:15" x14ac:dyDescent="0.2">
      <c r="A195" s="21">
        <v>45692</v>
      </c>
      <c r="B195" s="5" t="s">
        <v>182</v>
      </c>
      <c r="C195" t="s">
        <v>183</v>
      </c>
      <c r="D195" t="s">
        <v>52</v>
      </c>
      <c r="E195" t="s">
        <v>35</v>
      </c>
      <c r="F195">
        <v>65</v>
      </c>
      <c r="G195">
        <v>24</v>
      </c>
      <c r="H195">
        <v>3</v>
      </c>
      <c r="I195">
        <f>Inventory_Data[[#This Row],[Opening_Stock]]+Inventory_Data[[#This Row],[Units_Received]]-Inventory_Data[[#This Row],[Units_Sold]]</f>
        <v>86</v>
      </c>
      <c r="J195">
        <v>0</v>
      </c>
      <c r="K195">
        <v>3</v>
      </c>
      <c r="L195" t="s">
        <v>83</v>
      </c>
      <c r="M195" s="3">
        <v>295.67</v>
      </c>
      <c r="N195" s="3">
        <v>447.18</v>
      </c>
      <c r="O195" s="10" t="str">
        <f>TEXT(Inventory_Data[[#This Row],[Date]],"mmm")</f>
        <v>Feb</v>
      </c>
    </row>
    <row r="196" spans="1:15" x14ac:dyDescent="0.2">
      <c r="A196" s="21">
        <v>45692</v>
      </c>
      <c r="B196" s="5" t="s">
        <v>182</v>
      </c>
      <c r="C196" t="s">
        <v>183</v>
      </c>
      <c r="D196" t="s">
        <v>52</v>
      </c>
      <c r="E196" t="s">
        <v>28</v>
      </c>
      <c r="F196">
        <v>45</v>
      </c>
      <c r="G196">
        <v>23</v>
      </c>
      <c r="H196">
        <v>15</v>
      </c>
      <c r="I196">
        <f>Inventory_Data[[#This Row],[Opening_Stock]]+Inventory_Data[[#This Row],[Units_Received]]-Inventory_Data[[#This Row],[Units_Sold]]</f>
        <v>53</v>
      </c>
      <c r="J196">
        <v>0</v>
      </c>
      <c r="K196">
        <v>13</v>
      </c>
      <c r="L196" t="s">
        <v>83</v>
      </c>
      <c r="M196" s="3">
        <v>118.38</v>
      </c>
      <c r="N196" s="3">
        <v>149.38</v>
      </c>
      <c r="O196" s="10" t="str">
        <f>TEXT(Inventory_Data[[#This Row],[Date]],"mmm")</f>
        <v>Feb</v>
      </c>
    </row>
    <row r="197" spans="1:15" x14ac:dyDescent="0.2">
      <c r="A197" s="21">
        <v>45692</v>
      </c>
      <c r="B197" s="5" t="s">
        <v>104</v>
      </c>
      <c r="C197" t="s">
        <v>105</v>
      </c>
      <c r="D197" t="s">
        <v>34</v>
      </c>
      <c r="E197" t="s">
        <v>35</v>
      </c>
      <c r="F197">
        <v>172</v>
      </c>
      <c r="G197">
        <v>179</v>
      </c>
      <c r="H197">
        <v>84</v>
      </c>
      <c r="I197">
        <f>Inventory_Data[[#This Row],[Opening_Stock]]+Inventory_Data[[#This Row],[Units_Received]]-Inventory_Data[[#This Row],[Units_Sold]]</f>
        <v>267</v>
      </c>
      <c r="J197">
        <v>0</v>
      </c>
      <c r="K197">
        <v>12</v>
      </c>
      <c r="L197" t="s">
        <v>42</v>
      </c>
      <c r="M197" s="3">
        <v>28.33</v>
      </c>
      <c r="N197" s="3">
        <v>43.76</v>
      </c>
      <c r="O197" s="10" t="str">
        <f>TEXT(Inventory_Data[[#This Row],[Date]],"mmm")</f>
        <v>Feb</v>
      </c>
    </row>
    <row r="198" spans="1:15" x14ac:dyDescent="0.2">
      <c r="A198" s="21">
        <v>45692</v>
      </c>
      <c r="B198" s="5" t="s">
        <v>138</v>
      </c>
      <c r="C198" t="s">
        <v>139</v>
      </c>
      <c r="D198" t="s">
        <v>34</v>
      </c>
      <c r="E198" t="s">
        <v>21</v>
      </c>
      <c r="F198">
        <v>395</v>
      </c>
      <c r="G198">
        <v>173</v>
      </c>
      <c r="H198">
        <v>120</v>
      </c>
      <c r="I198">
        <f>Inventory_Data[[#This Row],[Opening_Stock]]+Inventory_Data[[#This Row],[Units_Received]]-Inventory_Data[[#This Row],[Units_Sold]]</f>
        <v>448</v>
      </c>
      <c r="J198">
        <v>0</v>
      </c>
      <c r="K198">
        <v>10</v>
      </c>
      <c r="L198" t="s">
        <v>42</v>
      </c>
      <c r="M198" s="3">
        <v>23.52</v>
      </c>
      <c r="N198" s="3">
        <v>27.66</v>
      </c>
      <c r="O198" s="10" t="str">
        <f>TEXT(Inventory_Data[[#This Row],[Date]],"mmm")</f>
        <v>Feb</v>
      </c>
    </row>
    <row r="199" spans="1:15" x14ac:dyDescent="0.2">
      <c r="A199" s="21">
        <v>45692</v>
      </c>
      <c r="B199" s="5" t="s">
        <v>138</v>
      </c>
      <c r="C199" t="s">
        <v>139</v>
      </c>
      <c r="D199" t="s">
        <v>34</v>
      </c>
      <c r="E199" t="s">
        <v>28</v>
      </c>
      <c r="F199">
        <v>153</v>
      </c>
      <c r="G199">
        <v>197</v>
      </c>
      <c r="H199">
        <v>99</v>
      </c>
      <c r="I199">
        <f>Inventory_Data[[#This Row],[Opening_Stock]]+Inventory_Data[[#This Row],[Units_Received]]-Inventory_Data[[#This Row],[Units_Sold]]</f>
        <v>251</v>
      </c>
      <c r="J199">
        <v>0</v>
      </c>
      <c r="K199">
        <v>6</v>
      </c>
      <c r="L199" t="s">
        <v>36</v>
      </c>
      <c r="M199" s="3">
        <v>13.87</v>
      </c>
      <c r="N199" s="3">
        <v>17.52</v>
      </c>
      <c r="O199" s="10" t="str">
        <f>TEXT(Inventory_Data[[#This Row],[Date]],"mmm")</f>
        <v>Feb</v>
      </c>
    </row>
    <row r="200" spans="1:15" x14ac:dyDescent="0.2">
      <c r="A200" s="21">
        <v>45693</v>
      </c>
      <c r="B200" s="5" t="s">
        <v>19</v>
      </c>
      <c r="C200" t="s">
        <v>20</v>
      </c>
      <c r="D200" t="s">
        <v>16</v>
      </c>
      <c r="E200" t="s">
        <v>28</v>
      </c>
      <c r="F200">
        <v>112</v>
      </c>
      <c r="G200">
        <v>89</v>
      </c>
      <c r="H200">
        <v>45</v>
      </c>
      <c r="I200">
        <f>Inventory_Data[[#This Row],[Opening_Stock]]+Inventory_Data[[#This Row],[Units_Received]]-Inventory_Data[[#This Row],[Units_Sold]]</f>
        <v>156</v>
      </c>
      <c r="J200">
        <v>0</v>
      </c>
      <c r="K200">
        <v>4</v>
      </c>
      <c r="L200" t="s">
        <v>18</v>
      </c>
      <c r="M200" s="3">
        <v>41.11</v>
      </c>
      <c r="N200" s="3">
        <v>51.97</v>
      </c>
      <c r="O200" s="10" t="str">
        <f>TEXT(Inventory_Data[[#This Row],[Date]],"mmm")</f>
        <v>Feb</v>
      </c>
    </row>
    <row r="201" spans="1:15" x14ac:dyDescent="0.2">
      <c r="A201" s="21">
        <v>45693</v>
      </c>
      <c r="B201" s="5" t="s">
        <v>98</v>
      </c>
      <c r="C201" t="s">
        <v>99</v>
      </c>
      <c r="D201" t="s">
        <v>27</v>
      </c>
      <c r="E201" t="s">
        <v>21</v>
      </c>
      <c r="F201">
        <v>89</v>
      </c>
      <c r="G201">
        <v>135</v>
      </c>
      <c r="H201">
        <v>195</v>
      </c>
      <c r="I201">
        <f>Inventory_Data[[#This Row],[Opening_Stock]]+Inventory_Data[[#This Row],[Units_Received]]-Inventory_Data[[#This Row],[Units_Sold]]</f>
        <v>29</v>
      </c>
      <c r="J201">
        <v>0</v>
      </c>
      <c r="K201">
        <v>4</v>
      </c>
      <c r="L201" t="s">
        <v>80</v>
      </c>
      <c r="M201" s="3">
        <v>13.1</v>
      </c>
      <c r="N201" s="3">
        <v>19.14</v>
      </c>
      <c r="O201" s="10" t="str">
        <f>TEXT(Inventory_Data[[#This Row],[Date]],"mmm")</f>
        <v>Feb</v>
      </c>
    </row>
    <row r="202" spans="1:15" x14ac:dyDescent="0.2">
      <c r="A202" s="21">
        <v>45693</v>
      </c>
      <c r="B202" s="5" t="s">
        <v>64</v>
      </c>
      <c r="C202" t="s">
        <v>65</v>
      </c>
      <c r="D202" t="s">
        <v>27</v>
      </c>
      <c r="E202" t="s">
        <v>17</v>
      </c>
      <c r="F202">
        <v>270</v>
      </c>
      <c r="G202">
        <v>147</v>
      </c>
      <c r="H202">
        <v>86</v>
      </c>
      <c r="I202">
        <f>Inventory_Data[[#This Row],[Opening_Stock]]+Inventory_Data[[#This Row],[Units_Received]]-Inventory_Data[[#This Row],[Units_Sold]]</f>
        <v>331</v>
      </c>
      <c r="J202">
        <v>0</v>
      </c>
      <c r="K202">
        <v>5</v>
      </c>
      <c r="L202" t="s">
        <v>66</v>
      </c>
      <c r="M202" s="3">
        <v>18.670000000000002</v>
      </c>
      <c r="N202" s="3">
        <v>25.24</v>
      </c>
      <c r="O202" s="10" t="str">
        <f>TEXT(Inventory_Data[[#This Row],[Date]],"mmm")</f>
        <v>Feb</v>
      </c>
    </row>
    <row r="203" spans="1:15" x14ac:dyDescent="0.2">
      <c r="A203" s="21">
        <v>45693</v>
      </c>
      <c r="B203" s="5" t="s">
        <v>174</v>
      </c>
      <c r="C203" t="s">
        <v>175</v>
      </c>
      <c r="D203" t="s">
        <v>52</v>
      </c>
      <c r="E203" t="s">
        <v>28</v>
      </c>
      <c r="F203">
        <v>34</v>
      </c>
      <c r="G203">
        <v>21</v>
      </c>
      <c r="H203">
        <v>2</v>
      </c>
      <c r="I203">
        <f>Inventory_Data[[#This Row],[Opening_Stock]]+Inventory_Data[[#This Row],[Units_Received]]-Inventory_Data[[#This Row],[Units_Sold]]</f>
        <v>53</v>
      </c>
      <c r="J203">
        <v>0</v>
      </c>
      <c r="K203">
        <v>11</v>
      </c>
      <c r="L203" t="s">
        <v>83</v>
      </c>
      <c r="M203" s="3">
        <v>50.81</v>
      </c>
      <c r="N203" s="3">
        <v>73.3</v>
      </c>
      <c r="O203" s="10" t="str">
        <f>TEXT(Inventory_Data[[#This Row],[Date]],"mmm")</f>
        <v>Feb</v>
      </c>
    </row>
    <row r="204" spans="1:15" x14ac:dyDescent="0.2">
      <c r="A204" s="21">
        <v>45693</v>
      </c>
      <c r="B204" s="5" t="s">
        <v>176</v>
      </c>
      <c r="C204" t="s">
        <v>177</v>
      </c>
      <c r="D204" t="s">
        <v>34</v>
      </c>
      <c r="E204" t="s">
        <v>21</v>
      </c>
      <c r="F204">
        <v>377</v>
      </c>
      <c r="G204">
        <v>211</v>
      </c>
      <c r="H204">
        <v>43</v>
      </c>
      <c r="I204">
        <f>Inventory_Data[[#This Row],[Opening_Stock]]+Inventory_Data[[#This Row],[Units_Received]]-Inventory_Data[[#This Row],[Units_Sold]]</f>
        <v>545</v>
      </c>
      <c r="J204">
        <v>0</v>
      </c>
      <c r="K204">
        <v>7</v>
      </c>
      <c r="L204" t="s">
        <v>39</v>
      </c>
      <c r="M204" s="3">
        <v>8.2200000000000006</v>
      </c>
      <c r="N204" s="3">
        <v>10.52</v>
      </c>
      <c r="O204" s="10" t="str">
        <f>TEXT(Inventory_Data[[#This Row],[Date]],"mmm")</f>
        <v>Feb</v>
      </c>
    </row>
    <row r="205" spans="1:15" x14ac:dyDescent="0.2">
      <c r="A205" s="21">
        <v>45693</v>
      </c>
      <c r="B205" s="5" t="s">
        <v>138</v>
      </c>
      <c r="C205" t="s">
        <v>139</v>
      </c>
      <c r="D205" t="s">
        <v>34</v>
      </c>
      <c r="E205" t="s">
        <v>35</v>
      </c>
      <c r="F205">
        <v>205</v>
      </c>
      <c r="G205">
        <v>96</v>
      </c>
      <c r="H205">
        <v>136</v>
      </c>
      <c r="I205">
        <f>Inventory_Data[[#This Row],[Opening_Stock]]+Inventory_Data[[#This Row],[Units_Received]]-Inventory_Data[[#This Row],[Units_Sold]]</f>
        <v>165</v>
      </c>
      <c r="J205">
        <v>0</v>
      </c>
      <c r="K205">
        <v>13</v>
      </c>
      <c r="L205" t="s">
        <v>42</v>
      </c>
      <c r="M205" s="3">
        <v>9.66</v>
      </c>
      <c r="N205" s="3">
        <v>14.46</v>
      </c>
      <c r="O205" s="10" t="str">
        <f>TEXT(Inventory_Data[[#This Row],[Date]],"mmm")</f>
        <v>Feb</v>
      </c>
    </row>
    <row r="206" spans="1:15" x14ac:dyDescent="0.2">
      <c r="A206" s="21">
        <v>45694</v>
      </c>
      <c r="B206" s="5" t="s">
        <v>14</v>
      </c>
      <c r="C206" t="s">
        <v>15</v>
      </c>
      <c r="D206" t="s">
        <v>16</v>
      </c>
      <c r="E206" t="s">
        <v>28</v>
      </c>
      <c r="F206">
        <v>58</v>
      </c>
      <c r="G206">
        <v>38</v>
      </c>
      <c r="H206">
        <v>24</v>
      </c>
      <c r="I206">
        <f>Inventory_Data[[#This Row],[Opening_Stock]]+Inventory_Data[[#This Row],[Units_Received]]-Inventory_Data[[#This Row],[Units_Sold]]</f>
        <v>72</v>
      </c>
      <c r="J206">
        <v>0</v>
      </c>
      <c r="K206">
        <v>12</v>
      </c>
      <c r="L206" t="s">
        <v>24</v>
      </c>
      <c r="M206" s="3">
        <v>103.23</v>
      </c>
      <c r="N206" s="3">
        <v>147.44999999999999</v>
      </c>
      <c r="O206" s="10" t="str">
        <f>TEXT(Inventory_Data[[#This Row],[Date]],"mmm")</f>
        <v>Feb</v>
      </c>
    </row>
    <row r="207" spans="1:15" x14ac:dyDescent="0.2">
      <c r="A207" s="21">
        <v>45694</v>
      </c>
      <c r="B207" s="5" t="s">
        <v>120</v>
      </c>
      <c r="C207" t="s">
        <v>121</v>
      </c>
      <c r="D207" t="s">
        <v>16</v>
      </c>
      <c r="E207" t="s">
        <v>21</v>
      </c>
      <c r="F207">
        <v>138</v>
      </c>
      <c r="G207">
        <v>18</v>
      </c>
      <c r="H207">
        <v>16</v>
      </c>
      <c r="I207">
        <f>Inventory_Data[[#This Row],[Opening_Stock]]+Inventory_Data[[#This Row],[Units_Received]]-Inventory_Data[[#This Row],[Units_Sold]]</f>
        <v>140</v>
      </c>
      <c r="J207">
        <v>0</v>
      </c>
      <c r="K207">
        <v>8</v>
      </c>
      <c r="L207" t="s">
        <v>18</v>
      </c>
      <c r="M207" s="3">
        <v>209.23</v>
      </c>
      <c r="N207" s="3">
        <v>314.64999999999998</v>
      </c>
      <c r="O207" s="10" t="str">
        <f>TEXT(Inventory_Data[[#This Row],[Date]],"mmm")</f>
        <v>Feb</v>
      </c>
    </row>
    <row r="208" spans="1:15" x14ac:dyDescent="0.2">
      <c r="A208" s="21">
        <v>45694</v>
      </c>
      <c r="B208" s="5" t="s">
        <v>92</v>
      </c>
      <c r="C208" t="s">
        <v>93</v>
      </c>
      <c r="D208" t="s">
        <v>27</v>
      </c>
      <c r="E208" t="s">
        <v>21</v>
      </c>
      <c r="F208">
        <v>91</v>
      </c>
      <c r="G208">
        <v>55</v>
      </c>
      <c r="H208">
        <v>62</v>
      </c>
      <c r="I208">
        <f>Inventory_Data[[#This Row],[Opening_Stock]]+Inventory_Data[[#This Row],[Units_Received]]-Inventory_Data[[#This Row],[Units_Sold]]</f>
        <v>84</v>
      </c>
      <c r="J208">
        <v>0</v>
      </c>
      <c r="K208">
        <v>5</v>
      </c>
      <c r="L208" t="s">
        <v>80</v>
      </c>
      <c r="M208" s="3">
        <v>16.87</v>
      </c>
      <c r="N208" s="3">
        <v>25.97</v>
      </c>
      <c r="O208" s="10" t="str">
        <f>TEXT(Inventory_Data[[#This Row],[Date]],"mmm")</f>
        <v>Feb</v>
      </c>
    </row>
    <row r="209" spans="1:15" x14ac:dyDescent="0.2">
      <c r="A209" s="21">
        <v>45694</v>
      </c>
      <c r="B209" s="5" t="s">
        <v>134</v>
      </c>
      <c r="C209" t="s">
        <v>135</v>
      </c>
      <c r="D209" t="s">
        <v>27</v>
      </c>
      <c r="E209" t="s">
        <v>28</v>
      </c>
      <c r="F209">
        <v>255</v>
      </c>
      <c r="G209">
        <v>210</v>
      </c>
      <c r="H209">
        <v>119</v>
      </c>
      <c r="I209">
        <f>Inventory_Data[[#This Row],[Opening_Stock]]+Inventory_Data[[#This Row],[Units_Received]]-Inventory_Data[[#This Row],[Units_Sold]]</f>
        <v>346</v>
      </c>
      <c r="J209">
        <v>0</v>
      </c>
      <c r="K209">
        <v>1</v>
      </c>
      <c r="L209" t="s">
        <v>29</v>
      </c>
      <c r="M209" s="3">
        <v>9.4700000000000006</v>
      </c>
      <c r="N209" s="3">
        <v>12.39</v>
      </c>
      <c r="O209" s="10" t="str">
        <f>TEXT(Inventory_Data[[#This Row],[Date]],"mmm")</f>
        <v>Feb</v>
      </c>
    </row>
    <row r="210" spans="1:15" x14ac:dyDescent="0.2">
      <c r="A210" s="21">
        <v>45694</v>
      </c>
      <c r="B210" s="5" t="s">
        <v>100</v>
      </c>
      <c r="C210" t="s">
        <v>101</v>
      </c>
      <c r="D210" t="s">
        <v>52</v>
      </c>
      <c r="E210" t="s">
        <v>21</v>
      </c>
      <c r="F210">
        <v>28</v>
      </c>
      <c r="G210">
        <v>22</v>
      </c>
      <c r="H210">
        <v>17</v>
      </c>
      <c r="I210">
        <f>Inventory_Data[[#This Row],[Opening_Stock]]+Inventory_Data[[#This Row],[Units_Received]]-Inventory_Data[[#This Row],[Units_Sold]]</f>
        <v>33</v>
      </c>
      <c r="J210">
        <v>0</v>
      </c>
      <c r="K210">
        <v>9</v>
      </c>
      <c r="L210" t="s">
        <v>56</v>
      </c>
      <c r="M210" s="3">
        <v>328.72</v>
      </c>
      <c r="N210" s="3">
        <v>506.47</v>
      </c>
      <c r="O210" s="10" t="str">
        <f>TEXT(Inventory_Data[[#This Row],[Date]],"mmm")</f>
        <v>Feb</v>
      </c>
    </row>
    <row r="211" spans="1:15" x14ac:dyDescent="0.2">
      <c r="A211" s="21">
        <v>45694</v>
      </c>
      <c r="B211" s="5" t="s">
        <v>180</v>
      </c>
      <c r="C211" t="s">
        <v>181</v>
      </c>
      <c r="D211" t="s">
        <v>34</v>
      </c>
      <c r="E211" t="s">
        <v>17</v>
      </c>
      <c r="F211">
        <v>223</v>
      </c>
      <c r="G211">
        <v>177</v>
      </c>
      <c r="H211">
        <v>32</v>
      </c>
      <c r="I211">
        <f>Inventory_Data[[#This Row],[Opening_Stock]]+Inventory_Data[[#This Row],[Units_Received]]-Inventory_Data[[#This Row],[Units_Sold]]</f>
        <v>368</v>
      </c>
      <c r="J211">
        <v>0</v>
      </c>
      <c r="K211">
        <v>7</v>
      </c>
      <c r="L211" t="s">
        <v>39</v>
      </c>
      <c r="M211" s="3">
        <v>9.58</v>
      </c>
      <c r="N211" s="3">
        <v>11.02</v>
      </c>
      <c r="O211" s="10" t="str">
        <f>TEXT(Inventory_Data[[#This Row],[Date]],"mmm")</f>
        <v>Feb</v>
      </c>
    </row>
    <row r="212" spans="1:15" x14ac:dyDescent="0.2">
      <c r="A212" s="21">
        <v>45695</v>
      </c>
      <c r="B212" s="5" t="s">
        <v>132</v>
      </c>
      <c r="C212" t="s">
        <v>133</v>
      </c>
      <c r="D212" t="s">
        <v>16</v>
      </c>
      <c r="E212" t="s">
        <v>17</v>
      </c>
      <c r="F212">
        <v>79</v>
      </c>
      <c r="G212">
        <v>58</v>
      </c>
      <c r="H212">
        <v>55</v>
      </c>
      <c r="I212">
        <f>Inventory_Data[[#This Row],[Opening_Stock]]+Inventory_Data[[#This Row],[Units_Received]]-Inventory_Data[[#This Row],[Units_Sold]]</f>
        <v>82</v>
      </c>
      <c r="J212">
        <v>0</v>
      </c>
      <c r="K212">
        <v>13</v>
      </c>
      <c r="L212" t="s">
        <v>45</v>
      </c>
      <c r="M212" s="3">
        <v>48.63</v>
      </c>
      <c r="N212" s="3">
        <v>61.47</v>
      </c>
      <c r="O212" s="10" t="str">
        <f>TEXT(Inventory_Data[[#This Row],[Date]],"mmm")</f>
        <v>Feb</v>
      </c>
    </row>
    <row r="213" spans="1:15" x14ac:dyDescent="0.2">
      <c r="A213" s="21">
        <v>45695</v>
      </c>
      <c r="B213" s="5" t="s">
        <v>84</v>
      </c>
      <c r="C213" t="s">
        <v>85</v>
      </c>
      <c r="D213" t="s">
        <v>48</v>
      </c>
      <c r="E213" t="s">
        <v>17</v>
      </c>
      <c r="F213">
        <v>273</v>
      </c>
      <c r="G213">
        <v>65</v>
      </c>
      <c r="H213">
        <v>73</v>
      </c>
      <c r="I213">
        <f>Inventory_Data[[#This Row],[Opening_Stock]]+Inventory_Data[[#This Row],[Units_Received]]-Inventory_Data[[#This Row],[Units_Sold]]</f>
        <v>265</v>
      </c>
      <c r="J213">
        <v>0</v>
      </c>
      <c r="K213">
        <v>7</v>
      </c>
      <c r="L213" t="s">
        <v>77</v>
      </c>
      <c r="M213" s="3">
        <v>60.7</v>
      </c>
      <c r="N213" s="3">
        <v>90.44</v>
      </c>
      <c r="O213" s="10" t="str">
        <f>TEXT(Inventory_Data[[#This Row],[Date]],"mmm")</f>
        <v>Feb</v>
      </c>
    </row>
    <row r="214" spans="1:15" x14ac:dyDescent="0.2">
      <c r="A214" s="21">
        <v>45695</v>
      </c>
      <c r="B214" s="5" t="s">
        <v>144</v>
      </c>
      <c r="C214" t="s">
        <v>145</v>
      </c>
      <c r="D214" t="s">
        <v>48</v>
      </c>
      <c r="E214" t="s">
        <v>35</v>
      </c>
      <c r="F214">
        <v>44</v>
      </c>
      <c r="G214">
        <v>101</v>
      </c>
      <c r="H214">
        <v>140</v>
      </c>
      <c r="I214">
        <f>Inventory_Data[[#This Row],[Opening_Stock]]+Inventory_Data[[#This Row],[Units_Received]]-Inventory_Data[[#This Row],[Units_Sold]]</f>
        <v>5</v>
      </c>
      <c r="J214">
        <v>0</v>
      </c>
      <c r="K214">
        <v>12</v>
      </c>
      <c r="L214" t="s">
        <v>49</v>
      </c>
      <c r="M214" s="3">
        <v>14.1</v>
      </c>
      <c r="N214" s="3">
        <v>21.73</v>
      </c>
      <c r="O214" s="10" t="str">
        <f>TEXT(Inventory_Data[[#This Row],[Date]],"mmm")</f>
        <v>Feb</v>
      </c>
    </row>
    <row r="215" spans="1:15" x14ac:dyDescent="0.2">
      <c r="A215" s="21">
        <v>45695</v>
      </c>
      <c r="B215" s="5" t="s">
        <v>172</v>
      </c>
      <c r="C215" t="s">
        <v>173</v>
      </c>
      <c r="D215" t="s">
        <v>27</v>
      </c>
      <c r="E215" t="s">
        <v>35</v>
      </c>
      <c r="F215">
        <v>484</v>
      </c>
      <c r="G215">
        <v>225</v>
      </c>
      <c r="H215">
        <v>104</v>
      </c>
      <c r="I215">
        <f>Inventory_Data[[#This Row],[Opening_Stock]]+Inventory_Data[[#This Row],[Units_Received]]-Inventory_Data[[#This Row],[Units_Sold]]</f>
        <v>605</v>
      </c>
      <c r="J215">
        <v>0</v>
      </c>
      <c r="K215">
        <v>5</v>
      </c>
      <c r="L215" t="s">
        <v>80</v>
      </c>
      <c r="M215" s="3">
        <v>2.67</v>
      </c>
      <c r="N215" s="3">
        <v>3.73</v>
      </c>
      <c r="O215" s="10" t="str">
        <f>TEXT(Inventory_Data[[#This Row],[Date]],"mmm")</f>
        <v>Feb</v>
      </c>
    </row>
    <row r="216" spans="1:15" x14ac:dyDescent="0.2">
      <c r="A216" s="21">
        <v>45695</v>
      </c>
      <c r="B216" s="5" t="s">
        <v>136</v>
      </c>
      <c r="C216" t="s">
        <v>137</v>
      </c>
      <c r="D216" t="s">
        <v>27</v>
      </c>
      <c r="E216" t="s">
        <v>28</v>
      </c>
      <c r="F216">
        <v>458</v>
      </c>
      <c r="G216">
        <v>86</v>
      </c>
      <c r="H216">
        <v>137</v>
      </c>
      <c r="I216">
        <f>Inventory_Data[[#This Row],[Opening_Stock]]+Inventory_Data[[#This Row],[Units_Received]]-Inventory_Data[[#This Row],[Units_Sold]]</f>
        <v>407</v>
      </c>
      <c r="J216">
        <v>0</v>
      </c>
      <c r="K216">
        <v>4</v>
      </c>
      <c r="L216" t="s">
        <v>29</v>
      </c>
      <c r="M216" s="3">
        <v>24.65</v>
      </c>
      <c r="N216" s="3">
        <v>35.78</v>
      </c>
      <c r="O216" s="10" t="str">
        <f>TEXT(Inventory_Data[[#This Row],[Date]],"mmm")</f>
        <v>Feb</v>
      </c>
    </row>
    <row r="217" spans="1:15" x14ac:dyDescent="0.2">
      <c r="A217" s="21">
        <v>45695</v>
      </c>
      <c r="B217" s="5" t="s">
        <v>158</v>
      </c>
      <c r="C217" t="s">
        <v>159</v>
      </c>
      <c r="D217" t="s">
        <v>52</v>
      </c>
      <c r="E217" t="s">
        <v>17</v>
      </c>
      <c r="F217">
        <v>40</v>
      </c>
      <c r="G217">
        <v>12</v>
      </c>
      <c r="H217">
        <v>10</v>
      </c>
      <c r="I217">
        <f>Inventory_Data[[#This Row],[Opening_Stock]]+Inventory_Data[[#This Row],[Units_Received]]-Inventory_Data[[#This Row],[Units_Sold]]</f>
        <v>42</v>
      </c>
      <c r="J217">
        <v>0</v>
      </c>
      <c r="K217">
        <v>9</v>
      </c>
      <c r="L217" t="s">
        <v>53</v>
      </c>
      <c r="M217" s="3">
        <v>184.51</v>
      </c>
      <c r="N217" s="3">
        <v>217.76</v>
      </c>
      <c r="O217" s="10" t="str">
        <f>TEXT(Inventory_Data[[#This Row],[Date]],"mmm")</f>
        <v>Feb</v>
      </c>
    </row>
    <row r="218" spans="1:15" x14ac:dyDescent="0.2">
      <c r="A218" s="21">
        <v>45696</v>
      </c>
      <c r="B218" s="5" t="s">
        <v>106</v>
      </c>
      <c r="C218" t="s">
        <v>107</v>
      </c>
      <c r="D218" t="s">
        <v>16</v>
      </c>
      <c r="E218" t="s">
        <v>21</v>
      </c>
      <c r="F218">
        <v>129</v>
      </c>
      <c r="G218">
        <v>18</v>
      </c>
      <c r="H218">
        <v>15</v>
      </c>
      <c r="I218">
        <f>Inventory_Data[[#This Row],[Opening_Stock]]+Inventory_Data[[#This Row],[Units_Received]]-Inventory_Data[[#This Row],[Units_Sold]]</f>
        <v>132</v>
      </c>
      <c r="J218">
        <v>0</v>
      </c>
      <c r="K218">
        <v>4</v>
      </c>
      <c r="L218" t="s">
        <v>45</v>
      </c>
      <c r="M218" s="3">
        <v>200.16</v>
      </c>
      <c r="N218" s="3">
        <v>232.16</v>
      </c>
      <c r="O218" s="10" t="str">
        <f>TEXT(Inventory_Data[[#This Row],[Date]],"mmm")</f>
        <v>Feb</v>
      </c>
    </row>
    <row r="219" spans="1:15" x14ac:dyDescent="0.2">
      <c r="A219" s="21">
        <v>45696</v>
      </c>
      <c r="B219" s="5" t="s">
        <v>71</v>
      </c>
      <c r="C219" t="s">
        <v>72</v>
      </c>
      <c r="D219" t="s">
        <v>16</v>
      </c>
      <c r="E219" t="s">
        <v>35</v>
      </c>
      <c r="F219">
        <v>93</v>
      </c>
      <c r="G219">
        <v>89</v>
      </c>
      <c r="H219">
        <v>79</v>
      </c>
      <c r="I219">
        <f>Inventory_Data[[#This Row],[Opening_Stock]]+Inventory_Data[[#This Row],[Units_Received]]-Inventory_Data[[#This Row],[Units_Sold]]</f>
        <v>103</v>
      </c>
      <c r="J219">
        <v>0</v>
      </c>
      <c r="K219">
        <v>14</v>
      </c>
      <c r="L219" t="s">
        <v>18</v>
      </c>
      <c r="M219" s="3">
        <v>124.52</v>
      </c>
      <c r="N219" s="3">
        <v>185.13</v>
      </c>
      <c r="O219" s="10" t="str">
        <f>TEXT(Inventory_Data[[#This Row],[Date]],"mmm")</f>
        <v>Feb</v>
      </c>
    </row>
    <row r="220" spans="1:15" x14ac:dyDescent="0.2">
      <c r="A220" s="21">
        <v>45696</v>
      </c>
      <c r="B220" s="5" t="s">
        <v>112</v>
      </c>
      <c r="C220" t="s">
        <v>113</v>
      </c>
      <c r="D220" t="s">
        <v>16</v>
      </c>
      <c r="E220" t="s">
        <v>17</v>
      </c>
      <c r="F220">
        <v>39</v>
      </c>
      <c r="G220">
        <v>81</v>
      </c>
      <c r="H220">
        <v>77</v>
      </c>
      <c r="I220">
        <f>Inventory_Data[[#This Row],[Opening_Stock]]+Inventory_Data[[#This Row],[Units_Received]]-Inventory_Data[[#This Row],[Units_Sold]]</f>
        <v>43</v>
      </c>
      <c r="J220">
        <v>0</v>
      </c>
      <c r="K220">
        <v>8</v>
      </c>
      <c r="L220" t="s">
        <v>18</v>
      </c>
      <c r="M220" s="3">
        <v>113.54</v>
      </c>
      <c r="N220" s="3">
        <v>150.91999999999999</v>
      </c>
      <c r="O220" s="10" t="str">
        <f>TEXT(Inventory_Data[[#This Row],[Date]],"mmm")</f>
        <v>Feb</v>
      </c>
    </row>
    <row r="221" spans="1:15" x14ac:dyDescent="0.2">
      <c r="A221" s="21">
        <v>45696</v>
      </c>
      <c r="B221" s="5" t="s">
        <v>94</v>
      </c>
      <c r="C221" t="s">
        <v>95</v>
      </c>
      <c r="D221" t="s">
        <v>16</v>
      </c>
      <c r="E221" t="s">
        <v>35</v>
      </c>
      <c r="F221">
        <v>47</v>
      </c>
      <c r="G221">
        <v>65</v>
      </c>
      <c r="H221">
        <v>73</v>
      </c>
      <c r="I221">
        <f>Inventory_Data[[#This Row],[Opening_Stock]]+Inventory_Data[[#This Row],[Units_Received]]-Inventory_Data[[#This Row],[Units_Sold]]</f>
        <v>39</v>
      </c>
      <c r="J221">
        <v>0</v>
      </c>
      <c r="K221">
        <v>3</v>
      </c>
      <c r="L221" t="s">
        <v>24</v>
      </c>
      <c r="M221" s="3">
        <v>206.76</v>
      </c>
      <c r="N221" s="3">
        <v>299.92</v>
      </c>
      <c r="O221" s="10" t="str">
        <f>TEXT(Inventory_Data[[#This Row],[Date]],"mmm")</f>
        <v>Feb</v>
      </c>
    </row>
    <row r="222" spans="1:15" x14ac:dyDescent="0.2">
      <c r="A222" s="21">
        <v>45696</v>
      </c>
      <c r="B222" s="5" t="s">
        <v>130</v>
      </c>
      <c r="C222" t="s">
        <v>131</v>
      </c>
      <c r="D222" t="s">
        <v>48</v>
      </c>
      <c r="E222" t="s">
        <v>28</v>
      </c>
      <c r="F222">
        <v>151</v>
      </c>
      <c r="G222">
        <v>75</v>
      </c>
      <c r="H222">
        <v>69</v>
      </c>
      <c r="I222">
        <f>Inventory_Data[[#This Row],[Opening_Stock]]+Inventory_Data[[#This Row],[Units_Received]]-Inventory_Data[[#This Row],[Units_Sold]]</f>
        <v>157</v>
      </c>
      <c r="J222">
        <v>0</v>
      </c>
      <c r="K222">
        <v>12</v>
      </c>
      <c r="L222" t="s">
        <v>49</v>
      </c>
      <c r="M222" s="3">
        <v>77.23</v>
      </c>
      <c r="N222" s="3">
        <v>109.69</v>
      </c>
      <c r="O222" s="10" t="str">
        <f>TEXT(Inventory_Data[[#This Row],[Date]],"mmm")</f>
        <v>Feb</v>
      </c>
    </row>
    <row r="223" spans="1:15" x14ac:dyDescent="0.2">
      <c r="A223" s="21">
        <v>45696</v>
      </c>
      <c r="B223" s="5" t="s">
        <v>86</v>
      </c>
      <c r="C223" t="s">
        <v>87</v>
      </c>
      <c r="D223" t="s">
        <v>48</v>
      </c>
      <c r="E223" t="s">
        <v>28</v>
      </c>
      <c r="F223">
        <v>214</v>
      </c>
      <c r="G223">
        <v>114</v>
      </c>
      <c r="H223">
        <v>93</v>
      </c>
      <c r="I223">
        <f>Inventory_Data[[#This Row],[Opening_Stock]]+Inventory_Data[[#This Row],[Units_Received]]-Inventory_Data[[#This Row],[Units_Sold]]</f>
        <v>235</v>
      </c>
      <c r="J223">
        <v>0</v>
      </c>
      <c r="K223">
        <v>13</v>
      </c>
      <c r="L223" t="s">
        <v>49</v>
      </c>
      <c r="M223" s="3">
        <v>82.55</v>
      </c>
      <c r="N223" s="3">
        <v>105.3</v>
      </c>
      <c r="O223" s="10" t="str">
        <f>TEXT(Inventory_Data[[#This Row],[Date]],"mmm")</f>
        <v>Feb</v>
      </c>
    </row>
    <row r="224" spans="1:15" x14ac:dyDescent="0.2">
      <c r="A224" s="21">
        <v>45696</v>
      </c>
      <c r="B224" s="5" t="s">
        <v>46</v>
      </c>
      <c r="C224" t="s">
        <v>47</v>
      </c>
      <c r="D224" t="s">
        <v>48</v>
      </c>
      <c r="E224" t="s">
        <v>28</v>
      </c>
      <c r="F224">
        <v>154</v>
      </c>
      <c r="G224">
        <v>47</v>
      </c>
      <c r="H224">
        <v>20</v>
      </c>
      <c r="I224">
        <f>Inventory_Data[[#This Row],[Opening_Stock]]+Inventory_Data[[#This Row],[Units_Received]]-Inventory_Data[[#This Row],[Units_Sold]]</f>
        <v>181</v>
      </c>
      <c r="J224">
        <v>0</v>
      </c>
      <c r="K224">
        <v>8</v>
      </c>
      <c r="L224" t="s">
        <v>49</v>
      </c>
      <c r="M224" s="3">
        <v>12.73</v>
      </c>
      <c r="N224" s="3">
        <v>16.63</v>
      </c>
      <c r="O224" s="10" t="str">
        <f>TEXT(Inventory_Data[[#This Row],[Date]],"mmm")</f>
        <v>Feb</v>
      </c>
    </row>
    <row r="225" spans="1:15" x14ac:dyDescent="0.2">
      <c r="A225" s="21">
        <v>45696</v>
      </c>
      <c r="B225" s="5" t="s">
        <v>122</v>
      </c>
      <c r="C225" t="s">
        <v>123</v>
      </c>
      <c r="D225" t="s">
        <v>27</v>
      </c>
      <c r="E225" t="s">
        <v>17</v>
      </c>
      <c r="F225">
        <v>436</v>
      </c>
      <c r="G225">
        <v>101</v>
      </c>
      <c r="H225">
        <v>81</v>
      </c>
      <c r="I225">
        <f>Inventory_Data[[#This Row],[Opening_Stock]]+Inventory_Data[[#This Row],[Units_Received]]-Inventory_Data[[#This Row],[Units_Sold]]</f>
        <v>456</v>
      </c>
      <c r="J225">
        <v>0</v>
      </c>
      <c r="K225">
        <v>6</v>
      </c>
      <c r="L225" t="s">
        <v>80</v>
      </c>
      <c r="M225" s="3">
        <v>5.8</v>
      </c>
      <c r="N225" s="3">
        <v>8.81</v>
      </c>
      <c r="O225" s="10" t="str">
        <f>TEXT(Inventory_Data[[#This Row],[Date]],"mmm")</f>
        <v>Feb</v>
      </c>
    </row>
    <row r="226" spans="1:15" x14ac:dyDescent="0.2">
      <c r="A226" s="21">
        <v>45696</v>
      </c>
      <c r="B226" s="5" t="s">
        <v>98</v>
      </c>
      <c r="C226" t="s">
        <v>99</v>
      </c>
      <c r="D226" t="s">
        <v>27</v>
      </c>
      <c r="E226" t="s">
        <v>21</v>
      </c>
      <c r="F226">
        <v>185</v>
      </c>
      <c r="G226">
        <v>185</v>
      </c>
      <c r="H226">
        <v>174</v>
      </c>
      <c r="I226">
        <f>Inventory_Data[[#This Row],[Opening_Stock]]+Inventory_Data[[#This Row],[Units_Received]]-Inventory_Data[[#This Row],[Units_Sold]]</f>
        <v>196</v>
      </c>
      <c r="J226">
        <v>0</v>
      </c>
      <c r="K226">
        <v>1</v>
      </c>
      <c r="L226" t="s">
        <v>29</v>
      </c>
      <c r="M226" s="3">
        <v>13.32</v>
      </c>
      <c r="N226" s="3">
        <v>16.34</v>
      </c>
      <c r="O226" s="10" t="str">
        <f>TEXT(Inventory_Data[[#This Row],[Date]],"mmm")</f>
        <v>Feb</v>
      </c>
    </row>
    <row r="227" spans="1:15" x14ac:dyDescent="0.2">
      <c r="A227" s="21">
        <v>45696</v>
      </c>
      <c r="B227" s="5" t="s">
        <v>148</v>
      </c>
      <c r="C227" t="s">
        <v>149</v>
      </c>
      <c r="D227" t="s">
        <v>27</v>
      </c>
      <c r="E227" t="s">
        <v>28</v>
      </c>
      <c r="F227">
        <v>387</v>
      </c>
      <c r="G227">
        <v>130</v>
      </c>
      <c r="H227">
        <v>156</v>
      </c>
      <c r="I227">
        <f>Inventory_Data[[#This Row],[Opening_Stock]]+Inventory_Data[[#This Row],[Units_Received]]-Inventory_Data[[#This Row],[Units_Sold]]</f>
        <v>361</v>
      </c>
      <c r="J227">
        <v>0</v>
      </c>
      <c r="K227">
        <v>6</v>
      </c>
      <c r="L227" t="s">
        <v>29</v>
      </c>
      <c r="M227" s="3">
        <v>12.56</v>
      </c>
      <c r="N227" s="3">
        <v>18.55</v>
      </c>
      <c r="O227" s="10" t="str">
        <f>TEXT(Inventory_Data[[#This Row],[Date]],"mmm")</f>
        <v>Feb</v>
      </c>
    </row>
    <row r="228" spans="1:15" x14ac:dyDescent="0.2">
      <c r="A228" s="21">
        <v>45696</v>
      </c>
      <c r="B228" s="5" t="s">
        <v>148</v>
      </c>
      <c r="C228" t="s">
        <v>149</v>
      </c>
      <c r="D228" t="s">
        <v>27</v>
      </c>
      <c r="E228" t="s">
        <v>21</v>
      </c>
      <c r="F228">
        <v>80</v>
      </c>
      <c r="G228">
        <v>80</v>
      </c>
      <c r="H228">
        <v>67</v>
      </c>
      <c r="I228">
        <f>Inventory_Data[[#This Row],[Opening_Stock]]+Inventory_Data[[#This Row],[Units_Received]]-Inventory_Data[[#This Row],[Units_Sold]]</f>
        <v>93</v>
      </c>
      <c r="J228">
        <v>0</v>
      </c>
      <c r="K228">
        <v>7</v>
      </c>
      <c r="L228" t="s">
        <v>29</v>
      </c>
      <c r="M228" s="3">
        <v>9.16</v>
      </c>
      <c r="N228" s="3">
        <v>12.61</v>
      </c>
      <c r="O228" s="10" t="str">
        <f>TEXT(Inventory_Data[[#This Row],[Date]],"mmm")</f>
        <v>Feb</v>
      </c>
    </row>
    <row r="229" spans="1:15" x14ac:dyDescent="0.2">
      <c r="A229" s="21">
        <v>45696</v>
      </c>
      <c r="B229" s="5" t="s">
        <v>124</v>
      </c>
      <c r="C229" t="s">
        <v>125</v>
      </c>
      <c r="D229" t="s">
        <v>52</v>
      </c>
      <c r="E229" t="s">
        <v>35</v>
      </c>
      <c r="F229">
        <v>13</v>
      </c>
      <c r="G229">
        <v>6</v>
      </c>
      <c r="H229">
        <v>17</v>
      </c>
      <c r="I229">
        <f>Inventory_Data[[#This Row],[Opening_Stock]]+Inventory_Data[[#This Row],[Units_Received]]-Inventory_Data[[#This Row],[Units_Sold]]</f>
        <v>2</v>
      </c>
      <c r="J229">
        <v>0</v>
      </c>
      <c r="K229">
        <v>8</v>
      </c>
      <c r="L229" t="s">
        <v>53</v>
      </c>
      <c r="M229" s="3">
        <v>330.36</v>
      </c>
      <c r="N229" s="3">
        <v>479.7</v>
      </c>
      <c r="O229" s="10" t="str">
        <f>TEXT(Inventory_Data[[#This Row],[Date]],"mmm")</f>
        <v>Feb</v>
      </c>
    </row>
    <row r="230" spans="1:15" x14ac:dyDescent="0.2">
      <c r="A230" s="21">
        <v>45696</v>
      </c>
      <c r="B230" s="5" t="s">
        <v>54</v>
      </c>
      <c r="C230" t="s">
        <v>55</v>
      </c>
      <c r="D230" t="s">
        <v>52</v>
      </c>
      <c r="E230" t="s">
        <v>17</v>
      </c>
      <c r="F230">
        <v>23</v>
      </c>
      <c r="G230">
        <v>8</v>
      </c>
      <c r="H230">
        <v>20</v>
      </c>
      <c r="I230">
        <f>Inventory_Data[[#This Row],[Opening_Stock]]+Inventory_Data[[#This Row],[Units_Received]]-Inventory_Data[[#This Row],[Units_Sold]]</f>
        <v>11</v>
      </c>
      <c r="J230">
        <v>0</v>
      </c>
      <c r="K230">
        <v>7</v>
      </c>
      <c r="L230" t="s">
        <v>53</v>
      </c>
      <c r="M230" s="3">
        <v>26.21</v>
      </c>
      <c r="N230" s="3">
        <v>32.67</v>
      </c>
      <c r="O230" s="10" t="str">
        <f>TEXT(Inventory_Data[[#This Row],[Date]],"mmm")</f>
        <v>Feb</v>
      </c>
    </row>
    <row r="231" spans="1:15" x14ac:dyDescent="0.2">
      <c r="A231" s="21">
        <v>45697</v>
      </c>
      <c r="B231" s="5" t="s">
        <v>178</v>
      </c>
      <c r="C231" t="s">
        <v>179</v>
      </c>
      <c r="D231" t="s">
        <v>16</v>
      </c>
      <c r="E231" t="s">
        <v>17</v>
      </c>
      <c r="F231">
        <v>175</v>
      </c>
      <c r="G231">
        <v>67</v>
      </c>
      <c r="H231">
        <v>24</v>
      </c>
      <c r="I231">
        <f>Inventory_Data[[#This Row],[Opening_Stock]]+Inventory_Data[[#This Row],[Units_Received]]-Inventory_Data[[#This Row],[Units_Sold]]</f>
        <v>218</v>
      </c>
      <c r="J231">
        <v>0</v>
      </c>
      <c r="K231">
        <v>3</v>
      </c>
      <c r="L231" t="s">
        <v>45</v>
      </c>
      <c r="M231" s="3">
        <v>71.03</v>
      </c>
      <c r="N231" s="3">
        <v>107.96</v>
      </c>
      <c r="O231" s="10" t="str">
        <f>TEXT(Inventory_Data[[#This Row],[Date]],"mmm")</f>
        <v>Feb</v>
      </c>
    </row>
    <row r="232" spans="1:15" x14ac:dyDescent="0.2">
      <c r="A232" s="21">
        <v>45697</v>
      </c>
      <c r="B232" s="5" t="s">
        <v>19</v>
      </c>
      <c r="C232" t="s">
        <v>20</v>
      </c>
      <c r="D232" t="s">
        <v>16</v>
      </c>
      <c r="E232" t="s">
        <v>17</v>
      </c>
      <c r="F232">
        <v>27</v>
      </c>
      <c r="G232">
        <v>88</v>
      </c>
      <c r="H232">
        <v>30</v>
      </c>
      <c r="I232">
        <f>Inventory_Data[[#This Row],[Opening_Stock]]+Inventory_Data[[#This Row],[Units_Received]]-Inventory_Data[[#This Row],[Units_Sold]]</f>
        <v>85</v>
      </c>
      <c r="J232">
        <v>0</v>
      </c>
      <c r="K232">
        <v>13</v>
      </c>
      <c r="L232" t="s">
        <v>24</v>
      </c>
      <c r="M232" s="3">
        <v>157.54</v>
      </c>
      <c r="N232" s="3">
        <v>206.97</v>
      </c>
      <c r="O232" s="10" t="str">
        <f>TEXT(Inventory_Data[[#This Row],[Date]],"mmm")</f>
        <v>Feb</v>
      </c>
    </row>
    <row r="233" spans="1:15" x14ac:dyDescent="0.2">
      <c r="A233" s="21">
        <v>45697</v>
      </c>
      <c r="B233" s="5" t="s">
        <v>22</v>
      </c>
      <c r="C233" t="s">
        <v>23</v>
      </c>
      <c r="D233" t="s">
        <v>16</v>
      </c>
      <c r="E233" t="s">
        <v>28</v>
      </c>
      <c r="F233">
        <v>175</v>
      </c>
      <c r="G233">
        <v>87</v>
      </c>
      <c r="H233">
        <v>62</v>
      </c>
      <c r="I233">
        <f>Inventory_Data[[#This Row],[Opening_Stock]]+Inventory_Data[[#This Row],[Units_Received]]-Inventory_Data[[#This Row],[Units_Sold]]</f>
        <v>200</v>
      </c>
      <c r="J233">
        <v>0</v>
      </c>
      <c r="K233">
        <v>5</v>
      </c>
      <c r="L233" t="s">
        <v>24</v>
      </c>
      <c r="M233" s="3">
        <v>156.99</v>
      </c>
      <c r="N233" s="3">
        <v>217.73</v>
      </c>
      <c r="O233" s="10" t="str">
        <f>TEXT(Inventory_Data[[#This Row],[Date]],"mmm")</f>
        <v>Feb</v>
      </c>
    </row>
    <row r="234" spans="1:15" x14ac:dyDescent="0.2">
      <c r="A234" s="21">
        <v>45697</v>
      </c>
      <c r="B234" s="5" t="s">
        <v>174</v>
      </c>
      <c r="C234" t="s">
        <v>175</v>
      </c>
      <c r="D234" t="s">
        <v>52</v>
      </c>
      <c r="E234" t="s">
        <v>17</v>
      </c>
      <c r="F234">
        <v>15</v>
      </c>
      <c r="G234">
        <v>14</v>
      </c>
      <c r="H234">
        <v>7</v>
      </c>
      <c r="I234">
        <f>Inventory_Data[[#This Row],[Opening_Stock]]+Inventory_Data[[#This Row],[Units_Received]]-Inventory_Data[[#This Row],[Units_Sold]]</f>
        <v>22</v>
      </c>
      <c r="J234">
        <v>0</v>
      </c>
      <c r="K234">
        <v>6</v>
      </c>
      <c r="L234" t="s">
        <v>56</v>
      </c>
      <c r="M234" s="3">
        <v>94.24</v>
      </c>
      <c r="N234" s="3">
        <v>131.6</v>
      </c>
      <c r="O234" s="10" t="str">
        <f>TEXT(Inventory_Data[[#This Row],[Date]],"mmm")</f>
        <v>Feb</v>
      </c>
    </row>
    <row r="235" spans="1:15" x14ac:dyDescent="0.2">
      <c r="A235" s="21">
        <v>45697</v>
      </c>
      <c r="B235" s="5" t="s">
        <v>104</v>
      </c>
      <c r="C235" t="s">
        <v>105</v>
      </c>
      <c r="D235" t="s">
        <v>34</v>
      </c>
      <c r="E235" t="s">
        <v>28</v>
      </c>
      <c r="F235">
        <v>253</v>
      </c>
      <c r="G235">
        <v>152</v>
      </c>
      <c r="H235">
        <v>150</v>
      </c>
      <c r="I235">
        <f>Inventory_Data[[#This Row],[Opening_Stock]]+Inventory_Data[[#This Row],[Units_Received]]-Inventory_Data[[#This Row],[Units_Sold]]</f>
        <v>255</v>
      </c>
      <c r="J235">
        <v>0</v>
      </c>
      <c r="K235">
        <v>14</v>
      </c>
      <c r="L235" t="s">
        <v>42</v>
      </c>
      <c r="M235" s="3">
        <v>4.42</v>
      </c>
      <c r="N235" s="3">
        <v>6.42</v>
      </c>
      <c r="O235" s="10" t="str">
        <f>TEXT(Inventory_Data[[#This Row],[Date]],"mmm")</f>
        <v>Feb</v>
      </c>
    </row>
    <row r="236" spans="1:15" x14ac:dyDescent="0.2">
      <c r="A236" s="21">
        <v>45697</v>
      </c>
      <c r="B236" s="5" t="s">
        <v>138</v>
      </c>
      <c r="C236" t="s">
        <v>139</v>
      </c>
      <c r="D236" t="s">
        <v>34</v>
      </c>
      <c r="E236" t="s">
        <v>35</v>
      </c>
      <c r="F236">
        <v>218</v>
      </c>
      <c r="G236">
        <v>178</v>
      </c>
      <c r="H236">
        <v>41</v>
      </c>
      <c r="I236">
        <f>Inventory_Data[[#This Row],[Opening_Stock]]+Inventory_Data[[#This Row],[Units_Received]]-Inventory_Data[[#This Row],[Units_Sold]]</f>
        <v>355</v>
      </c>
      <c r="J236">
        <v>0</v>
      </c>
      <c r="K236">
        <v>12</v>
      </c>
      <c r="L236" t="s">
        <v>39</v>
      </c>
      <c r="M236" s="3">
        <v>15.65</v>
      </c>
      <c r="N236" s="3">
        <v>22.68</v>
      </c>
      <c r="O236" s="10" t="str">
        <f>TEXT(Inventory_Data[[#This Row],[Date]],"mmm")</f>
        <v>Feb</v>
      </c>
    </row>
    <row r="237" spans="1:15" x14ac:dyDescent="0.2">
      <c r="A237" s="21">
        <v>45697</v>
      </c>
      <c r="B237" s="5" t="s">
        <v>43</v>
      </c>
      <c r="C237" t="s">
        <v>44</v>
      </c>
      <c r="D237" t="s">
        <v>34</v>
      </c>
      <c r="E237" t="s">
        <v>17</v>
      </c>
      <c r="F237">
        <v>223</v>
      </c>
      <c r="G237">
        <v>176</v>
      </c>
      <c r="H237">
        <v>149</v>
      </c>
      <c r="I237">
        <f>Inventory_Data[[#This Row],[Opening_Stock]]+Inventory_Data[[#This Row],[Units_Received]]-Inventory_Data[[#This Row],[Units_Sold]]</f>
        <v>250</v>
      </c>
      <c r="J237">
        <v>0</v>
      </c>
      <c r="K237">
        <v>11</v>
      </c>
      <c r="L237" t="s">
        <v>42</v>
      </c>
      <c r="M237" s="3">
        <v>18.489999999999998</v>
      </c>
      <c r="N237" s="3">
        <v>21.69</v>
      </c>
      <c r="O237" s="10" t="str">
        <f>TEXT(Inventory_Data[[#This Row],[Date]],"mmm")</f>
        <v>Feb</v>
      </c>
    </row>
    <row r="238" spans="1:15" x14ac:dyDescent="0.2">
      <c r="A238" s="21">
        <v>45698</v>
      </c>
      <c r="B238" s="5" t="s">
        <v>184</v>
      </c>
      <c r="C238" t="s">
        <v>185</v>
      </c>
      <c r="D238" t="s">
        <v>16</v>
      </c>
      <c r="E238" t="s">
        <v>21</v>
      </c>
      <c r="F238">
        <v>132</v>
      </c>
      <c r="G238">
        <v>82</v>
      </c>
      <c r="H238">
        <v>5</v>
      </c>
      <c r="I238">
        <f>Inventory_Data[[#This Row],[Opening_Stock]]+Inventory_Data[[#This Row],[Units_Received]]-Inventory_Data[[#This Row],[Units_Sold]]</f>
        <v>209</v>
      </c>
      <c r="J238">
        <v>0</v>
      </c>
      <c r="K238">
        <v>11</v>
      </c>
      <c r="L238" t="s">
        <v>24</v>
      </c>
      <c r="M238" s="3">
        <v>98.94</v>
      </c>
      <c r="N238" s="3">
        <v>151.5</v>
      </c>
      <c r="O238" s="10" t="str">
        <f>TEXT(Inventory_Data[[#This Row],[Date]],"mmm")</f>
        <v>Feb</v>
      </c>
    </row>
    <row r="239" spans="1:15" x14ac:dyDescent="0.2">
      <c r="A239" s="21">
        <v>45698</v>
      </c>
      <c r="B239" s="5" t="s">
        <v>156</v>
      </c>
      <c r="C239" t="s">
        <v>157</v>
      </c>
      <c r="D239" t="s">
        <v>27</v>
      </c>
      <c r="E239" t="s">
        <v>35</v>
      </c>
      <c r="F239">
        <v>333</v>
      </c>
      <c r="G239">
        <v>63</v>
      </c>
      <c r="H239">
        <v>181</v>
      </c>
      <c r="I239">
        <f>Inventory_Data[[#This Row],[Opening_Stock]]+Inventory_Data[[#This Row],[Units_Received]]-Inventory_Data[[#This Row],[Units_Sold]]</f>
        <v>215</v>
      </c>
      <c r="J239">
        <v>0</v>
      </c>
      <c r="K239">
        <v>6</v>
      </c>
      <c r="L239" t="s">
        <v>29</v>
      </c>
      <c r="M239" s="3">
        <v>20.51</v>
      </c>
      <c r="N239" s="3">
        <v>25.8</v>
      </c>
      <c r="O239" s="10" t="str">
        <f>TEXT(Inventory_Data[[#This Row],[Date]],"mmm")</f>
        <v>Feb</v>
      </c>
    </row>
    <row r="240" spans="1:15" x14ac:dyDescent="0.2">
      <c r="A240" s="21">
        <v>45698</v>
      </c>
      <c r="B240" s="5" t="s">
        <v>150</v>
      </c>
      <c r="C240" t="s">
        <v>151</v>
      </c>
      <c r="D240" t="s">
        <v>52</v>
      </c>
      <c r="E240" t="s">
        <v>21</v>
      </c>
      <c r="F240">
        <v>16</v>
      </c>
      <c r="G240">
        <v>10</v>
      </c>
      <c r="H240">
        <v>1</v>
      </c>
      <c r="I240">
        <f>Inventory_Data[[#This Row],[Opening_Stock]]+Inventory_Data[[#This Row],[Units_Received]]-Inventory_Data[[#This Row],[Units_Sold]]</f>
        <v>25</v>
      </c>
      <c r="J240">
        <v>0</v>
      </c>
      <c r="K240">
        <v>14</v>
      </c>
      <c r="L240" t="s">
        <v>83</v>
      </c>
      <c r="M240" s="3">
        <v>126.95</v>
      </c>
      <c r="N240" s="3">
        <v>178.27</v>
      </c>
      <c r="O240" s="10" t="str">
        <f>TEXT(Inventory_Data[[#This Row],[Date]],"mmm")</f>
        <v>Feb</v>
      </c>
    </row>
    <row r="241" spans="1:15" x14ac:dyDescent="0.2">
      <c r="A241" s="21">
        <v>45698</v>
      </c>
      <c r="B241" s="5" t="s">
        <v>54</v>
      </c>
      <c r="C241" t="s">
        <v>55</v>
      </c>
      <c r="D241" t="s">
        <v>52</v>
      </c>
      <c r="E241" t="s">
        <v>21</v>
      </c>
      <c r="F241">
        <v>30</v>
      </c>
      <c r="G241">
        <v>6</v>
      </c>
      <c r="H241">
        <v>9</v>
      </c>
      <c r="I241">
        <f>Inventory_Data[[#This Row],[Opening_Stock]]+Inventory_Data[[#This Row],[Units_Received]]-Inventory_Data[[#This Row],[Units_Sold]]</f>
        <v>27</v>
      </c>
      <c r="J241">
        <v>0</v>
      </c>
      <c r="K241">
        <v>3</v>
      </c>
      <c r="L241" t="s">
        <v>53</v>
      </c>
      <c r="M241" s="3">
        <v>181.37</v>
      </c>
      <c r="N241" s="3">
        <v>232.76</v>
      </c>
      <c r="O241" s="10" t="str">
        <f>TEXT(Inventory_Data[[#This Row],[Date]],"mmm")</f>
        <v>Feb</v>
      </c>
    </row>
    <row r="242" spans="1:15" x14ac:dyDescent="0.2">
      <c r="A242" s="21">
        <v>45698</v>
      </c>
      <c r="B242" s="5" t="s">
        <v>57</v>
      </c>
      <c r="C242" t="s">
        <v>58</v>
      </c>
      <c r="D242" t="s">
        <v>52</v>
      </c>
      <c r="E242" t="s">
        <v>35</v>
      </c>
      <c r="F242">
        <v>55</v>
      </c>
      <c r="G242">
        <v>18</v>
      </c>
      <c r="H242">
        <v>3</v>
      </c>
      <c r="I242">
        <f>Inventory_Data[[#This Row],[Opening_Stock]]+Inventory_Data[[#This Row],[Units_Received]]-Inventory_Data[[#This Row],[Units_Sold]]</f>
        <v>70</v>
      </c>
      <c r="J242">
        <v>0</v>
      </c>
      <c r="K242">
        <v>11</v>
      </c>
      <c r="L242" t="s">
        <v>56</v>
      </c>
      <c r="M242" s="3">
        <v>290.18</v>
      </c>
      <c r="N242" s="3">
        <v>433.69</v>
      </c>
      <c r="O242" s="10" t="str">
        <f>TEXT(Inventory_Data[[#This Row],[Date]],"mmm")</f>
        <v>Feb</v>
      </c>
    </row>
    <row r="243" spans="1:15" x14ac:dyDescent="0.2">
      <c r="A243" s="21">
        <v>45698</v>
      </c>
      <c r="B243" s="5" t="s">
        <v>104</v>
      </c>
      <c r="C243" t="s">
        <v>105</v>
      </c>
      <c r="D243" t="s">
        <v>34</v>
      </c>
      <c r="E243" t="s">
        <v>17</v>
      </c>
      <c r="F243">
        <v>125</v>
      </c>
      <c r="G243">
        <v>141</v>
      </c>
      <c r="H243">
        <v>82</v>
      </c>
      <c r="I243">
        <f>Inventory_Data[[#This Row],[Opening_Stock]]+Inventory_Data[[#This Row],[Units_Received]]-Inventory_Data[[#This Row],[Units_Sold]]</f>
        <v>184</v>
      </c>
      <c r="J243">
        <v>0</v>
      </c>
      <c r="K243">
        <v>2</v>
      </c>
      <c r="L243" t="s">
        <v>39</v>
      </c>
      <c r="M243" s="3">
        <v>20.99</v>
      </c>
      <c r="N243" s="3">
        <v>25.04</v>
      </c>
      <c r="O243" s="10" t="str">
        <f>TEXT(Inventory_Data[[#This Row],[Date]],"mmm")</f>
        <v>Feb</v>
      </c>
    </row>
    <row r="244" spans="1:15" x14ac:dyDescent="0.2">
      <c r="A244" s="21">
        <v>45698</v>
      </c>
      <c r="B244" s="5" t="s">
        <v>104</v>
      </c>
      <c r="C244" t="s">
        <v>105</v>
      </c>
      <c r="D244" t="s">
        <v>34</v>
      </c>
      <c r="E244" t="s">
        <v>21</v>
      </c>
      <c r="F244">
        <v>232</v>
      </c>
      <c r="G244">
        <v>125</v>
      </c>
      <c r="H244">
        <v>47</v>
      </c>
      <c r="I244">
        <f>Inventory_Data[[#This Row],[Opening_Stock]]+Inventory_Data[[#This Row],[Units_Received]]-Inventory_Data[[#This Row],[Units_Sold]]</f>
        <v>310</v>
      </c>
      <c r="J244">
        <v>0</v>
      </c>
      <c r="K244">
        <v>6</v>
      </c>
      <c r="L244" t="s">
        <v>36</v>
      </c>
      <c r="M244" s="3">
        <v>24.27</v>
      </c>
      <c r="N244" s="3">
        <v>37.5</v>
      </c>
      <c r="O244" s="10" t="str">
        <f>TEXT(Inventory_Data[[#This Row],[Date]],"mmm")</f>
        <v>Feb</v>
      </c>
    </row>
    <row r="245" spans="1:15" x14ac:dyDescent="0.2">
      <c r="A245" s="21">
        <v>45699</v>
      </c>
      <c r="B245" s="5" t="s">
        <v>152</v>
      </c>
      <c r="C245" t="s">
        <v>153</v>
      </c>
      <c r="D245" t="s">
        <v>16</v>
      </c>
      <c r="E245" t="s">
        <v>28</v>
      </c>
      <c r="F245">
        <v>81</v>
      </c>
      <c r="G245">
        <v>81</v>
      </c>
      <c r="H245">
        <v>65</v>
      </c>
      <c r="I245">
        <f>Inventory_Data[[#This Row],[Opening_Stock]]+Inventory_Data[[#This Row],[Units_Received]]-Inventory_Data[[#This Row],[Units_Sold]]</f>
        <v>97</v>
      </c>
      <c r="J245">
        <v>0</v>
      </c>
      <c r="K245">
        <v>14</v>
      </c>
      <c r="L245" t="s">
        <v>24</v>
      </c>
      <c r="M245" s="3">
        <v>212.12</v>
      </c>
      <c r="N245" s="3">
        <v>312.43</v>
      </c>
      <c r="O245" s="10" t="str">
        <f>TEXT(Inventory_Data[[#This Row],[Date]],"mmm")</f>
        <v>Feb</v>
      </c>
    </row>
    <row r="246" spans="1:15" x14ac:dyDescent="0.2">
      <c r="A246" s="21">
        <v>45699</v>
      </c>
      <c r="B246" s="5" t="s">
        <v>184</v>
      </c>
      <c r="C246" t="s">
        <v>185</v>
      </c>
      <c r="D246" t="s">
        <v>16</v>
      </c>
      <c r="E246" t="s">
        <v>17</v>
      </c>
      <c r="F246">
        <v>54</v>
      </c>
      <c r="G246">
        <v>85</v>
      </c>
      <c r="H246">
        <v>9</v>
      </c>
      <c r="I246">
        <f>Inventory_Data[[#This Row],[Opening_Stock]]+Inventory_Data[[#This Row],[Units_Received]]-Inventory_Data[[#This Row],[Units_Sold]]</f>
        <v>130</v>
      </c>
      <c r="J246">
        <v>0</v>
      </c>
      <c r="K246">
        <v>3</v>
      </c>
      <c r="L246" t="s">
        <v>24</v>
      </c>
      <c r="M246" s="3">
        <v>143.5</v>
      </c>
      <c r="N246" s="3">
        <v>179.56</v>
      </c>
      <c r="O246" s="10" t="str">
        <f>TEXT(Inventory_Data[[#This Row],[Date]],"mmm")</f>
        <v>Feb</v>
      </c>
    </row>
    <row r="247" spans="1:15" x14ac:dyDescent="0.2">
      <c r="A247" s="21">
        <v>45699</v>
      </c>
      <c r="B247" s="5" t="s">
        <v>172</v>
      </c>
      <c r="C247" t="s">
        <v>173</v>
      </c>
      <c r="D247" t="s">
        <v>27</v>
      </c>
      <c r="E247" t="s">
        <v>17</v>
      </c>
      <c r="F247">
        <v>450</v>
      </c>
      <c r="G247">
        <v>48</v>
      </c>
      <c r="H247">
        <v>131</v>
      </c>
      <c r="I247">
        <f>Inventory_Data[[#This Row],[Opening_Stock]]+Inventory_Data[[#This Row],[Units_Received]]-Inventory_Data[[#This Row],[Units_Sold]]</f>
        <v>367</v>
      </c>
      <c r="J247">
        <v>0</v>
      </c>
      <c r="K247">
        <v>3</v>
      </c>
      <c r="L247" t="s">
        <v>66</v>
      </c>
      <c r="M247" s="3">
        <v>15.29</v>
      </c>
      <c r="N247" s="3">
        <v>19.77</v>
      </c>
      <c r="O247" s="10" t="str">
        <f>TEXT(Inventory_Data[[#This Row],[Date]],"mmm")</f>
        <v>Feb</v>
      </c>
    </row>
    <row r="248" spans="1:15" x14ac:dyDescent="0.2">
      <c r="A248" s="21">
        <v>45699</v>
      </c>
      <c r="B248" s="5" t="s">
        <v>158</v>
      </c>
      <c r="C248" t="s">
        <v>159</v>
      </c>
      <c r="D248" t="s">
        <v>52</v>
      </c>
      <c r="E248" t="s">
        <v>35</v>
      </c>
      <c r="F248">
        <v>34</v>
      </c>
      <c r="G248">
        <v>13</v>
      </c>
      <c r="H248">
        <v>13</v>
      </c>
      <c r="I248">
        <f>Inventory_Data[[#This Row],[Opening_Stock]]+Inventory_Data[[#This Row],[Units_Received]]-Inventory_Data[[#This Row],[Units_Sold]]</f>
        <v>34</v>
      </c>
      <c r="J248">
        <v>0</v>
      </c>
      <c r="K248">
        <v>13</v>
      </c>
      <c r="L248" t="s">
        <v>53</v>
      </c>
      <c r="M248" s="3">
        <v>154.22999999999999</v>
      </c>
      <c r="N248" s="3">
        <v>198.11</v>
      </c>
      <c r="O248" s="10" t="str">
        <f>TEXT(Inventory_Data[[#This Row],[Date]],"mmm")</f>
        <v>Feb</v>
      </c>
    </row>
    <row r="249" spans="1:15" x14ac:dyDescent="0.2">
      <c r="A249" s="21">
        <v>45699</v>
      </c>
      <c r="B249" s="5" t="s">
        <v>110</v>
      </c>
      <c r="C249" t="s">
        <v>111</v>
      </c>
      <c r="D249" t="s">
        <v>52</v>
      </c>
      <c r="E249" t="s">
        <v>28</v>
      </c>
      <c r="F249">
        <v>15</v>
      </c>
      <c r="G249">
        <v>7</v>
      </c>
      <c r="H249">
        <v>12</v>
      </c>
      <c r="I249">
        <f>Inventory_Data[[#This Row],[Opening_Stock]]+Inventory_Data[[#This Row],[Units_Received]]-Inventory_Data[[#This Row],[Units_Sold]]</f>
        <v>10</v>
      </c>
      <c r="J249">
        <v>0</v>
      </c>
      <c r="K249">
        <v>9</v>
      </c>
      <c r="L249" t="s">
        <v>53</v>
      </c>
      <c r="M249" s="3">
        <v>285.55</v>
      </c>
      <c r="N249" s="3">
        <v>382.01</v>
      </c>
      <c r="O249" s="10" t="str">
        <f>TEXT(Inventory_Data[[#This Row],[Date]],"mmm")</f>
        <v>Feb</v>
      </c>
    </row>
    <row r="250" spans="1:15" x14ac:dyDescent="0.2">
      <c r="A250" s="21">
        <v>45699</v>
      </c>
      <c r="B250" s="5" t="s">
        <v>54</v>
      </c>
      <c r="C250" t="s">
        <v>55</v>
      </c>
      <c r="D250" t="s">
        <v>52</v>
      </c>
      <c r="E250" t="s">
        <v>35</v>
      </c>
      <c r="F250">
        <v>58</v>
      </c>
      <c r="G250">
        <v>8</v>
      </c>
      <c r="H250">
        <v>20</v>
      </c>
      <c r="I250">
        <f>Inventory_Data[[#This Row],[Opening_Stock]]+Inventory_Data[[#This Row],[Units_Received]]-Inventory_Data[[#This Row],[Units_Sold]]</f>
        <v>46</v>
      </c>
      <c r="J250">
        <v>0</v>
      </c>
      <c r="K250">
        <v>11</v>
      </c>
      <c r="L250" t="s">
        <v>83</v>
      </c>
      <c r="M250" s="3">
        <v>132.32</v>
      </c>
      <c r="N250" s="3">
        <v>192.22</v>
      </c>
      <c r="O250" s="10" t="str">
        <f>TEXT(Inventory_Data[[#This Row],[Date]],"mmm")</f>
        <v>Feb</v>
      </c>
    </row>
    <row r="251" spans="1:15" x14ac:dyDescent="0.2">
      <c r="A251" s="21">
        <v>45699</v>
      </c>
      <c r="B251" s="5" t="s">
        <v>81</v>
      </c>
      <c r="C251" t="s">
        <v>82</v>
      </c>
      <c r="D251" t="s">
        <v>52</v>
      </c>
      <c r="E251" t="s">
        <v>17</v>
      </c>
      <c r="F251">
        <v>73</v>
      </c>
      <c r="G251">
        <v>12</v>
      </c>
      <c r="H251">
        <v>2</v>
      </c>
      <c r="I251">
        <f>Inventory_Data[[#This Row],[Opening_Stock]]+Inventory_Data[[#This Row],[Units_Received]]-Inventory_Data[[#This Row],[Units_Sold]]</f>
        <v>83</v>
      </c>
      <c r="J251">
        <v>0</v>
      </c>
      <c r="K251">
        <v>11</v>
      </c>
      <c r="L251" t="s">
        <v>53</v>
      </c>
      <c r="M251" s="3">
        <v>108.98</v>
      </c>
      <c r="N251" s="3">
        <v>161.01</v>
      </c>
      <c r="O251" s="10" t="str">
        <f>TEXT(Inventory_Data[[#This Row],[Date]],"mmm")</f>
        <v>Feb</v>
      </c>
    </row>
    <row r="252" spans="1:15" x14ac:dyDescent="0.2">
      <c r="A252" s="21">
        <v>45700</v>
      </c>
      <c r="B252" s="5" t="s">
        <v>73</v>
      </c>
      <c r="C252" t="s">
        <v>74</v>
      </c>
      <c r="D252" t="s">
        <v>16</v>
      </c>
      <c r="E252" t="s">
        <v>35</v>
      </c>
      <c r="F252">
        <v>75</v>
      </c>
      <c r="G252">
        <v>49</v>
      </c>
      <c r="H252">
        <v>72</v>
      </c>
      <c r="I252">
        <f>Inventory_Data[[#This Row],[Opening_Stock]]+Inventory_Data[[#This Row],[Units_Received]]-Inventory_Data[[#This Row],[Units_Sold]]</f>
        <v>52</v>
      </c>
      <c r="J252">
        <v>0</v>
      </c>
      <c r="K252">
        <v>14</v>
      </c>
      <c r="L252" t="s">
        <v>18</v>
      </c>
      <c r="M252" s="3">
        <v>88.73</v>
      </c>
      <c r="N252" s="3">
        <v>126.43</v>
      </c>
      <c r="O252" s="10" t="str">
        <f>TEXT(Inventory_Data[[#This Row],[Date]],"mmm")</f>
        <v>Feb</v>
      </c>
    </row>
    <row r="253" spans="1:15" x14ac:dyDescent="0.2">
      <c r="A253" s="21">
        <v>45700</v>
      </c>
      <c r="B253" s="5" t="s">
        <v>142</v>
      </c>
      <c r="C253" t="s">
        <v>143</v>
      </c>
      <c r="D253" t="s">
        <v>52</v>
      </c>
      <c r="E253" t="s">
        <v>28</v>
      </c>
      <c r="F253">
        <v>20</v>
      </c>
      <c r="G253">
        <v>22</v>
      </c>
      <c r="H253">
        <v>13</v>
      </c>
      <c r="I253">
        <f>Inventory_Data[[#This Row],[Opening_Stock]]+Inventory_Data[[#This Row],[Units_Received]]-Inventory_Data[[#This Row],[Units_Sold]]</f>
        <v>29</v>
      </c>
      <c r="J253">
        <v>0</v>
      </c>
      <c r="K253">
        <v>8</v>
      </c>
      <c r="L253" t="s">
        <v>56</v>
      </c>
      <c r="M253" s="3">
        <v>69.02</v>
      </c>
      <c r="N253" s="3">
        <v>85.76</v>
      </c>
      <c r="O253" s="10" t="str">
        <f>TEXT(Inventory_Data[[#This Row],[Date]],"mmm")</f>
        <v>Feb</v>
      </c>
    </row>
    <row r="254" spans="1:15" x14ac:dyDescent="0.2">
      <c r="A254" s="21">
        <v>45701</v>
      </c>
      <c r="B254" s="5" t="s">
        <v>178</v>
      </c>
      <c r="C254" t="s">
        <v>179</v>
      </c>
      <c r="D254" t="s">
        <v>16</v>
      </c>
      <c r="E254" t="s">
        <v>21</v>
      </c>
      <c r="F254">
        <v>146</v>
      </c>
      <c r="G254">
        <v>64</v>
      </c>
      <c r="H254">
        <v>17</v>
      </c>
      <c r="I254">
        <f>Inventory_Data[[#This Row],[Opening_Stock]]+Inventory_Data[[#This Row],[Units_Received]]-Inventory_Data[[#This Row],[Units_Sold]]</f>
        <v>193</v>
      </c>
      <c r="J254">
        <v>0</v>
      </c>
      <c r="K254">
        <v>10</v>
      </c>
      <c r="L254" t="s">
        <v>18</v>
      </c>
      <c r="M254" s="3">
        <v>201.93</v>
      </c>
      <c r="N254" s="3">
        <v>291.91000000000003</v>
      </c>
      <c r="O254" s="10" t="str">
        <f>TEXT(Inventory_Data[[#This Row],[Date]],"mmm")</f>
        <v>Feb</v>
      </c>
    </row>
    <row r="255" spans="1:15" x14ac:dyDescent="0.2">
      <c r="A255" s="21">
        <v>45701</v>
      </c>
      <c r="B255" s="5" t="s">
        <v>128</v>
      </c>
      <c r="C255" t="s">
        <v>129</v>
      </c>
      <c r="D255" t="s">
        <v>48</v>
      </c>
      <c r="E255" t="s">
        <v>17</v>
      </c>
      <c r="F255">
        <v>103</v>
      </c>
      <c r="G255">
        <v>21</v>
      </c>
      <c r="H255">
        <v>85</v>
      </c>
      <c r="I255">
        <f>Inventory_Data[[#This Row],[Opening_Stock]]+Inventory_Data[[#This Row],[Units_Received]]-Inventory_Data[[#This Row],[Units_Sold]]</f>
        <v>39</v>
      </c>
      <c r="J255">
        <v>0</v>
      </c>
      <c r="K255">
        <v>10</v>
      </c>
      <c r="L255" t="s">
        <v>77</v>
      </c>
      <c r="M255" s="3">
        <v>42.41</v>
      </c>
      <c r="N255" s="3">
        <v>49.63</v>
      </c>
      <c r="O255" s="10" t="str">
        <f>TEXT(Inventory_Data[[#This Row],[Date]],"mmm")</f>
        <v>Feb</v>
      </c>
    </row>
    <row r="256" spans="1:15" x14ac:dyDescent="0.2">
      <c r="A256" s="21">
        <v>45701</v>
      </c>
      <c r="B256" s="5" t="s">
        <v>154</v>
      </c>
      <c r="C256" t="s">
        <v>155</v>
      </c>
      <c r="D256" t="s">
        <v>48</v>
      </c>
      <c r="E256" t="s">
        <v>35</v>
      </c>
      <c r="F256">
        <v>89</v>
      </c>
      <c r="G256">
        <v>71</v>
      </c>
      <c r="H256">
        <v>95</v>
      </c>
      <c r="I256">
        <f>Inventory_Data[[#This Row],[Opening_Stock]]+Inventory_Data[[#This Row],[Units_Received]]-Inventory_Data[[#This Row],[Units_Sold]]</f>
        <v>65</v>
      </c>
      <c r="J256">
        <v>0</v>
      </c>
      <c r="K256">
        <v>4</v>
      </c>
      <c r="L256" t="s">
        <v>63</v>
      </c>
      <c r="M256" s="3">
        <v>56.19</v>
      </c>
      <c r="N256" s="3">
        <v>71.760000000000005</v>
      </c>
      <c r="O256" s="10" t="str">
        <f>TEXT(Inventory_Data[[#This Row],[Date]],"mmm")</f>
        <v>Feb</v>
      </c>
    </row>
    <row r="257" spans="1:15" x14ac:dyDescent="0.2">
      <c r="A257" s="21">
        <v>45701</v>
      </c>
      <c r="B257" s="5" t="s">
        <v>186</v>
      </c>
      <c r="C257" t="s">
        <v>187</v>
      </c>
      <c r="D257" t="s">
        <v>27</v>
      </c>
      <c r="E257" t="s">
        <v>35</v>
      </c>
      <c r="F257">
        <v>393</v>
      </c>
      <c r="G257">
        <v>159</v>
      </c>
      <c r="H257">
        <v>186</v>
      </c>
      <c r="I257">
        <f>Inventory_Data[[#This Row],[Opening_Stock]]+Inventory_Data[[#This Row],[Units_Received]]-Inventory_Data[[#This Row],[Units_Sold]]</f>
        <v>366</v>
      </c>
      <c r="J257">
        <v>0</v>
      </c>
      <c r="K257">
        <v>5</v>
      </c>
      <c r="L257" t="s">
        <v>29</v>
      </c>
      <c r="M257" s="3">
        <v>6.95</v>
      </c>
      <c r="N257" s="3">
        <v>8.0299999999999994</v>
      </c>
      <c r="O257" s="10" t="str">
        <f>TEXT(Inventory_Data[[#This Row],[Date]],"mmm")</f>
        <v>Feb</v>
      </c>
    </row>
    <row r="258" spans="1:15" x14ac:dyDescent="0.2">
      <c r="A258" s="21">
        <v>45701</v>
      </c>
      <c r="B258" s="5" t="s">
        <v>54</v>
      </c>
      <c r="C258" t="s">
        <v>55</v>
      </c>
      <c r="D258" t="s">
        <v>52</v>
      </c>
      <c r="E258" t="s">
        <v>17</v>
      </c>
      <c r="F258">
        <v>28</v>
      </c>
      <c r="G258">
        <v>16</v>
      </c>
      <c r="H258">
        <v>20</v>
      </c>
      <c r="I258">
        <f>Inventory_Data[[#This Row],[Opening_Stock]]+Inventory_Data[[#This Row],[Units_Received]]-Inventory_Data[[#This Row],[Units_Sold]]</f>
        <v>24</v>
      </c>
      <c r="J258">
        <v>0</v>
      </c>
      <c r="K258">
        <v>9</v>
      </c>
      <c r="L258" t="s">
        <v>53</v>
      </c>
      <c r="M258" s="3">
        <v>253.7</v>
      </c>
      <c r="N258" s="3">
        <v>346.63</v>
      </c>
      <c r="O258" s="10" t="str">
        <f>TEXT(Inventory_Data[[#This Row],[Date]],"mmm")</f>
        <v>Feb</v>
      </c>
    </row>
    <row r="259" spans="1:15" x14ac:dyDescent="0.2">
      <c r="A259" s="21">
        <v>45701</v>
      </c>
      <c r="B259" s="5" t="s">
        <v>138</v>
      </c>
      <c r="C259" t="s">
        <v>139</v>
      </c>
      <c r="D259" t="s">
        <v>34</v>
      </c>
      <c r="E259" t="s">
        <v>35</v>
      </c>
      <c r="F259">
        <v>66</v>
      </c>
      <c r="G259">
        <v>56</v>
      </c>
      <c r="H259">
        <v>15</v>
      </c>
      <c r="I259">
        <f>Inventory_Data[[#This Row],[Opening_Stock]]+Inventory_Data[[#This Row],[Units_Received]]-Inventory_Data[[#This Row],[Units_Sold]]</f>
        <v>107</v>
      </c>
      <c r="J259">
        <v>0</v>
      </c>
      <c r="K259">
        <v>12</v>
      </c>
      <c r="L259" t="s">
        <v>36</v>
      </c>
      <c r="M259" s="3">
        <v>7.31</v>
      </c>
      <c r="N259" s="3">
        <v>8.66</v>
      </c>
      <c r="O259" s="10" t="str">
        <f>TEXT(Inventory_Data[[#This Row],[Date]],"mmm")</f>
        <v>Feb</v>
      </c>
    </row>
    <row r="260" spans="1:15" x14ac:dyDescent="0.2">
      <c r="A260" s="21">
        <v>45702</v>
      </c>
      <c r="B260" s="5" t="s">
        <v>130</v>
      </c>
      <c r="C260" t="s">
        <v>131</v>
      </c>
      <c r="D260" t="s">
        <v>48</v>
      </c>
      <c r="E260" t="s">
        <v>17</v>
      </c>
      <c r="F260">
        <v>104</v>
      </c>
      <c r="G260">
        <v>35</v>
      </c>
      <c r="H260">
        <v>115</v>
      </c>
      <c r="I260">
        <f>Inventory_Data[[#This Row],[Opening_Stock]]+Inventory_Data[[#This Row],[Units_Received]]-Inventory_Data[[#This Row],[Units_Sold]]</f>
        <v>24</v>
      </c>
      <c r="J260">
        <v>0</v>
      </c>
      <c r="K260">
        <v>3</v>
      </c>
      <c r="L260" t="s">
        <v>49</v>
      </c>
      <c r="M260" s="3">
        <v>20.93</v>
      </c>
      <c r="N260" s="3">
        <v>26.18</v>
      </c>
      <c r="O260" s="10" t="str">
        <f>TEXT(Inventory_Data[[#This Row],[Date]],"mmm")</f>
        <v>Feb</v>
      </c>
    </row>
    <row r="261" spans="1:15" x14ac:dyDescent="0.2">
      <c r="A261" s="21">
        <v>45702</v>
      </c>
      <c r="B261" s="5" t="s">
        <v>64</v>
      </c>
      <c r="C261" t="s">
        <v>65</v>
      </c>
      <c r="D261" t="s">
        <v>27</v>
      </c>
      <c r="E261" t="s">
        <v>28</v>
      </c>
      <c r="F261">
        <v>163</v>
      </c>
      <c r="G261">
        <v>49</v>
      </c>
      <c r="H261">
        <v>48</v>
      </c>
      <c r="I261">
        <f>Inventory_Data[[#This Row],[Opening_Stock]]+Inventory_Data[[#This Row],[Units_Received]]-Inventory_Data[[#This Row],[Units_Sold]]</f>
        <v>164</v>
      </c>
      <c r="J261">
        <v>0</v>
      </c>
      <c r="K261">
        <v>2</v>
      </c>
      <c r="L261" t="s">
        <v>80</v>
      </c>
      <c r="M261" s="3">
        <v>14.18</v>
      </c>
      <c r="N261" s="3">
        <v>18.55</v>
      </c>
      <c r="O261" s="10" t="str">
        <f>TEXT(Inventory_Data[[#This Row],[Date]],"mmm")</f>
        <v>Feb</v>
      </c>
    </row>
    <row r="262" spans="1:15" x14ac:dyDescent="0.2">
      <c r="A262" s="21">
        <v>45702</v>
      </c>
      <c r="B262" s="5" t="s">
        <v>174</v>
      </c>
      <c r="C262" t="s">
        <v>175</v>
      </c>
      <c r="D262" t="s">
        <v>52</v>
      </c>
      <c r="E262" t="s">
        <v>28</v>
      </c>
      <c r="F262">
        <v>48</v>
      </c>
      <c r="G262">
        <v>10</v>
      </c>
      <c r="H262">
        <v>3</v>
      </c>
      <c r="I262">
        <f>Inventory_Data[[#This Row],[Opening_Stock]]+Inventory_Data[[#This Row],[Units_Received]]-Inventory_Data[[#This Row],[Units_Sold]]</f>
        <v>55</v>
      </c>
      <c r="J262">
        <v>0</v>
      </c>
      <c r="K262">
        <v>13</v>
      </c>
      <c r="L262" t="s">
        <v>53</v>
      </c>
      <c r="M262" s="3">
        <v>241.12</v>
      </c>
      <c r="N262" s="3">
        <v>302.39</v>
      </c>
      <c r="O262" s="10" t="str">
        <f>TEXT(Inventory_Data[[#This Row],[Date]],"mmm")</f>
        <v>Feb</v>
      </c>
    </row>
    <row r="263" spans="1:15" x14ac:dyDescent="0.2">
      <c r="A263" s="21">
        <v>45703</v>
      </c>
      <c r="B263" s="5" t="s">
        <v>106</v>
      </c>
      <c r="C263" t="s">
        <v>107</v>
      </c>
      <c r="D263" t="s">
        <v>16</v>
      </c>
      <c r="E263" t="s">
        <v>17</v>
      </c>
      <c r="F263">
        <v>59</v>
      </c>
      <c r="G263">
        <v>47</v>
      </c>
      <c r="H263">
        <v>42</v>
      </c>
      <c r="I263">
        <f>Inventory_Data[[#This Row],[Opening_Stock]]+Inventory_Data[[#This Row],[Units_Received]]-Inventory_Data[[#This Row],[Units_Sold]]</f>
        <v>64</v>
      </c>
      <c r="J263">
        <v>0</v>
      </c>
      <c r="K263">
        <v>5</v>
      </c>
      <c r="L263" t="s">
        <v>24</v>
      </c>
      <c r="M263" s="3">
        <v>167.01</v>
      </c>
      <c r="N263" s="3">
        <v>232.11</v>
      </c>
      <c r="O263" s="10" t="str">
        <f>TEXT(Inventory_Data[[#This Row],[Date]],"mmm")</f>
        <v>Feb</v>
      </c>
    </row>
    <row r="264" spans="1:15" x14ac:dyDescent="0.2">
      <c r="A264" s="21">
        <v>45703</v>
      </c>
      <c r="B264" s="5" t="s">
        <v>154</v>
      </c>
      <c r="C264" t="s">
        <v>155</v>
      </c>
      <c r="D264" t="s">
        <v>48</v>
      </c>
      <c r="E264" t="s">
        <v>28</v>
      </c>
      <c r="F264">
        <v>107</v>
      </c>
      <c r="G264">
        <v>47</v>
      </c>
      <c r="H264">
        <v>27</v>
      </c>
      <c r="I264">
        <f>Inventory_Data[[#This Row],[Opening_Stock]]+Inventory_Data[[#This Row],[Units_Received]]-Inventory_Data[[#This Row],[Units_Sold]]</f>
        <v>127</v>
      </c>
      <c r="J264">
        <v>0</v>
      </c>
      <c r="K264">
        <v>11</v>
      </c>
      <c r="L264" t="s">
        <v>49</v>
      </c>
      <c r="M264" s="3">
        <v>47.88</v>
      </c>
      <c r="N264" s="3">
        <v>60.78</v>
      </c>
      <c r="O264" s="10" t="str">
        <f>TEXT(Inventory_Data[[#This Row],[Date]],"mmm")</f>
        <v>Feb</v>
      </c>
    </row>
    <row r="265" spans="1:15" x14ac:dyDescent="0.2">
      <c r="A265" s="21">
        <v>45703</v>
      </c>
      <c r="B265" s="5" t="s">
        <v>92</v>
      </c>
      <c r="C265" t="s">
        <v>93</v>
      </c>
      <c r="D265" t="s">
        <v>27</v>
      </c>
      <c r="E265" t="s">
        <v>17</v>
      </c>
      <c r="F265">
        <v>420</v>
      </c>
      <c r="G265">
        <v>231</v>
      </c>
      <c r="H265">
        <v>39</v>
      </c>
      <c r="I265">
        <f>Inventory_Data[[#This Row],[Opening_Stock]]+Inventory_Data[[#This Row],[Units_Received]]-Inventory_Data[[#This Row],[Units_Sold]]</f>
        <v>612</v>
      </c>
      <c r="J265">
        <v>0</v>
      </c>
      <c r="K265">
        <v>2</v>
      </c>
      <c r="L265" t="s">
        <v>80</v>
      </c>
      <c r="M265" s="3">
        <v>15.93</v>
      </c>
      <c r="N265" s="3">
        <v>22.35</v>
      </c>
      <c r="O265" s="10" t="str">
        <f>TEXT(Inventory_Data[[#This Row],[Date]],"mmm")</f>
        <v>Feb</v>
      </c>
    </row>
    <row r="266" spans="1:15" x14ac:dyDescent="0.2">
      <c r="A266" s="21">
        <v>45703</v>
      </c>
      <c r="B266" s="5" t="s">
        <v>188</v>
      </c>
      <c r="C266" t="s">
        <v>189</v>
      </c>
      <c r="D266" t="s">
        <v>27</v>
      </c>
      <c r="E266" t="s">
        <v>28</v>
      </c>
      <c r="F266">
        <v>141</v>
      </c>
      <c r="G266">
        <v>196</v>
      </c>
      <c r="H266">
        <v>36</v>
      </c>
      <c r="I266">
        <f>Inventory_Data[[#This Row],[Opening_Stock]]+Inventory_Data[[#This Row],[Units_Received]]-Inventory_Data[[#This Row],[Units_Sold]]</f>
        <v>301</v>
      </c>
      <c r="J266">
        <v>0</v>
      </c>
      <c r="K266">
        <v>2</v>
      </c>
      <c r="L266" t="s">
        <v>80</v>
      </c>
      <c r="M266" s="3">
        <v>24.33</v>
      </c>
      <c r="N266" s="3">
        <v>29.08</v>
      </c>
      <c r="O266" s="10" t="str">
        <f>TEXT(Inventory_Data[[#This Row],[Date]],"mmm")</f>
        <v>Feb</v>
      </c>
    </row>
    <row r="267" spans="1:15" x14ac:dyDescent="0.2">
      <c r="A267" s="21">
        <v>45703</v>
      </c>
      <c r="B267" s="5" t="s">
        <v>116</v>
      </c>
      <c r="C267" t="s">
        <v>117</v>
      </c>
      <c r="D267" t="s">
        <v>52</v>
      </c>
      <c r="E267" t="s">
        <v>35</v>
      </c>
      <c r="F267">
        <v>79</v>
      </c>
      <c r="G267">
        <v>16</v>
      </c>
      <c r="H267">
        <v>19</v>
      </c>
      <c r="I267">
        <f>Inventory_Data[[#This Row],[Opening_Stock]]+Inventory_Data[[#This Row],[Units_Received]]-Inventory_Data[[#This Row],[Units_Sold]]</f>
        <v>76</v>
      </c>
      <c r="J267">
        <v>0</v>
      </c>
      <c r="K267">
        <v>6</v>
      </c>
      <c r="L267" t="s">
        <v>56</v>
      </c>
      <c r="M267" s="3">
        <v>201.19</v>
      </c>
      <c r="N267" s="3">
        <v>286.87</v>
      </c>
      <c r="O267" s="10" t="str">
        <f>TEXT(Inventory_Data[[#This Row],[Date]],"mmm")</f>
        <v>Feb</v>
      </c>
    </row>
    <row r="268" spans="1:15" x14ac:dyDescent="0.2">
      <c r="A268" s="21">
        <v>45703</v>
      </c>
      <c r="B268" s="5" t="s">
        <v>81</v>
      </c>
      <c r="C268" t="s">
        <v>82</v>
      </c>
      <c r="D268" t="s">
        <v>52</v>
      </c>
      <c r="E268" t="s">
        <v>28</v>
      </c>
      <c r="F268">
        <v>54</v>
      </c>
      <c r="G268">
        <v>13</v>
      </c>
      <c r="H268">
        <v>1</v>
      </c>
      <c r="I268">
        <f>Inventory_Data[[#This Row],[Opening_Stock]]+Inventory_Data[[#This Row],[Units_Received]]-Inventory_Data[[#This Row],[Units_Sold]]</f>
        <v>66</v>
      </c>
      <c r="J268">
        <v>0</v>
      </c>
      <c r="K268">
        <v>13</v>
      </c>
      <c r="L268" t="s">
        <v>83</v>
      </c>
      <c r="M268" s="3">
        <v>152.63</v>
      </c>
      <c r="N268" s="3">
        <v>210.8</v>
      </c>
      <c r="O268" s="10" t="str">
        <f>TEXT(Inventory_Data[[#This Row],[Date]],"mmm")</f>
        <v>Feb</v>
      </c>
    </row>
    <row r="269" spans="1:15" x14ac:dyDescent="0.2">
      <c r="A269" s="21">
        <v>45703</v>
      </c>
      <c r="B269" s="5" t="s">
        <v>176</v>
      </c>
      <c r="C269" t="s">
        <v>177</v>
      </c>
      <c r="D269" t="s">
        <v>34</v>
      </c>
      <c r="E269" t="s">
        <v>28</v>
      </c>
      <c r="F269">
        <v>377</v>
      </c>
      <c r="G269">
        <v>166</v>
      </c>
      <c r="H269">
        <v>82</v>
      </c>
      <c r="I269">
        <f>Inventory_Data[[#This Row],[Opening_Stock]]+Inventory_Data[[#This Row],[Units_Received]]-Inventory_Data[[#This Row],[Units_Sold]]</f>
        <v>461</v>
      </c>
      <c r="J269">
        <v>0</v>
      </c>
      <c r="K269">
        <v>2</v>
      </c>
      <c r="L269" t="s">
        <v>42</v>
      </c>
      <c r="M269" s="3">
        <v>4.2300000000000004</v>
      </c>
      <c r="N269" s="3">
        <v>5.83</v>
      </c>
      <c r="O269" s="10" t="str">
        <f>TEXT(Inventory_Data[[#This Row],[Date]],"mmm")</f>
        <v>Feb</v>
      </c>
    </row>
    <row r="270" spans="1:15" x14ac:dyDescent="0.2">
      <c r="A270" s="21">
        <v>45704</v>
      </c>
      <c r="B270" s="5" t="s">
        <v>71</v>
      </c>
      <c r="C270" t="s">
        <v>72</v>
      </c>
      <c r="D270" t="s">
        <v>16</v>
      </c>
      <c r="E270" t="s">
        <v>28</v>
      </c>
      <c r="F270">
        <v>72</v>
      </c>
      <c r="G270">
        <v>75</v>
      </c>
      <c r="H270">
        <v>62</v>
      </c>
      <c r="I270">
        <f>Inventory_Data[[#This Row],[Opening_Stock]]+Inventory_Data[[#This Row],[Units_Received]]-Inventory_Data[[#This Row],[Units_Sold]]</f>
        <v>85</v>
      </c>
      <c r="J270">
        <v>0</v>
      </c>
      <c r="K270">
        <v>11</v>
      </c>
      <c r="L270" t="s">
        <v>24</v>
      </c>
      <c r="M270" s="3">
        <v>150.38</v>
      </c>
      <c r="N270" s="3">
        <v>221.61</v>
      </c>
      <c r="O270" s="10" t="str">
        <f>TEXT(Inventory_Data[[#This Row],[Date]],"mmm")</f>
        <v>Feb</v>
      </c>
    </row>
    <row r="271" spans="1:15" x14ac:dyDescent="0.2">
      <c r="A271" s="21">
        <v>45704</v>
      </c>
      <c r="B271" s="5" t="s">
        <v>162</v>
      </c>
      <c r="C271" t="s">
        <v>163</v>
      </c>
      <c r="D271" t="s">
        <v>16</v>
      </c>
      <c r="E271" t="s">
        <v>17</v>
      </c>
      <c r="F271">
        <v>146</v>
      </c>
      <c r="G271">
        <v>10</v>
      </c>
      <c r="H271">
        <v>8</v>
      </c>
      <c r="I271">
        <f>Inventory_Data[[#This Row],[Opening_Stock]]+Inventory_Data[[#This Row],[Units_Received]]-Inventory_Data[[#This Row],[Units_Sold]]</f>
        <v>148</v>
      </c>
      <c r="J271">
        <v>0</v>
      </c>
      <c r="K271">
        <v>5</v>
      </c>
      <c r="L271" t="s">
        <v>45</v>
      </c>
      <c r="M271" s="3">
        <v>64.650000000000006</v>
      </c>
      <c r="N271" s="3">
        <v>76.239999999999995</v>
      </c>
      <c r="O271" s="10" t="str">
        <f>TEXT(Inventory_Data[[#This Row],[Date]],"mmm")</f>
        <v>Feb</v>
      </c>
    </row>
    <row r="272" spans="1:15" x14ac:dyDescent="0.2">
      <c r="A272" s="21">
        <v>45704</v>
      </c>
      <c r="B272" s="5" t="s">
        <v>86</v>
      </c>
      <c r="C272" t="s">
        <v>87</v>
      </c>
      <c r="D272" t="s">
        <v>48</v>
      </c>
      <c r="E272" t="s">
        <v>35</v>
      </c>
      <c r="F272">
        <v>225</v>
      </c>
      <c r="G272">
        <v>118</v>
      </c>
      <c r="H272">
        <v>113</v>
      </c>
      <c r="I272">
        <f>Inventory_Data[[#This Row],[Opening_Stock]]+Inventory_Data[[#This Row],[Units_Received]]-Inventory_Data[[#This Row],[Units_Sold]]</f>
        <v>230</v>
      </c>
      <c r="J272">
        <v>0</v>
      </c>
      <c r="K272">
        <v>9</v>
      </c>
      <c r="L272" t="s">
        <v>63</v>
      </c>
      <c r="M272" s="3">
        <v>44.31</v>
      </c>
      <c r="N272" s="3">
        <v>55.58</v>
      </c>
      <c r="O272" s="10" t="str">
        <f>TEXT(Inventory_Data[[#This Row],[Date]],"mmm")</f>
        <v>Feb</v>
      </c>
    </row>
    <row r="273" spans="1:15" x14ac:dyDescent="0.2">
      <c r="A273" s="21">
        <v>45704</v>
      </c>
      <c r="B273" s="5" t="s">
        <v>190</v>
      </c>
      <c r="C273" t="s">
        <v>191</v>
      </c>
      <c r="D273" t="s">
        <v>48</v>
      </c>
      <c r="E273" t="s">
        <v>17</v>
      </c>
      <c r="F273">
        <v>281</v>
      </c>
      <c r="G273">
        <v>73</v>
      </c>
      <c r="H273">
        <v>93</v>
      </c>
      <c r="I273">
        <f>Inventory_Data[[#This Row],[Opening_Stock]]+Inventory_Data[[#This Row],[Units_Received]]-Inventory_Data[[#This Row],[Units_Sold]]</f>
        <v>261</v>
      </c>
      <c r="J273">
        <v>0</v>
      </c>
      <c r="K273">
        <v>3</v>
      </c>
      <c r="L273" t="s">
        <v>77</v>
      </c>
      <c r="M273" s="3">
        <v>80.260000000000005</v>
      </c>
      <c r="N273" s="3">
        <v>103.54</v>
      </c>
      <c r="O273" s="10" t="str">
        <f>TEXT(Inventory_Data[[#This Row],[Date]],"mmm")</f>
        <v>Feb</v>
      </c>
    </row>
    <row r="274" spans="1:15" x14ac:dyDescent="0.2">
      <c r="A274" s="21">
        <v>45704</v>
      </c>
      <c r="B274" s="5" t="s">
        <v>122</v>
      </c>
      <c r="C274" t="s">
        <v>123</v>
      </c>
      <c r="D274" t="s">
        <v>27</v>
      </c>
      <c r="E274" t="s">
        <v>35</v>
      </c>
      <c r="F274">
        <v>277</v>
      </c>
      <c r="G274">
        <v>82</v>
      </c>
      <c r="H274">
        <v>101</v>
      </c>
      <c r="I274">
        <f>Inventory_Data[[#This Row],[Opening_Stock]]+Inventory_Data[[#This Row],[Units_Received]]-Inventory_Data[[#This Row],[Units_Sold]]</f>
        <v>258</v>
      </c>
      <c r="J274">
        <v>0</v>
      </c>
      <c r="K274">
        <v>4</v>
      </c>
      <c r="L274" t="s">
        <v>29</v>
      </c>
      <c r="M274" s="3">
        <v>9.92</v>
      </c>
      <c r="N274" s="3">
        <v>11.65</v>
      </c>
      <c r="O274" s="10" t="str">
        <f>TEXT(Inventory_Data[[#This Row],[Date]],"mmm")</f>
        <v>Feb</v>
      </c>
    </row>
    <row r="275" spans="1:15" x14ac:dyDescent="0.2">
      <c r="A275" s="21">
        <v>45704</v>
      </c>
      <c r="B275" s="5" t="s">
        <v>124</v>
      </c>
      <c r="C275" t="s">
        <v>125</v>
      </c>
      <c r="D275" t="s">
        <v>52</v>
      </c>
      <c r="E275" t="s">
        <v>21</v>
      </c>
      <c r="F275">
        <v>75</v>
      </c>
      <c r="G275">
        <v>7</v>
      </c>
      <c r="H275">
        <v>8</v>
      </c>
      <c r="I275">
        <f>Inventory_Data[[#This Row],[Opening_Stock]]+Inventory_Data[[#This Row],[Units_Received]]-Inventory_Data[[#This Row],[Units_Sold]]</f>
        <v>74</v>
      </c>
      <c r="J275">
        <v>0</v>
      </c>
      <c r="K275">
        <v>11</v>
      </c>
      <c r="L275" t="s">
        <v>56</v>
      </c>
      <c r="M275" s="3">
        <v>111.32</v>
      </c>
      <c r="N275" s="3">
        <v>162.18</v>
      </c>
      <c r="O275" s="10" t="str">
        <f>TEXT(Inventory_Data[[#This Row],[Date]],"mmm")</f>
        <v>Feb</v>
      </c>
    </row>
    <row r="276" spans="1:15" x14ac:dyDescent="0.2">
      <c r="A276" s="21">
        <v>45704</v>
      </c>
      <c r="B276" s="5" t="s">
        <v>57</v>
      </c>
      <c r="C276" t="s">
        <v>58</v>
      </c>
      <c r="D276" t="s">
        <v>52</v>
      </c>
      <c r="E276" t="s">
        <v>21</v>
      </c>
      <c r="F276">
        <v>68</v>
      </c>
      <c r="G276">
        <v>25</v>
      </c>
      <c r="H276">
        <v>20</v>
      </c>
      <c r="I276">
        <f>Inventory_Data[[#This Row],[Opening_Stock]]+Inventory_Data[[#This Row],[Units_Received]]-Inventory_Data[[#This Row],[Units_Sold]]</f>
        <v>73</v>
      </c>
      <c r="J276">
        <v>0</v>
      </c>
      <c r="K276">
        <v>2</v>
      </c>
      <c r="L276" t="s">
        <v>83</v>
      </c>
      <c r="M276" s="3">
        <v>104.5</v>
      </c>
      <c r="N276" s="3">
        <v>151.36000000000001</v>
      </c>
      <c r="O276" s="10" t="str">
        <f>TEXT(Inventory_Data[[#This Row],[Date]],"mmm")</f>
        <v>Feb</v>
      </c>
    </row>
    <row r="277" spans="1:15" x14ac:dyDescent="0.2">
      <c r="A277" s="21">
        <v>45704</v>
      </c>
      <c r="B277" s="5" t="s">
        <v>69</v>
      </c>
      <c r="C277" t="s">
        <v>70</v>
      </c>
      <c r="D277" t="s">
        <v>34</v>
      </c>
      <c r="E277" t="s">
        <v>35</v>
      </c>
      <c r="F277">
        <v>201</v>
      </c>
      <c r="G277">
        <v>207</v>
      </c>
      <c r="H277">
        <v>162</v>
      </c>
      <c r="I277">
        <f>Inventory_Data[[#This Row],[Opening_Stock]]+Inventory_Data[[#This Row],[Units_Received]]-Inventory_Data[[#This Row],[Units_Sold]]</f>
        <v>246</v>
      </c>
      <c r="J277">
        <v>0</v>
      </c>
      <c r="K277">
        <v>3</v>
      </c>
      <c r="L277" t="s">
        <v>42</v>
      </c>
      <c r="M277" s="3">
        <v>23.59</v>
      </c>
      <c r="N277" s="3">
        <v>32.880000000000003</v>
      </c>
      <c r="O277" s="10" t="str">
        <f>TEXT(Inventory_Data[[#This Row],[Date]],"mmm")</f>
        <v>Feb</v>
      </c>
    </row>
    <row r="278" spans="1:15" x14ac:dyDescent="0.2">
      <c r="A278" s="21">
        <v>45705</v>
      </c>
      <c r="B278" s="5" t="s">
        <v>106</v>
      </c>
      <c r="C278" t="s">
        <v>107</v>
      </c>
      <c r="D278" t="s">
        <v>16</v>
      </c>
      <c r="E278" t="s">
        <v>21</v>
      </c>
      <c r="F278">
        <v>163</v>
      </c>
      <c r="G278">
        <v>78</v>
      </c>
      <c r="H278">
        <v>65</v>
      </c>
      <c r="I278">
        <f>Inventory_Data[[#This Row],[Opening_Stock]]+Inventory_Data[[#This Row],[Units_Received]]-Inventory_Data[[#This Row],[Units_Sold]]</f>
        <v>176</v>
      </c>
      <c r="J278">
        <v>0</v>
      </c>
      <c r="K278">
        <v>11</v>
      </c>
      <c r="L278" t="s">
        <v>45</v>
      </c>
      <c r="M278" s="3">
        <v>83.57</v>
      </c>
      <c r="N278" s="3">
        <v>96.98</v>
      </c>
      <c r="O278" s="10" t="str">
        <f>TEXT(Inventory_Data[[#This Row],[Date]],"mmm")</f>
        <v>Feb</v>
      </c>
    </row>
    <row r="279" spans="1:15" x14ac:dyDescent="0.2">
      <c r="A279" s="21">
        <v>45705</v>
      </c>
      <c r="B279" s="5" t="s">
        <v>19</v>
      </c>
      <c r="C279" t="s">
        <v>20</v>
      </c>
      <c r="D279" t="s">
        <v>16</v>
      </c>
      <c r="E279" t="s">
        <v>21</v>
      </c>
      <c r="F279">
        <v>94</v>
      </c>
      <c r="G279">
        <v>50</v>
      </c>
      <c r="H279">
        <v>54</v>
      </c>
      <c r="I279">
        <f>Inventory_Data[[#This Row],[Opening_Stock]]+Inventory_Data[[#This Row],[Units_Received]]-Inventory_Data[[#This Row],[Units_Sold]]</f>
        <v>90</v>
      </c>
      <c r="J279">
        <v>0</v>
      </c>
      <c r="K279">
        <v>8</v>
      </c>
      <c r="L279" t="s">
        <v>24</v>
      </c>
      <c r="M279" s="3">
        <v>185.77</v>
      </c>
      <c r="N279" s="3">
        <v>247.65</v>
      </c>
      <c r="O279" s="10" t="str">
        <f>TEXT(Inventory_Data[[#This Row],[Date]],"mmm")</f>
        <v>Feb</v>
      </c>
    </row>
    <row r="280" spans="1:15" x14ac:dyDescent="0.2">
      <c r="A280" s="21">
        <v>45705</v>
      </c>
      <c r="B280" s="5" t="s">
        <v>61</v>
      </c>
      <c r="C280" t="s">
        <v>62</v>
      </c>
      <c r="D280" t="s">
        <v>48</v>
      </c>
      <c r="E280" t="s">
        <v>21</v>
      </c>
      <c r="F280">
        <v>293</v>
      </c>
      <c r="G280">
        <v>103</v>
      </c>
      <c r="H280">
        <v>136</v>
      </c>
      <c r="I280">
        <f>Inventory_Data[[#This Row],[Opening_Stock]]+Inventory_Data[[#This Row],[Units_Received]]-Inventory_Data[[#This Row],[Units_Sold]]</f>
        <v>260</v>
      </c>
      <c r="J280">
        <v>0</v>
      </c>
      <c r="K280">
        <v>7</v>
      </c>
      <c r="L280" t="s">
        <v>49</v>
      </c>
      <c r="M280" s="3">
        <v>69.64</v>
      </c>
      <c r="N280" s="3">
        <v>97.45</v>
      </c>
      <c r="O280" s="10" t="str">
        <f>TEXT(Inventory_Data[[#This Row],[Date]],"mmm")</f>
        <v>Feb</v>
      </c>
    </row>
    <row r="281" spans="1:15" x14ac:dyDescent="0.2">
      <c r="A281" s="21">
        <v>45706</v>
      </c>
      <c r="B281" s="5" t="s">
        <v>106</v>
      </c>
      <c r="C281" t="s">
        <v>107</v>
      </c>
      <c r="D281" t="s">
        <v>16</v>
      </c>
      <c r="E281" t="s">
        <v>21</v>
      </c>
      <c r="F281">
        <v>92</v>
      </c>
      <c r="G281">
        <v>59</v>
      </c>
      <c r="H281">
        <v>16</v>
      </c>
      <c r="I281">
        <f>Inventory_Data[[#This Row],[Opening_Stock]]+Inventory_Data[[#This Row],[Units_Received]]-Inventory_Data[[#This Row],[Units_Sold]]</f>
        <v>135</v>
      </c>
      <c r="J281">
        <v>0</v>
      </c>
      <c r="K281">
        <v>8</v>
      </c>
      <c r="L281" t="s">
        <v>24</v>
      </c>
      <c r="M281" s="3">
        <v>111.15</v>
      </c>
      <c r="N281" s="3">
        <v>150.25</v>
      </c>
      <c r="O281" s="10" t="str">
        <f>TEXT(Inventory_Data[[#This Row],[Date]],"mmm")</f>
        <v>Feb</v>
      </c>
    </row>
    <row r="282" spans="1:15" x14ac:dyDescent="0.2">
      <c r="A282" s="21">
        <v>45706</v>
      </c>
      <c r="B282" s="5" t="s">
        <v>146</v>
      </c>
      <c r="C282" t="s">
        <v>147</v>
      </c>
      <c r="D282" t="s">
        <v>48</v>
      </c>
      <c r="E282" t="s">
        <v>28</v>
      </c>
      <c r="F282">
        <v>179</v>
      </c>
      <c r="G282">
        <v>116</v>
      </c>
      <c r="H282">
        <v>14</v>
      </c>
      <c r="I282">
        <f>Inventory_Data[[#This Row],[Opening_Stock]]+Inventory_Data[[#This Row],[Units_Received]]-Inventory_Data[[#This Row],[Units_Sold]]</f>
        <v>281</v>
      </c>
      <c r="J282">
        <v>0</v>
      </c>
      <c r="K282">
        <v>10</v>
      </c>
      <c r="L282" t="s">
        <v>77</v>
      </c>
      <c r="M282" s="3">
        <v>79.989999999999995</v>
      </c>
      <c r="N282" s="3">
        <v>111.36</v>
      </c>
      <c r="O282" s="10" t="str">
        <f>TEXT(Inventory_Data[[#This Row],[Date]],"mmm")</f>
        <v>Feb</v>
      </c>
    </row>
    <row r="283" spans="1:15" x14ac:dyDescent="0.2">
      <c r="A283" s="21">
        <v>45706</v>
      </c>
      <c r="B283" s="5" t="s">
        <v>92</v>
      </c>
      <c r="C283" t="s">
        <v>93</v>
      </c>
      <c r="D283" t="s">
        <v>27</v>
      </c>
      <c r="E283" t="s">
        <v>21</v>
      </c>
      <c r="F283">
        <v>462</v>
      </c>
      <c r="G283">
        <v>56</v>
      </c>
      <c r="H283">
        <v>94</v>
      </c>
      <c r="I283">
        <f>Inventory_Data[[#This Row],[Opening_Stock]]+Inventory_Data[[#This Row],[Units_Received]]-Inventory_Data[[#This Row],[Units_Sold]]</f>
        <v>424</v>
      </c>
      <c r="J283">
        <v>0</v>
      </c>
      <c r="K283">
        <v>6</v>
      </c>
      <c r="L283" t="s">
        <v>66</v>
      </c>
      <c r="M283" s="3">
        <v>4.83</v>
      </c>
      <c r="N283" s="3">
        <v>6.75</v>
      </c>
      <c r="O283" s="10" t="str">
        <f>TEXT(Inventory_Data[[#This Row],[Date]],"mmm")</f>
        <v>Feb</v>
      </c>
    </row>
    <row r="284" spans="1:15" x14ac:dyDescent="0.2">
      <c r="A284" s="21">
        <v>45706</v>
      </c>
      <c r="B284" s="5" t="s">
        <v>174</v>
      </c>
      <c r="C284" t="s">
        <v>175</v>
      </c>
      <c r="D284" t="s">
        <v>52</v>
      </c>
      <c r="E284" t="s">
        <v>17</v>
      </c>
      <c r="F284">
        <v>10</v>
      </c>
      <c r="G284">
        <v>13</v>
      </c>
      <c r="H284">
        <v>13</v>
      </c>
      <c r="I284">
        <f>Inventory_Data[[#This Row],[Opening_Stock]]+Inventory_Data[[#This Row],[Units_Received]]-Inventory_Data[[#This Row],[Units_Sold]]</f>
        <v>10</v>
      </c>
      <c r="J284">
        <v>0</v>
      </c>
      <c r="K284">
        <v>11</v>
      </c>
      <c r="L284" t="s">
        <v>83</v>
      </c>
      <c r="M284" s="3">
        <v>61.5</v>
      </c>
      <c r="N284" s="3">
        <v>70.790000000000006</v>
      </c>
      <c r="O284" s="10" t="str">
        <f>TEXT(Inventory_Data[[#This Row],[Date]],"mmm")</f>
        <v>Feb</v>
      </c>
    </row>
    <row r="285" spans="1:15" x14ac:dyDescent="0.2">
      <c r="A285" s="21">
        <v>45707</v>
      </c>
      <c r="B285" s="5" t="s">
        <v>152</v>
      </c>
      <c r="C285" t="s">
        <v>153</v>
      </c>
      <c r="D285" t="s">
        <v>16</v>
      </c>
      <c r="E285" t="s">
        <v>17</v>
      </c>
      <c r="F285">
        <v>115</v>
      </c>
      <c r="G285">
        <v>22</v>
      </c>
      <c r="H285">
        <v>35</v>
      </c>
      <c r="I285">
        <f>Inventory_Data[[#This Row],[Opening_Stock]]+Inventory_Data[[#This Row],[Units_Received]]-Inventory_Data[[#This Row],[Units_Sold]]</f>
        <v>102</v>
      </c>
      <c r="J285">
        <v>0</v>
      </c>
      <c r="K285">
        <v>5</v>
      </c>
      <c r="L285" t="s">
        <v>24</v>
      </c>
      <c r="M285" s="3">
        <v>105.1</v>
      </c>
      <c r="N285" s="3">
        <v>125.31</v>
      </c>
      <c r="O285" s="10" t="str">
        <f>TEXT(Inventory_Data[[#This Row],[Date]],"mmm")</f>
        <v>Feb</v>
      </c>
    </row>
    <row r="286" spans="1:15" x14ac:dyDescent="0.2">
      <c r="A286" s="21">
        <v>45707</v>
      </c>
      <c r="B286" s="5" t="s">
        <v>178</v>
      </c>
      <c r="C286" t="s">
        <v>179</v>
      </c>
      <c r="D286" t="s">
        <v>16</v>
      </c>
      <c r="E286" t="s">
        <v>17</v>
      </c>
      <c r="F286">
        <v>57</v>
      </c>
      <c r="G286">
        <v>89</v>
      </c>
      <c r="H286">
        <v>24</v>
      </c>
      <c r="I286">
        <f>Inventory_Data[[#This Row],[Opening_Stock]]+Inventory_Data[[#This Row],[Units_Received]]-Inventory_Data[[#This Row],[Units_Sold]]</f>
        <v>122</v>
      </c>
      <c r="J286">
        <v>0</v>
      </c>
      <c r="K286">
        <v>9</v>
      </c>
      <c r="L286" t="s">
        <v>18</v>
      </c>
      <c r="M286" s="3">
        <v>136.56</v>
      </c>
      <c r="N286" s="3">
        <v>198.34</v>
      </c>
      <c r="O286" s="10" t="str">
        <f>TEXT(Inventory_Data[[#This Row],[Date]],"mmm")</f>
        <v>Feb</v>
      </c>
    </row>
    <row r="287" spans="1:15" x14ac:dyDescent="0.2">
      <c r="A287" s="21">
        <v>45707</v>
      </c>
      <c r="B287" s="5" t="s">
        <v>69</v>
      </c>
      <c r="C287" t="s">
        <v>70</v>
      </c>
      <c r="D287" t="s">
        <v>34</v>
      </c>
      <c r="E287" t="s">
        <v>28</v>
      </c>
      <c r="F287">
        <v>335</v>
      </c>
      <c r="G287">
        <v>107</v>
      </c>
      <c r="H287">
        <v>174</v>
      </c>
      <c r="I287">
        <f>Inventory_Data[[#This Row],[Opening_Stock]]+Inventory_Data[[#This Row],[Units_Received]]-Inventory_Data[[#This Row],[Units_Sold]]</f>
        <v>268</v>
      </c>
      <c r="J287">
        <v>0</v>
      </c>
      <c r="K287">
        <v>13</v>
      </c>
      <c r="L287" t="s">
        <v>36</v>
      </c>
      <c r="M287" s="3">
        <v>26.76</v>
      </c>
      <c r="N287" s="3">
        <v>39.92</v>
      </c>
      <c r="O287" s="10" t="str">
        <f>TEXT(Inventory_Data[[#This Row],[Date]],"mmm")</f>
        <v>Feb</v>
      </c>
    </row>
    <row r="288" spans="1:15" x14ac:dyDescent="0.2">
      <c r="A288" s="21">
        <v>45708</v>
      </c>
      <c r="B288" s="5" t="s">
        <v>144</v>
      </c>
      <c r="C288" t="s">
        <v>145</v>
      </c>
      <c r="D288" t="s">
        <v>48</v>
      </c>
      <c r="E288" t="s">
        <v>28</v>
      </c>
      <c r="F288">
        <v>101</v>
      </c>
      <c r="G288">
        <v>95</v>
      </c>
      <c r="H288">
        <v>22</v>
      </c>
      <c r="I288">
        <f>Inventory_Data[[#This Row],[Opening_Stock]]+Inventory_Data[[#This Row],[Units_Received]]-Inventory_Data[[#This Row],[Units_Sold]]</f>
        <v>174</v>
      </c>
      <c r="J288">
        <v>0</v>
      </c>
      <c r="K288">
        <v>12</v>
      </c>
      <c r="L288" t="s">
        <v>49</v>
      </c>
      <c r="M288" s="3">
        <v>30.22</v>
      </c>
      <c r="N288" s="3">
        <v>37.200000000000003</v>
      </c>
      <c r="O288" s="10" t="str">
        <f>TEXT(Inventory_Data[[#This Row],[Date]],"mmm")</f>
        <v>Feb</v>
      </c>
    </row>
    <row r="289" spans="1:15" x14ac:dyDescent="0.2">
      <c r="A289" s="21">
        <v>45708</v>
      </c>
      <c r="B289" s="5" t="s">
        <v>144</v>
      </c>
      <c r="C289" t="s">
        <v>145</v>
      </c>
      <c r="D289" t="s">
        <v>48</v>
      </c>
      <c r="E289" t="s">
        <v>28</v>
      </c>
      <c r="F289">
        <v>148</v>
      </c>
      <c r="G289">
        <v>148</v>
      </c>
      <c r="H289">
        <v>19</v>
      </c>
      <c r="I289">
        <f>Inventory_Data[[#This Row],[Opening_Stock]]+Inventory_Data[[#This Row],[Units_Received]]-Inventory_Data[[#This Row],[Units_Sold]]</f>
        <v>277</v>
      </c>
      <c r="J289">
        <v>0</v>
      </c>
      <c r="K289">
        <v>12</v>
      </c>
      <c r="L289" t="s">
        <v>49</v>
      </c>
      <c r="M289" s="3">
        <v>8.75</v>
      </c>
      <c r="N289" s="3">
        <v>12.33</v>
      </c>
      <c r="O289" s="10" t="str">
        <f>TEXT(Inventory_Data[[#This Row],[Date]],"mmm")</f>
        <v>Feb</v>
      </c>
    </row>
    <row r="290" spans="1:15" x14ac:dyDescent="0.2">
      <c r="A290" s="21">
        <v>45708</v>
      </c>
      <c r="B290" s="5" t="s">
        <v>148</v>
      </c>
      <c r="C290" t="s">
        <v>149</v>
      </c>
      <c r="D290" t="s">
        <v>27</v>
      </c>
      <c r="E290" t="s">
        <v>17</v>
      </c>
      <c r="F290">
        <v>190</v>
      </c>
      <c r="G290">
        <v>192</v>
      </c>
      <c r="H290">
        <v>142</v>
      </c>
      <c r="I290">
        <f>Inventory_Data[[#This Row],[Opening_Stock]]+Inventory_Data[[#This Row],[Units_Received]]-Inventory_Data[[#This Row],[Units_Sold]]</f>
        <v>240</v>
      </c>
      <c r="J290">
        <v>0</v>
      </c>
      <c r="K290">
        <v>5</v>
      </c>
      <c r="L290" t="s">
        <v>29</v>
      </c>
      <c r="M290" s="3">
        <v>14.88</v>
      </c>
      <c r="N290" s="3">
        <v>21.76</v>
      </c>
      <c r="O290" s="10" t="str">
        <f>TEXT(Inventory_Data[[#This Row],[Date]],"mmm")</f>
        <v>Feb</v>
      </c>
    </row>
    <row r="291" spans="1:15" x14ac:dyDescent="0.2">
      <c r="A291" s="21">
        <v>45708</v>
      </c>
      <c r="B291" s="5" t="s">
        <v>100</v>
      </c>
      <c r="C291" t="s">
        <v>101</v>
      </c>
      <c r="D291" t="s">
        <v>52</v>
      </c>
      <c r="E291" t="s">
        <v>17</v>
      </c>
      <c r="F291">
        <v>19</v>
      </c>
      <c r="G291">
        <v>10</v>
      </c>
      <c r="H291">
        <v>14</v>
      </c>
      <c r="I291">
        <f>Inventory_Data[[#This Row],[Opening_Stock]]+Inventory_Data[[#This Row],[Units_Received]]-Inventory_Data[[#This Row],[Units_Sold]]</f>
        <v>15</v>
      </c>
      <c r="J291">
        <v>0</v>
      </c>
      <c r="K291">
        <v>14</v>
      </c>
      <c r="L291" t="s">
        <v>53</v>
      </c>
      <c r="M291" s="3">
        <v>218.2</v>
      </c>
      <c r="N291" s="3">
        <v>294.29000000000002</v>
      </c>
      <c r="O291" s="10" t="str">
        <f>TEXT(Inventory_Data[[#This Row],[Date]],"mmm")</f>
        <v>Feb</v>
      </c>
    </row>
    <row r="292" spans="1:15" x14ac:dyDescent="0.2">
      <c r="A292" s="21">
        <v>45708</v>
      </c>
      <c r="B292" s="5" t="s">
        <v>158</v>
      </c>
      <c r="C292" t="s">
        <v>159</v>
      </c>
      <c r="D292" t="s">
        <v>52</v>
      </c>
      <c r="E292" t="s">
        <v>17</v>
      </c>
      <c r="F292">
        <v>67</v>
      </c>
      <c r="G292">
        <v>13</v>
      </c>
      <c r="H292">
        <v>2</v>
      </c>
      <c r="I292">
        <f>Inventory_Data[[#This Row],[Opening_Stock]]+Inventory_Data[[#This Row],[Units_Received]]-Inventory_Data[[#This Row],[Units_Sold]]</f>
        <v>78</v>
      </c>
      <c r="J292">
        <v>0</v>
      </c>
      <c r="K292">
        <v>12</v>
      </c>
      <c r="L292" t="s">
        <v>53</v>
      </c>
      <c r="M292" s="3">
        <v>266.62</v>
      </c>
      <c r="N292" s="3">
        <v>363.44</v>
      </c>
      <c r="O292" s="10" t="str">
        <f>TEXT(Inventory_Data[[#This Row],[Date]],"mmm")</f>
        <v>Feb</v>
      </c>
    </row>
    <row r="293" spans="1:15" x14ac:dyDescent="0.2">
      <c r="A293" s="21">
        <v>45708</v>
      </c>
      <c r="B293" s="5" t="s">
        <v>142</v>
      </c>
      <c r="C293" t="s">
        <v>143</v>
      </c>
      <c r="D293" t="s">
        <v>52</v>
      </c>
      <c r="E293" t="s">
        <v>17</v>
      </c>
      <c r="F293">
        <v>19</v>
      </c>
      <c r="G293">
        <v>6</v>
      </c>
      <c r="H293">
        <v>18</v>
      </c>
      <c r="I293">
        <f>Inventory_Data[[#This Row],[Opening_Stock]]+Inventory_Data[[#This Row],[Units_Received]]-Inventory_Data[[#This Row],[Units_Sold]]</f>
        <v>7</v>
      </c>
      <c r="J293">
        <v>0</v>
      </c>
      <c r="K293">
        <v>7</v>
      </c>
      <c r="L293" t="s">
        <v>83</v>
      </c>
      <c r="M293" s="3">
        <v>114.51</v>
      </c>
      <c r="N293" s="3">
        <v>176.01</v>
      </c>
      <c r="O293" s="10" t="str">
        <f>TEXT(Inventory_Data[[#This Row],[Date]],"mmm")</f>
        <v>Feb</v>
      </c>
    </row>
    <row r="294" spans="1:15" x14ac:dyDescent="0.2">
      <c r="A294" s="21">
        <v>45708</v>
      </c>
      <c r="B294" s="5" t="s">
        <v>54</v>
      </c>
      <c r="C294" t="s">
        <v>55</v>
      </c>
      <c r="D294" t="s">
        <v>52</v>
      </c>
      <c r="E294" t="s">
        <v>21</v>
      </c>
      <c r="F294">
        <v>59</v>
      </c>
      <c r="G294">
        <v>22</v>
      </c>
      <c r="H294">
        <v>11</v>
      </c>
      <c r="I294">
        <f>Inventory_Data[[#This Row],[Opening_Stock]]+Inventory_Data[[#This Row],[Units_Received]]-Inventory_Data[[#This Row],[Units_Sold]]</f>
        <v>70</v>
      </c>
      <c r="J294">
        <v>0</v>
      </c>
      <c r="K294">
        <v>14</v>
      </c>
      <c r="L294" t="s">
        <v>53</v>
      </c>
      <c r="M294" s="3">
        <v>288.87</v>
      </c>
      <c r="N294" s="3">
        <v>425.56</v>
      </c>
      <c r="O294" s="10" t="str">
        <f>TEXT(Inventory_Data[[#This Row],[Date]],"mmm")</f>
        <v>Feb</v>
      </c>
    </row>
    <row r="295" spans="1:15" x14ac:dyDescent="0.2">
      <c r="A295" s="21">
        <v>45708</v>
      </c>
      <c r="B295" s="5" t="s">
        <v>104</v>
      </c>
      <c r="C295" t="s">
        <v>105</v>
      </c>
      <c r="D295" t="s">
        <v>34</v>
      </c>
      <c r="E295" t="s">
        <v>28</v>
      </c>
      <c r="F295">
        <v>184</v>
      </c>
      <c r="G295">
        <v>208</v>
      </c>
      <c r="H295">
        <v>53</v>
      </c>
      <c r="I295">
        <f>Inventory_Data[[#This Row],[Opening_Stock]]+Inventory_Data[[#This Row],[Units_Received]]-Inventory_Data[[#This Row],[Units_Sold]]</f>
        <v>339</v>
      </c>
      <c r="J295">
        <v>0</v>
      </c>
      <c r="K295">
        <v>5</v>
      </c>
      <c r="L295" t="s">
        <v>42</v>
      </c>
      <c r="M295" s="3">
        <v>14.46</v>
      </c>
      <c r="N295" s="3">
        <v>21.19</v>
      </c>
      <c r="O295" s="10" t="str">
        <f>TEXT(Inventory_Data[[#This Row],[Date]],"mmm")</f>
        <v>Feb</v>
      </c>
    </row>
    <row r="296" spans="1:15" x14ac:dyDescent="0.2">
      <c r="A296" s="21">
        <v>45709</v>
      </c>
      <c r="B296" s="5" t="s">
        <v>170</v>
      </c>
      <c r="C296" t="s">
        <v>171</v>
      </c>
      <c r="D296" t="s">
        <v>48</v>
      </c>
      <c r="E296" t="s">
        <v>21</v>
      </c>
      <c r="F296">
        <v>67</v>
      </c>
      <c r="G296">
        <v>130</v>
      </c>
      <c r="H296">
        <v>66</v>
      </c>
      <c r="I296">
        <f>Inventory_Data[[#This Row],[Opening_Stock]]+Inventory_Data[[#This Row],[Units_Received]]-Inventory_Data[[#This Row],[Units_Sold]]</f>
        <v>131</v>
      </c>
      <c r="J296">
        <v>0</v>
      </c>
      <c r="K296">
        <v>11</v>
      </c>
      <c r="L296" t="s">
        <v>77</v>
      </c>
      <c r="M296" s="3">
        <v>74.89</v>
      </c>
      <c r="N296" s="3">
        <v>100.1</v>
      </c>
      <c r="O296" s="10" t="str">
        <f>TEXT(Inventory_Data[[#This Row],[Date]],"mmm")</f>
        <v>Feb</v>
      </c>
    </row>
    <row r="297" spans="1:15" x14ac:dyDescent="0.2">
      <c r="A297" s="21">
        <v>45709</v>
      </c>
      <c r="B297" s="5" t="s">
        <v>182</v>
      </c>
      <c r="C297" t="s">
        <v>183</v>
      </c>
      <c r="D297" t="s">
        <v>52</v>
      </c>
      <c r="E297" t="s">
        <v>17</v>
      </c>
      <c r="F297">
        <v>59</v>
      </c>
      <c r="G297">
        <v>21</v>
      </c>
      <c r="H297">
        <v>19</v>
      </c>
      <c r="I297">
        <f>Inventory_Data[[#This Row],[Opening_Stock]]+Inventory_Data[[#This Row],[Units_Received]]-Inventory_Data[[#This Row],[Units_Sold]]</f>
        <v>61</v>
      </c>
      <c r="J297">
        <v>0</v>
      </c>
      <c r="K297">
        <v>10</v>
      </c>
      <c r="L297" t="s">
        <v>56</v>
      </c>
      <c r="M297" s="3">
        <v>32.07</v>
      </c>
      <c r="N297" s="3">
        <v>43.56</v>
      </c>
      <c r="O297" s="10" t="str">
        <f>TEXT(Inventory_Data[[#This Row],[Date]],"mmm")</f>
        <v>Feb</v>
      </c>
    </row>
    <row r="298" spans="1:15" x14ac:dyDescent="0.2">
      <c r="A298" s="21">
        <v>45709</v>
      </c>
      <c r="B298" s="5" t="s">
        <v>110</v>
      </c>
      <c r="C298" t="s">
        <v>111</v>
      </c>
      <c r="D298" t="s">
        <v>52</v>
      </c>
      <c r="E298" t="s">
        <v>17</v>
      </c>
      <c r="F298">
        <v>33</v>
      </c>
      <c r="G298">
        <v>10</v>
      </c>
      <c r="H298">
        <v>4</v>
      </c>
      <c r="I298">
        <f>Inventory_Data[[#This Row],[Opening_Stock]]+Inventory_Data[[#This Row],[Units_Received]]-Inventory_Data[[#This Row],[Units_Sold]]</f>
        <v>39</v>
      </c>
      <c r="J298">
        <v>0</v>
      </c>
      <c r="K298">
        <v>6</v>
      </c>
      <c r="L298" t="s">
        <v>56</v>
      </c>
      <c r="M298" s="3">
        <v>231.24</v>
      </c>
      <c r="N298" s="3">
        <v>339.73</v>
      </c>
      <c r="O298" s="10" t="str">
        <f>TEXT(Inventory_Data[[#This Row],[Date]],"mmm")</f>
        <v>Feb</v>
      </c>
    </row>
    <row r="299" spans="1:15" x14ac:dyDescent="0.2">
      <c r="A299" s="21">
        <v>45709</v>
      </c>
      <c r="B299" s="5" t="s">
        <v>59</v>
      </c>
      <c r="C299" t="s">
        <v>60</v>
      </c>
      <c r="D299" t="s">
        <v>34</v>
      </c>
      <c r="E299" t="s">
        <v>35</v>
      </c>
      <c r="F299">
        <v>343</v>
      </c>
      <c r="G299">
        <v>50</v>
      </c>
      <c r="H299">
        <v>121</v>
      </c>
      <c r="I299">
        <f>Inventory_Data[[#This Row],[Opening_Stock]]+Inventory_Data[[#This Row],[Units_Received]]-Inventory_Data[[#This Row],[Units_Sold]]</f>
        <v>272</v>
      </c>
      <c r="J299">
        <v>0</v>
      </c>
      <c r="K299">
        <v>3</v>
      </c>
      <c r="L299" t="s">
        <v>42</v>
      </c>
      <c r="M299" s="3">
        <v>12.71</v>
      </c>
      <c r="N299" s="3">
        <v>15.01</v>
      </c>
      <c r="O299" s="10" t="str">
        <f>TEXT(Inventory_Data[[#This Row],[Date]],"mmm")</f>
        <v>Feb</v>
      </c>
    </row>
    <row r="300" spans="1:15" x14ac:dyDescent="0.2">
      <c r="A300" s="21">
        <v>45710</v>
      </c>
      <c r="B300" s="5" t="s">
        <v>132</v>
      </c>
      <c r="C300" t="s">
        <v>133</v>
      </c>
      <c r="D300" t="s">
        <v>16</v>
      </c>
      <c r="E300" t="s">
        <v>35</v>
      </c>
      <c r="F300">
        <v>131</v>
      </c>
      <c r="G300">
        <v>64</v>
      </c>
      <c r="H300">
        <v>60</v>
      </c>
      <c r="I300">
        <f>Inventory_Data[[#This Row],[Opening_Stock]]+Inventory_Data[[#This Row],[Units_Received]]-Inventory_Data[[#This Row],[Units_Sold]]</f>
        <v>135</v>
      </c>
      <c r="J300">
        <v>0</v>
      </c>
      <c r="K300">
        <v>13</v>
      </c>
      <c r="L300" t="s">
        <v>45</v>
      </c>
      <c r="M300" s="3">
        <v>97.47</v>
      </c>
      <c r="N300" s="3">
        <v>126.7</v>
      </c>
      <c r="O300" s="10" t="str">
        <f>TEXT(Inventory_Data[[#This Row],[Date]],"mmm")</f>
        <v>Feb</v>
      </c>
    </row>
    <row r="301" spans="1:15" x14ac:dyDescent="0.2">
      <c r="A301" s="21">
        <v>45710</v>
      </c>
      <c r="B301" s="5" t="s">
        <v>94</v>
      </c>
      <c r="C301" t="s">
        <v>95</v>
      </c>
      <c r="D301" t="s">
        <v>16</v>
      </c>
      <c r="E301" t="s">
        <v>28</v>
      </c>
      <c r="F301">
        <v>23</v>
      </c>
      <c r="G301">
        <v>26</v>
      </c>
      <c r="H301">
        <v>8</v>
      </c>
      <c r="I301">
        <f>Inventory_Data[[#This Row],[Opening_Stock]]+Inventory_Data[[#This Row],[Units_Received]]-Inventory_Data[[#This Row],[Units_Sold]]</f>
        <v>41</v>
      </c>
      <c r="J301">
        <v>0</v>
      </c>
      <c r="K301">
        <v>12</v>
      </c>
      <c r="L301" t="s">
        <v>24</v>
      </c>
      <c r="M301" s="3">
        <v>158.13</v>
      </c>
      <c r="N301" s="3">
        <v>195.44</v>
      </c>
      <c r="O301" s="10" t="str">
        <f>TEXT(Inventory_Data[[#This Row],[Date]],"mmm")</f>
        <v>Feb</v>
      </c>
    </row>
    <row r="302" spans="1:15" x14ac:dyDescent="0.2">
      <c r="A302" s="21">
        <v>45710</v>
      </c>
      <c r="B302" s="5" t="s">
        <v>86</v>
      </c>
      <c r="C302" t="s">
        <v>87</v>
      </c>
      <c r="D302" t="s">
        <v>48</v>
      </c>
      <c r="E302" t="s">
        <v>35</v>
      </c>
      <c r="F302">
        <v>42</v>
      </c>
      <c r="G302">
        <v>104</v>
      </c>
      <c r="H302">
        <v>134</v>
      </c>
      <c r="I302">
        <f>Inventory_Data[[#This Row],[Opening_Stock]]+Inventory_Data[[#This Row],[Units_Received]]-Inventory_Data[[#This Row],[Units_Sold]]</f>
        <v>12</v>
      </c>
      <c r="J302">
        <v>0</v>
      </c>
      <c r="K302">
        <v>11</v>
      </c>
      <c r="L302" t="s">
        <v>77</v>
      </c>
      <c r="M302" s="3">
        <v>40.03</v>
      </c>
      <c r="N302" s="3">
        <v>47.14</v>
      </c>
      <c r="O302" s="10" t="str">
        <f>TEXT(Inventory_Data[[#This Row],[Date]],"mmm")</f>
        <v>Feb</v>
      </c>
    </row>
    <row r="303" spans="1:15" x14ac:dyDescent="0.2">
      <c r="A303" s="21">
        <v>45710</v>
      </c>
      <c r="B303" s="5" t="s">
        <v>190</v>
      </c>
      <c r="C303" t="s">
        <v>191</v>
      </c>
      <c r="D303" t="s">
        <v>48</v>
      </c>
      <c r="E303" t="s">
        <v>17</v>
      </c>
      <c r="F303">
        <v>106</v>
      </c>
      <c r="G303">
        <v>95</v>
      </c>
      <c r="H303">
        <v>102</v>
      </c>
      <c r="I303">
        <f>Inventory_Data[[#This Row],[Opening_Stock]]+Inventory_Data[[#This Row],[Units_Received]]-Inventory_Data[[#This Row],[Units_Sold]]</f>
        <v>99</v>
      </c>
      <c r="J303">
        <v>0</v>
      </c>
      <c r="K303">
        <v>2</v>
      </c>
      <c r="L303" t="s">
        <v>49</v>
      </c>
      <c r="M303" s="3">
        <v>58.86</v>
      </c>
      <c r="N303" s="3">
        <v>80.52</v>
      </c>
      <c r="O303" s="10" t="str">
        <f>TEXT(Inventory_Data[[#This Row],[Date]],"mmm")</f>
        <v>Feb</v>
      </c>
    </row>
    <row r="304" spans="1:15" x14ac:dyDescent="0.2">
      <c r="A304" s="21">
        <v>45710</v>
      </c>
      <c r="B304" s="5" t="s">
        <v>172</v>
      </c>
      <c r="C304" t="s">
        <v>173</v>
      </c>
      <c r="D304" t="s">
        <v>27</v>
      </c>
      <c r="E304" t="s">
        <v>17</v>
      </c>
      <c r="F304">
        <v>218</v>
      </c>
      <c r="G304">
        <v>218</v>
      </c>
      <c r="H304">
        <v>36</v>
      </c>
      <c r="I304">
        <f>Inventory_Data[[#This Row],[Opening_Stock]]+Inventory_Data[[#This Row],[Units_Received]]-Inventory_Data[[#This Row],[Units_Sold]]</f>
        <v>400</v>
      </c>
      <c r="J304">
        <v>0</v>
      </c>
      <c r="K304">
        <v>3</v>
      </c>
      <c r="L304" t="s">
        <v>80</v>
      </c>
      <c r="M304" s="3">
        <v>22.25</v>
      </c>
      <c r="N304" s="3">
        <v>31.14</v>
      </c>
      <c r="O304" s="10" t="str">
        <f>TEXT(Inventory_Data[[#This Row],[Date]],"mmm")</f>
        <v>Feb</v>
      </c>
    </row>
    <row r="305" spans="1:15" x14ac:dyDescent="0.2">
      <c r="A305" s="21">
        <v>45710</v>
      </c>
      <c r="B305" s="5" t="s">
        <v>150</v>
      </c>
      <c r="C305" t="s">
        <v>151</v>
      </c>
      <c r="D305" t="s">
        <v>52</v>
      </c>
      <c r="E305" t="s">
        <v>21</v>
      </c>
      <c r="F305">
        <v>42</v>
      </c>
      <c r="G305">
        <v>22</v>
      </c>
      <c r="H305">
        <v>2</v>
      </c>
      <c r="I305">
        <f>Inventory_Data[[#This Row],[Opening_Stock]]+Inventory_Data[[#This Row],[Units_Received]]-Inventory_Data[[#This Row],[Units_Sold]]</f>
        <v>62</v>
      </c>
      <c r="J305">
        <v>0</v>
      </c>
      <c r="K305">
        <v>3</v>
      </c>
      <c r="L305" t="s">
        <v>56</v>
      </c>
      <c r="M305" s="3">
        <v>57.68</v>
      </c>
      <c r="N305" s="3">
        <v>75.41</v>
      </c>
      <c r="O305" s="10" t="str">
        <f>TEXT(Inventory_Data[[#This Row],[Date]],"mmm")</f>
        <v>Feb</v>
      </c>
    </row>
    <row r="306" spans="1:15" x14ac:dyDescent="0.2">
      <c r="A306" s="21">
        <v>45710</v>
      </c>
      <c r="B306" s="5" t="s">
        <v>88</v>
      </c>
      <c r="C306" t="s">
        <v>89</v>
      </c>
      <c r="D306" t="s">
        <v>34</v>
      </c>
      <c r="E306" t="s">
        <v>21</v>
      </c>
      <c r="F306">
        <v>108</v>
      </c>
      <c r="G306">
        <v>65</v>
      </c>
      <c r="H306">
        <v>140</v>
      </c>
      <c r="I306">
        <f>Inventory_Data[[#This Row],[Opening_Stock]]+Inventory_Data[[#This Row],[Units_Received]]-Inventory_Data[[#This Row],[Units_Sold]]</f>
        <v>33</v>
      </c>
      <c r="J306">
        <v>0</v>
      </c>
      <c r="K306">
        <v>5</v>
      </c>
      <c r="L306" t="s">
        <v>42</v>
      </c>
      <c r="M306" s="3">
        <v>23.46</v>
      </c>
      <c r="N306" s="3">
        <v>33.020000000000003</v>
      </c>
      <c r="O306" s="10" t="str">
        <f>TEXT(Inventory_Data[[#This Row],[Date]],"mmm")</f>
        <v>Feb</v>
      </c>
    </row>
    <row r="307" spans="1:15" x14ac:dyDescent="0.2">
      <c r="A307" s="21">
        <v>45710</v>
      </c>
      <c r="B307" s="5" t="s">
        <v>168</v>
      </c>
      <c r="C307" t="s">
        <v>169</v>
      </c>
      <c r="D307" t="s">
        <v>34</v>
      </c>
      <c r="E307" t="s">
        <v>21</v>
      </c>
      <c r="F307">
        <v>303</v>
      </c>
      <c r="G307">
        <v>41</v>
      </c>
      <c r="H307">
        <v>63</v>
      </c>
      <c r="I307">
        <f>Inventory_Data[[#This Row],[Opening_Stock]]+Inventory_Data[[#This Row],[Units_Received]]-Inventory_Data[[#This Row],[Units_Sold]]</f>
        <v>281</v>
      </c>
      <c r="J307">
        <v>0</v>
      </c>
      <c r="K307">
        <v>11</v>
      </c>
      <c r="L307" t="s">
        <v>39</v>
      </c>
      <c r="M307" s="3">
        <v>16.649999999999999</v>
      </c>
      <c r="N307" s="3">
        <v>23.33</v>
      </c>
      <c r="O307" s="10" t="str">
        <f>TEXT(Inventory_Data[[#This Row],[Date]],"mmm")</f>
        <v>Feb</v>
      </c>
    </row>
    <row r="308" spans="1:15" x14ac:dyDescent="0.2">
      <c r="A308" s="21">
        <v>45711</v>
      </c>
      <c r="B308" s="5" t="s">
        <v>94</v>
      </c>
      <c r="C308" t="s">
        <v>95</v>
      </c>
      <c r="D308" t="s">
        <v>16</v>
      </c>
      <c r="E308" t="s">
        <v>35</v>
      </c>
      <c r="F308">
        <v>87</v>
      </c>
      <c r="G308">
        <v>58</v>
      </c>
      <c r="H308">
        <v>56</v>
      </c>
      <c r="I308">
        <f>Inventory_Data[[#This Row],[Opening_Stock]]+Inventory_Data[[#This Row],[Units_Received]]-Inventory_Data[[#This Row],[Units_Sold]]</f>
        <v>89</v>
      </c>
      <c r="J308">
        <v>0</v>
      </c>
      <c r="K308">
        <v>3</v>
      </c>
      <c r="L308" t="s">
        <v>45</v>
      </c>
      <c r="M308" s="3">
        <v>34.96</v>
      </c>
      <c r="N308" s="3">
        <v>50.08</v>
      </c>
      <c r="O308" s="10" t="str">
        <f>TEXT(Inventory_Data[[#This Row],[Date]],"mmm")</f>
        <v>Feb</v>
      </c>
    </row>
    <row r="309" spans="1:15" x14ac:dyDescent="0.2">
      <c r="A309" s="21">
        <v>45711</v>
      </c>
      <c r="B309" s="5" t="s">
        <v>184</v>
      </c>
      <c r="C309" t="s">
        <v>185</v>
      </c>
      <c r="D309" t="s">
        <v>16</v>
      </c>
      <c r="E309" t="s">
        <v>28</v>
      </c>
      <c r="F309">
        <v>20</v>
      </c>
      <c r="G309">
        <v>48</v>
      </c>
      <c r="H309">
        <v>21</v>
      </c>
      <c r="I309">
        <f>Inventory_Data[[#This Row],[Opening_Stock]]+Inventory_Data[[#This Row],[Units_Received]]-Inventory_Data[[#This Row],[Units_Sold]]</f>
        <v>47</v>
      </c>
      <c r="J309">
        <v>0</v>
      </c>
      <c r="K309">
        <v>12</v>
      </c>
      <c r="L309" t="s">
        <v>24</v>
      </c>
      <c r="M309" s="3">
        <v>26.77</v>
      </c>
      <c r="N309" s="3">
        <v>37.03</v>
      </c>
      <c r="O309" s="10" t="str">
        <f>TEXT(Inventory_Data[[#This Row],[Date]],"mmm")</f>
        <v>Feb</v>
      </c>
    </row>
    <row r="310" spans="1:15" x14ac:dyDescent="0.2">
      <c r="A310" s="21">
        <v>45711</v>
      </c>
      <c r="B310" s="5" t="s">
        <v>130</v>
      </c>
      <c r="C310" t="s">
        <v>131</v>
      </c>
      <c r="D310" t="s">
        <v>48</v>
      </c>
      <c r="E310" t="s">
        <v>28</v>
      </c>
      <c r="F310">
        <v>217</v>
      </c>
      <c r="G310">
        <v>75</v>
      </c>
      <c r="H310">
        <v>92</v>
      </c>
      <c r="I310">
        <f>Inventory_Data[[#This Row],[Opening_Stock]]+Inventory_Data[[#This Row],[Units_Received]]-Inventory_Data[[#This Row],[Units_Sold]]</f>
        <v>200</v>
      </c>
      <c r="J310">
        <v>0</v>
      </c>
      <c r="K310">
        <v>10</v>
      </c>
      <c r="L310" t="s">
        <v>63</v>
      </c>
      <c r="M310" s="3">
        <v>19.66</v>
      </c>
      <c r="N310" s="3">
        <v>23.56</v>
      </c>
      <c r="O310" s="10" t="str">
        <f>TEXT(Inventory_Data[[#This Row],[Date]],"mmm")</f>
        <v>Feb</v>
      </c>
    </row>
    <row r="311" spans="1:15" x14ac:dyDescent="0.2">
      <c r="A311" s="21">
        <v>45711</v>
      </c>
      <c r="B311" s="5" t="s">
        <v>90</v>
      </c>
      <c r="C311" t="s">
        <v>91</v>
      </c>
      <c r="D311" t="s">
        <v>48</v>
      </c>
      <c r="E311" t="s">
        <v>28</v>
      </c>
      <c r="F311">
        <v>44</v>
      </c>
      <c r="G311">
        <v>103</v>
      </c>
      <c r="H311">
        <v>61</v>
      </c>
      <c r="I311">
        <f>Inventory_Data[[#This Row],[Opening_Stock]]+Inventory_Data[[#This Row],[Units_Received]]-Inventory_Data[[#This Row],[Units_Sold]]</f>
        <v>86</v>
      </c>
      <c r="J311">
        <v>0</v>
      </c>
      <c r="K311">
        <v>10</v>
      </c>
      <c r="L311" t="s">
        <v>77</v>
      </c>
      <c r="M311" s="3">
        <v>44.71</v>
      </c>
      <c r="N311" s="3">
        <v>53.82</v>
      </c>
      <c r="O311" s="10" t="str">
        <f>TEXT(Inventory_Data[[#This Row],[Date]],"mmm")</f>
        <v>Feb</v>
      </c>
    </row>
    <row r="312" spans="1:15" x14ac:dyDescent="0.2">
      <c r="A312" s="21">
        <v>45711</v>
      </c>
      <c r="B312" s="5" t="s">
        <v>160</v>
      </c>
      <c r="C312" t="s">
        <v>161</v>
      </c>
      <c r="D312" t="s">
        <v>27</v>
      </c>
      <c r="E312" t="s">
        <v>21</v>
      </c>
      <c r="F312">
        <v>266</v>
      </c>
      <c r="G312">
        <v>124</v>
      </c>
      <c r="H312">
        <v>21</v>
      </c>
      <c r="I312">
        <f>Inventory_Data[[#This Row],[Opening_Stock]]+Inventory_Data[[#This Row],[Units_Received]]-Inventory_Data[[#This Row],[Units_Sold]]</f>
        <v>369</v>
      </c>
      <c r="J312">
        <v>0</v>
      </c>
      <c r="K312">
        <v>5</v>
      </c>
      <c r="L312" t="s">
        <v>80</v>
      </c>
      <c r="M312" s="3">
        <v>22.1</v>
      </c>
      <c r="N312" s="3">
        <v>31.05</v>
      </c>
      <c r="O312" s="10" t="str">
        <f>TEXT(Inventory_Data[[#This Row],[Date]],"mmm")</f>
        <v>Feb</v>
      </c>
    </row>
    <row r="313" spans="1:15" x14ac:dyDescent="0.2">
      <c r="A313" s="21">
        <v>45711</v>
      </c>
      <c r="B313" s="5" t="s">
        <v>186</v>
      </c>
      <c r="C313" t="s">
        <v>187</v>
      </c>
      <c r="D313" t="s">
        <v>27</v>
      </c>
      <c r="E313" t="s">
        <v>17</v>
      </c>
      <c r="F313">
        <v>266</v>
      </c>
      <c r="G313">
        <v>188</v>
      </c>
      <c r="H313">
        <v>201</v>
      </c>
      <c r="I313">
        <f>Inventory_Data[[#This Row],[Opening_Stock]]+Inventory_Data[[#This Row],[Units_Received]]-Inventory_Data[[#This Row],[Units_Sold]]</f>
        <v>253</v>
      </c>
      <c r="J313">
        <v>0</v>
      </c>
      <c r="K313">
        <v>3</v>
      </c>
      <c r="L313" t="s">
        <v>66</v>
      </c>
      <c r="M313" s="3">
        <v>2.3199999999999998</v>
      </c>
      <c r="N313" s="3">
        <v>2.74</v>
      </c>
      <c r="O313" s="10" t="str">
        <f>TEXT(Inventory_Data[[#This Row],[Date]],"mmm")</f>
        <v>Feb</v>
      </c>
    </row>
    <row r="314" spans="1:15" x14ac:dyDescent="0.2">
      <c r="A314" s="21">
        <v>45711</v>
      </c>
      <c r="B314" s="5" t="s">
        <v>67</v>
      </c>
      <c r="C314" t="s">
        <v>68</v>
      </c>
      <c r="D314" t="s">
        <v>52</v>
      </c>
      <c r="E314" t="s">
        <v>21</v>
      </c>
      <c r="F314">
        <v>48</v>
      </c>
      <c r="G314">
        <v>14</v>
      </c>
      <c r="H314">
        <v>1</v>
      </c>
      <c r="I314">
        <f>Inventory_Data[[#This Row],[Opening_Stock]]+Inventory_Data[[#This Row],[Units_Received]]-Inventory_Data[[#This Row],[Units_Sold]]</f>
        <v>61</v>
      </c>
      <c r="J314">
        <v>0</v>
      </c>
      <c r="K314">
        <v>7</v>
      </c>
      <c r="L314" t="s">
        <v>56</v>
      </c>
      <c r="M314" s="3">
        <v>337.57</v>
      </c>
      <c r="N314" s="3">
        <v>444.35</v>
      </c>
      <c r="O314" s="10" t="str">
        <f>TEXT(Inventory_Data[[#This Row],[Date]],"mmm")</f>
        <v>Feb</v>
      </c>
    </row>
    <row r="315" spans="1:15" x14ac:dyDescent="0.2">
      <c r="A315" s="21">
        <v>45711</v>
      </c>
      <c r="B315" s="5" t="s">
        <v>32</v>
      </c>
      <c r="C315" t="s">
        <v>33</v>
      </c>
      <c r="D315" t="s">
        <v>34</v>
      </c>
      <c r="E315" t="s">
        <v>35</v>
      </c>
      <c r="F315">
        <v>260</v>
      </c>
      <c r="G315">
        <v>142</v>
      </c>
      <c r="H315">
        <v>43</v>
      </c>
      <c r="I315">
        <f>Inventory_Data[[#This Row],[Opening_Stock]]+Inventory_Data[[#This Row],[Units_Received]]-Inventory_Data[[#This Row],[Units_Sold]]</f>
        <v>359</v>
      </c>
      <c r="J315">
        <v>0</v>
      </c>
      <c r="K315">
        <v>14</v>
      </c>
      <c r="L315" t="s">
        <v>42</v>
      </c>
      <c r="M315" s="3">
        <v>18.600000000000001</v>
      </c>
      <c r="N315" s="3">
        <v>22.52</v>
      </c>
      <c r="O315" s="10" t="str">
        <f>TEXT(Inventory_Data[[#This Row],[Date]],"mmm")</f>
        <v>Feb</v>
      </c>
    </row>
    <row r="316" spans="1:15" x14ac:dyDescent="0.2">
      <c r="A316" s="21">
        <v>45711</v>
      </c>
      <c r="B316" s="5" t="s">
        <v>43</v>
      </c>
      <c r="C316" t="s">
        <v>44</v>
      </c>
      <c r="D316" t="s">
        <v>34</v>
      </c>
      <c r="E316" t="s">
        <v>17</v>
      </c>
      <c r="F316">
        <v>88</v>
      </c>
      <c r="G316">
        <v>68</v>
      </c>
      <c r="H316">
        <v>105</v>
      </c>
      <c r="I316">
        <f>Inventory_Data[[#This Row],[Opening_Stock]]+Inventory_Data[[#This Row],[Units_Received]]-Inventory_Data[[#This Row],[Units_Sold]]</f>
        <v>51</v>
      </c>
      <c r="J316">
        <v>0</v>
      </c>
      <c r="K316">
        <v>5</v>
      </c>
      <c r="L316" t="s">
        <v>42</v>
      </c>
      <c r="M316" s="3">
        <v>2.19</v>
      </c>
      <c r="N316" s="3">
        <v>2.98</v>
      </c>
      <c r="O316" s="10" t="str">
        <f>TEXT(Inventory_Data[[#This Row],[Date]],"mmm")</f>
        <v>Feb</v>
      </c>
    </row>
    <row r="317" spans="1:15" x14ac:dyDescent="0.2">
      <c r="A317" s="21">
        <v>45712</v>
      </c>
      <c r="B317" s="5" t="s">
        <v>184</v>
      </c>
      <c r="C317" t="s">
        <v>185</v>
      </c>
      <c r="D317" t="s">
        <v>16</v>
      </c>
      <c r="E317" t="s">
        <v>21</v>
      </c>
      <c r="F317">
        <v>165</v>
      </c>
      <c r="G317">
        <v>69</v>
      </c>
      <c r="H317">
        <v>64</v>
      </c>
      <c r="I317">
        <f>Inventory_Data[[#This Row],[Opening_Stock]]+Inventory_Data[[#This Row],[Units_Received]]-Inventory_Data[[#This Row],[Units_Sold]]</f>
        <v>170</v>
      </c>
      <c r="J317">
        <v>0</v>
      </c>
      <c r="K317">
        <v>11</v>
      </c>
      <c r="L317" t="s">
        <v>45</v>
      </c>
      <c r="M317" s="3">
        <v>41.3</v>
      </c>
      <c r="N317" s="3">
        <v>51.21</v>
      </c>
      <c r="O317" s="10" t="str">
        <f>TEXT(Inventory_Data[[#This Row],[Date]],"mmm")</f>
        <v>Feb</v>
      </c>
    </row>
    <row r="318" spans="1:15" x14ac:dyDescent="0.2">
      <c r="A318" s="21">
        <v>45712</v>
      </c>
      <c r="B318" s="5" t="s">
        <v>192</v>
      </c>
      <c r="C318" t="s">
        <v>193</v>
      </c>
      <c r="D318" t="s">
        <v>48</v>
      </c>
      <c r="E318" t="s">
        <v>35</v>
      </c>
      <c r="F318">
        <v>164</v>
      </c>
      <c r="G318">
        <v>43</v>
      </c>
      <c r="H318">
        <v>55</v>
      </c>
      <c r="I318">
        <f>Inventory_Data[[#This Row],[Opening_Stock]]+Inventory_Data[[#This Row],[Units_Received]]-Inventory_Data[[#This Row],[Units_Sold]]</f>
        <v>152</v>
      </c>
      <c r="J318">
        <v>0</v>
      </c>
      <c r="K318">
        <v>4</v>
      </c>
      <c r="L318" t="s">
        <v>63</v>
      </c>
      <c r="M318" s="3">
        <v>57.46</v>
      </c>
      <c r="N318" s="3">
        <v>73.83</v>
      </c>
      <c r="O318" s="10" t="str">
        <f>TEXT(Inventory_Data[[#This Row],[Date]],"mmm")</f>
        <v>Feb</v>
      </c>
    </row>
    <row r="319" spans="1:15" x14ac:dyDescent="0.2">
      <c r="A319" s="21">
        <v>45712</v>
      </c>
      <c r="B319" s="5" t="s">
        <v>61</v>
      </c>
      <c r="C319" t="s">
        <v>62</v>
      </c>
      <c r="D319" t="s">
        <v>48</v>
      </c>
      <c r="E319" t="s">
        <v>21</v>
      </c>
      <c r="F319">
        <v>205</v>
      </c>
      <c r="G319">
        <v>105</v>
      </c>
      <c r="H319">
        <v>28</v>
      </c>
      <c r="I319">
        <f>Inventory_Data[[#This Row],[Opening_Stock]]+Inventory_Data[[#This Row],[Units_Received]]-Inventory_Data[[#This Row],[Units_Sold]]</f>
        <v>282</v>
      </c>
      <c r="J319">
        <v>0</v>
      </c>
      <c r="K319">
        <v>5</v>
      </c>
      <c r="L319" t="s">
        <v>77</v>
      </c>
      <c r="M319" s="3">
        <v>52.47</v>
      </c>
      <c r="N319" s="3">
        <v>63.45</v>
      </c>
      <c r="O319" s="10" t="str">
        <f>TEXT(Inventory_Data[[#This Row],[Date]],"mmm")</f>
        <v>Feb</v>
      </c>
    </row>
    <row r="320" spans="1:15" x14ac:dyDescent="0.2">
      <c r="A320" s="21">
        <v>45712</v>
      </c>
      <c r="B320" s="5" t="s">
        <v>110</v>
      </c>
      <c r="C320" t="s">
        <v>111</v>
      </c>
      <c r="D320" t="s">
        <v>52</v>
      </c>
      <c r="E320" t="s">
        <v>21</v>
      </c>
      <c r="F320">
        <v>67</v>
      </c>
      <c r="G320">
        <v>25</v>
      </c>
      <c r="H320">
        <v>13</v>
      </c>
      <c r="I320">
        <f>Inventory_Data[[#This Row],[Opening_Stock]]+Inventory_Data[[#This Row],[Units_Received]]-Inventory_Data[[#This Row],[Units_Sold]]</f>
        <v>79</v>
      </c>
      <c r="J320">
        <v>0</v>
      </c>
      <c r="K320">
        <v>12</v>
      </c>
      <c r="L320" t="s">
        <v>83</v>
      </c>
      <c r="M320" s="3">
        <v>313.22000000000003</v>
      </c>
      <c r="N320" s="3">
        <v>407.61</v>
      </c>
      <c r="O320" s="10" t="str">
        <f>TEXT(Inventory_Data[[#This Row],[Date]],"mmm")</f>
        <v>Feb</v>
      </c>
    </row>
    <row r="321" spans="1:15" x14ac:dyDescent="0.2">
      <c r="A321" s="21">
        <v>45712</v>
      </c>
      <c r="B321" s="5" t="s">
        <v>59</v>
      </c>
      <c r="C321" t="s">
        <v>60</v>
      </c>
      <c r="D321" t="s">
        <v>34</v>
      </c>
      <c r="E321" t="s">
        <v>17</v>
      </c>
      <c r="F321">
        <v>206</v>
      </c>
      <c r="G321">
        <v>118</v>
      </c>
      <c r="H321">
        <v>61</v>
      </c>
      <c r="I321">
        <f>Inventory_Data[[#This Row],[Opening_Stock]]+Inventory_Data[[#This Row],[Units_Received]]-Inventory_Data[[#This Row],[Units_Sold]]</f>
        <v>263</v>
      </c>
      <c r="J321">
        <v>0</v>
      </c>
      <c r="K321">
        <v>7</v>
      </c>
      <c r="L321" t="s">
        <v>36</v>
      </c>
      <c r="M321" s="3">
        <v>15.51</v>
      </c>
      <c r="N321" s="3">
        <v>23.05</v>
      </c>
      <c r="O321" s="10" t="str">
        <f>TEXT(Inventory_Data[[#This Row],[Date]],"mmm")</f>
        <v>Feb</v>
      </c>
    </row>
    <row r="322" spans="1:15" x14ac:dyDescent="0.2">
      <c r="A322" s="21">
        <v>45712</v>
      </c>
      <c r="B322" s="5" t="s">
        <v>180</v>
      </c>
      <c r="C322" t="s">
        <v>181</v>
      </c>
      <c r="D322" t="s">
        <v>34</v>
      </c>
      <c r="E322" t="s">
        <v>17</v>
      </c>
      <c r="F322">
        <v>196</v>
      </c>
      <c r="G322">
        <v>126</v>
      </c>
      <c r="H322">
        <v>176</v>
      </c>
      <c r="I322">
        <f>Inventory_Data[[#This Row],[Opening_Stock]]+Inventory_Data[[#This Row],[Units_Received]]-Inventory_Data[[#This Row],[Units_Sold]]</f>
        <v>146</v>
      </c>
      <c r="J322">
        <v>0</v>
      </c>
      <c r="K322">
        <v>14</v>
      </c>
      <c r="L322" t="s">
        <v>36</v>
      </c>
      <c r="M322" s="3">
        <v>7.55</v>
      </c>
      <c r="N322" s="3">
        <v>8.76</v>
      </c>
      <c r="O322" s="10" t="str">
        <f>TEXT(Inventory_Data[[#This Row],[Date]],"mmm")</f>
        <v>Feb</v>
      </c>
    </row>
    <row r="323" spans="1:15" x14ac:dyDescent="0.2">
      <c r="A323" s="21">
        <v>45713</v>
      </c>
      <c r="B323" s="5" t="s">
        <v>25</v>
      </c>
      <c r="C323" t="s">
        <v>26</v>
      </c>
      <c r="D323" t="s">
        <v>27</v>
      </c>
      <c r="E323" t="s">
        <v>28</v>
      </c>
      <c r="F323">
        <v>179</v>
      </c>
      <c r="G323">
        <v>185</v>
      </c>
      <c r="H323">
        <v>28</v>
      </c>
      <c r="I323">
        <f>Inventory_Data[[#This Row],[Opening_Stock]]+Inventory_Data[[#This Row],[Units_Received]]-Inventory_Data[[#This Row],[Units_Sold]]</f>
        <v>336</v>
      </c>
      <c r="J323">
        <v>0</v>
      </c>
      <c r="K323">
        <v>6</v>
      </c>
      <c r="L323" t="s">
        <v>29</v>
      </c>
      <c r="M323" s="3">
        <v>22.98</v>
      </c>
      <c r="N323" s="3">
        <v>32.25</v>
      </c>
      <c r="O323" s="10" t="str">
        <f>TEXT(Inventory_Data[[#This Row],[Date]],"mmm")</f>
        <v>Feb</v>
      </c>
    </row>
    <row r="324" spans="1:15" x14ac:dyDescent="0.2">
      <c r="A324" s="21">
        <v>45713</v>
      </c>
      <c r="B324" s="5" t="s">
        <v>182</v>
      </c>
      <c r="C324" t="s">
        <v>183</v>
      </c>
      <c r="D324" t="s">
        <v>52</v>
      </c>
      <c r="E324" t="s">
        <v>17</v>
      </c>
      <c r="F324">
        <v>16</v>
      </c>
      <c r="G324">
        <v>17</v>
      </c>
      <c r="H324">
        <v>13</v>
      </c>
      <c r="I324">
        <f>Inventory_Data[[#This Row],[Opening_Stock]]+Inventory_Data[[#This Row],[Units_Received]]-Inventory_Data[[#This Row],[Units_Sold]]</f>
        <v>20</v>
      </c>
      <c r="J324">
        <v>0</v>
      </c>
      <c r="K324">
        <v>4</v>
      </c>
      <c r="L324" t="s">
        <v>53</v>
      </c>
      <c r="M324" s="3">
        <v>275.29000000000002</v>
      </c>
      <c r="N324" s="3">
        <v>332.17</v>
      </c>
      <c r="O324" s="10" t="str">
        <f>TEXT(Inventory_Data[[#This Row],[Date]],"mmm")</f>
        <v>Feb</v>
      </c>
    </row>
    <row r="325" spans="1:15" x14ac:dyDescent="0.2">
      <c r="A325" s="21">
        <v>45713</v>
      </c>
      <c r="B325" s="5" t="s">
        <v>88</v>
      </c>
      <c r="C325" t="s">
        <v>89</v>
      </c>
      <c r="D325" t="s">
        <v>34</v>
      </c>
      <c r="E325" t="s">
        <v>21</v>
      </c>
      <c r="F325">
        <v>360</v>
      </c>
      <c r="G325">
        <v>183</v>
      </c>
      <c r="H325">
        <v>91</v>
      </c>
      <c r="I325">
        <f>Inventory_Data[[#This Row],[Opening_Stock]]+Inventory_Data[[#This Row],[Units_Received]]-Inventory_Data[[#This Row],[Units_Sold]]</f>
        <v>452</v>
      </c>
      <c r="J325">
        <v>0</v>
      </c>
      <c r="K325">
        <v>2</v>
      </c>
      <c r="L325" t="s">
        <v>39</v>
      </c>
      <c r="M325" s="3">
        <v>1.42</v>
      </c>
      <c r="N325" s="3">
        <v>2.16</v>
      </c>
      <c r="O325" s="10" t="str">
        <f>TEXT(Inventory_Data[[#This Row],[Date]],"mmm")</f>
        <v>Feb</v>
      </c>
    </row>
    <row r="326" spans="1:15" x14ac:dyDescent="0.2">
      <c r="A326" s="21">
        <v>45714</v>
      </c>
      <c r="B326" s="5" t="s">
        <v>106</v>
      </c>
      <c r="C326" t="s">
        <v>107</v>
      </c>
      <c r="D326" t="s">
        <v>16</v>
      </c>
      <c r="E326" t="s">
        <v>28</v>
      </c>
      <c r="F326">
        <v>175</v>
      </c>
      <c r="G326">
        <v>38</v>
      </c>
      <c r="H326">
        <v>20</v>
      </c>
      <c r="I326">
        <f>Inventory_Data[[#This Row],[Opening_Stock]]+Inventory_Data[[#This Row],[Units_Received]]-Inventory_Data[[#This Row],[Units_Sold]]</f>
        <v>193</v>
      </c>
      <c r="J326">
        <v>0</v>
      </c>
      <c r="K326">
        <v>4</v>
      </c>
      <c r="L326" t="s">
        <v>24</v>
      </c>
      <c r="M326" s="3">
        <v>46.05</v>
      </c>
      <c r="N326" s="3">
        <v>60.93</v>
      </c>
      <c r="O326" s="10" t="str">
        <f>TEXT(Inventory_Data[[#This Row],[Date]],"mmm")</f>
        <v>Feb</v>
      </c>
    </row>
    <row r="327" spans="1:15" x14ac:dyDescent="0.2">
      <c r="A327" s="21">
        <v>45714</v>
      </c>
      <c r="B327" s="5" t="s">
        <v>190</v>
      </c>
      <c r="C327" t="s">
        <v>191</v>
      </c>
      <c r="D327" t="s">
        <v>48</v>
      </c>
      <c r="E327" t="s">
        <v>17</v>
      </c>
      <c r="F327">
        <v>57</v>
      </c>
      <c r="G327">
        <v>35</v>
      </c>
      <c r="H327">
        <v>21</v>
      </c>
      <c r="I327">
        <f>Inventory_Data[[#This Row],[Opening_Stock]]+Inventory_Data[[#This Row],[Units_Received]]-Inventory_Data[[#This Row],[Units_Sold]]</f>
        <v>71</v>
      </c>
      <c r="J327">
        <v>0</v>
      </c>
      <c r="K327">
        <v>5</v>
      </c>
      <c r="L327" t="s">
        <v>63</v>
      </c>
      <c r="M327" s="3">
        <v>22.03</v>
      </c>
      <c r="N327" s="3">
        <v>33.03</v>
      </c>
      <c r="O327" s="10" t="str">
        <f>TEXT(Inventory_Data[[#This Row],[Date]],"mmm")</f>
        <v>Feb</v>
      </c>
    </row>
    <row r="328" spans="1:15" x14ac:dyDescent="0.2">
      <c r="A328" s="21">
        <v>45715</v>
      </c>
      <c r="B328" s="5" t="s">
        <v>172</v>
      </c>
      <c r="C328" t="s">
        <v>173</v>
      </c>
      <c r="D328" t="s">
        <v>27</v>
      </c>
      <c r="E328" t="s">
        <v>35</v>
      </c>
      <c r="F328">
        <v>107</v>
      </c>
      <c r="G328">
        <v>144</v>
      </c>
      <c r="H328">
        <v>96</v>
      </c>
      <c r="I328">
        <f>Inventory_Data[[#This Row],[Opening_Stock]]+Inventory_Data[[#This Row],[Units_Received]]-Inventory_Data[[#This Row],[Units_Sold]]</f>
        <v>155</v>
      </c>
      <c r="J328">
        <v>0</v>
      </c>
      <c r="K328">
        <v>5</v>
      </c>
      <c r="L328" t="s">
        <v>29</v>
      </c>
      <c r="M328" s="3">
        <v>2.5299999999999998</v>
      </c>
      <c r="N328" s="3">
        <v>3.29</v>
      </c>
      <c r="O328" s="10" t="str">
        <f>TEXT(Inventory_Data[[#This Row],[Date]],"mmm")</f>
        <v>Feb</v>
      </c>
    </row>
    <row r="329" spans="1:15" x14ac:dyDescent="0.2">
      <c r="A329" s="21">
        <v>45715</v>
      </c>
      <c r="B329" s="5" t="s">
        <v>78</v>
      </c>
      <c r="C329" t="s">
        <v>79</v>
      </c>
      <c r="D329" t="s">
        <v>27</v>
      </c>
      <c r="E329" t="s">
        <v>28</v>
      </c>
      <c r="F329">
        <v>245</v>
      </c>
      <c r="G329">
        <v>166</v>
      </c>
      <c r="H329">
        <v>107</v>
      </c>
      <c r="I329">
        <f>Inventory_Data[[#This Row],[Opening_Stock]]+Inventory_Data[[#This Row],[Units_Received]]-Inventory_Data[[#This Row],[Units_Sold]]</f>
        <v>304</v>
      </c>
      <c r="J329">
        <v>0</v>
      </c>
      <c r="K329">
        <v>7</v>
      </c>
      <c r="L329" t="s">
        <v>29</v>
      </c>
      <c r="M329" s="3">
        <v>8.24</v>
      </c>
      <c r="N329" s="3">
        <v>9.8000000000000007</v>
      </c>
      <c r="O329" s="10" t="str">
        <f>TEXT(Inventory_Data[[#This Row],[Date]],"mmm")</f>
        <v>Feb</v>
      </c>
    </row>
    <row r="330" spans="1:15" x14ac:dyDescent="0.2">
      <c r="A330" s="21">
        <v>45715</v>
      </c>
      <c r="B330" s="5" t="s">
        <v>134</v>
      </c>
      <c r="C330" t="s">
        <v>135</v>
      </c>
      <c r="D330" t="s">
        <v>27</v>
      </c>
      <c r="E330" t="s">
        <v>35</v>
      </c>
      <c r="F330">
        <v>406</v>
      </c>
      <c r="G330">
        <v>87</v>
      </c>
      <c r="H330">
        <v>37</v>
      </c>
      <c r="I330">
        <f>Inventory_Data[[#This Row],[Opening_Stock]]+Inventory_Data[[#This Row],[Units_Received]]-Inventory_Data[[#This Row],[Units_Sold]]</f>
        <v>456</v>
      </c>
      <c r="J330">
        <v>0</v>
      </c>
      <c r="K330">
        <v>7</v>
      </c>
      <c r="L330" t="s">
        <v>29</v>
      </c>
      <c r="M330" s="3">
        <v>18.07</v>
      </c>
      <c r="N330" s="3">
        <v>23.79</v>
      </c>
      <c r="O330" s="10" t="str">
        <f>TEXT(Inventory_Data[[#This Row],[Date]],"mmm")</f>
        <v>Feb</v>
      </c>
    </row>
    <row r="331" spans="1:15" x14ac:dyDescent="0.2">
      <c r="A331" s="21">
        <v>45715</v>
      </c>
      <c r="B331" s="5" t="s">
        <v>64</v>
      </c>
      <c r="C331" t="s">
        <v>65</v>
      </c>
      <c r="D331" t="s">
        <v>27</v>
      </c>
      <c r="E331" t="s">
        <v>28</v>
      </c>
      <c r="F331">
        <v>391</v>
      </c>
      <c r="G331">
        <v>235</v>
      </c>
      <c r="H331">
        <v>54</v>
      </c>
      <c r="I331">
        <f>Inventory_Data[[#This Row],[Opening_Stock]]+Inventory_Data[[#This Row],[Units_Received]]-Inventory_Data[[#This Row],[Units_Sold]]</f>
        <v>572</v>
      </c>
      <c r="J331">
        <v>0</v>
      </c>
      <c r="K331">
        <v>3</v>
      </c>
      <c r="L331" t="s">
        <v>29</v>
      </c>
      <c r="M331" s="3">
        <v>16.68</v>
      </c>
      <c r="N331" s="3">
        <v>21.23</v>
      </c>
      <c r="O331" s="10" t="str">
        <f>TEXT(Inventory_Data[[#This Row],[Date]],"mmm")</f>
        <v>Feb</v>
      </c>
    </row>
    <row r="332" spans="1:15" x14ac:dyDescent="0.2">
      <c r="A332" s="21">
        <v>45715</v>
      </c>
      <c r="B332" s="5" t="s">
        <v>116</v>
      </c>
      <c r="C332" t="s">
        <v>117</v>
      </c>
      <c r="D332" t="s">
        <v>52</v>
      </c>
      <c r="E332" t="s">
        <v>28</v>
      </c>
      <c r="F332">
        <v>73</v>
      </c>
      <c r="G332">
        <v>6</v>
      </c>
      <c r="H332">
        <v>19</v>
      </c>
      <c r="I332">
        <f>Inventory_Data[[#This Row],[Opening_Stock]]+Inventory_Data[[#This Row],[Units_Received]]-Inventory_Data[[#This Row],[Units_Sold]]</f>
        <v>60</v>
      </c>
      <c r="J332">
        <v>0</v>
      </c>
      <c r="K332">
        <v>7</v>
      </c>
      <c r="L332" t="s">
        <v>83</v>
      </c>
      <c r="M332" s="3">
        <v>156.72999999999999</v>
      </c>
      <c r="N332" s="3">
        <v>197.11</v>
      </c>
      <c r="O332" s="10" t="str">
        <f>TEXT(Inventory_Data[[#This Row],[Date]],"mmm")</f>
        <v>Feb</v>
      </c>
    </row>
    <row r="333" spans="1:15" x14ac:dyDescent="0.2">
      <c r="A333" s="21">
        <v>45715</v>
      </c>
      <c r="B333" s="5" t="s">
        <v>59</v>
      </c>
      <c r="C333" t="s">
        <v>60</v>
      </c>
      <c r="D333" t="s">
        <v>34</v>
      </c>
      <c r="E333" t="s">
        <v>28</v>
      </c>
      <c r="F333">
        <v>289</v>
      </c>
      <c r="G333">
        <v>197</v>
      </c>
      <c r="H333">
        <v>178</v>
      </c>
      <c r="I333">
        <f>Inventory_Data[[#This Row],[Opening_Stock]]+Inventory_Data[[#This Row],[Units_Received]]-Inventory_Data[[#This Row],[Units_Sold]]</f>
        <v>308</v>
      </c>
      <c r="J333">
        <v>0</v>
      </c>
      <c r="K333">
        <v>3</v>
      </c>
      <c r="L333" t="s">
        <v>42</v>
      </c>
      <c r="M333" s="3">
        <v>19.829999999999998</v>
      </c>
      <c r="N333" s="3">
        <v>30.23</v>
      </c>
      <c r="O333" s="10" t="str">
        <f>TEXT(Inventory_Data[[#This Row],[Date]],"mmm")</f>
        <v>Feb</v>
      </c>
    </row>
    <row r="334" spans="1:15" x14ac:dyDescent="0.2">
      <c r="A334" s="21">
        <v>45715</v>
      </c>
      <c r="B334" s="5" t="s">
        <v>40</v>
      </c>
      <c r="C334" t="s">
        <v>41</v>
      </c>
      <c r="D334" t="s">
        <v>34</v>
      </c>
      <c r="E334" t="s">
        <v>17</v>
      </c>
      <c r="F334">
        <v>271</v>
      </c>
      <c r="G334">
        <v>59</v>
      </c>
      <c r="H334">
        <v>22</v>
      </c>
      <c r="I334">
        <f>Inventory_Data[[#This Row],[Opening_Stock]]+Inventory_Data[[#This Row],[Units_Received]]-Inventory_Data[[#This Row],[Units_Sold]]</f>
        <v>308</v>
      </c>
      <c r="J334">
        <v>0</v>
      </c>
      <c r="K334">
        <v>7</v>
      </c>
      <c r="L334" t="s">
        <v>39</v>
      </c>
      <c r="M334" s="3">
        <v>27.74</v>
      </c>
      <c r="N334" s="3">
        <v>33.46</v>
      </c>
      <c r="O334" s="10" t="str">
        <f>TEXT(Inventory_Data[[#This Row],[Date]],"mmm")</f>
        <v>Feb</v>
      </c>
    </row>
    <row r="335" spans="1:15" x14ac:dyDescent="0.2">
      <c r="A335" s="21">
        <v>45715</v>
      </c>
      <c r="B335" s="5" t="s">
        <v>168</v>
      </c>
      <c r="C335" t="s">
        <v>169</v>
      </c>
      <c r="D335" t="s">
        <v>34</v>
      </c>
      <c r="E335" t="s">
        <v>35</v>
      </c>
      <c r="F335">
        <v>399</v>
      </c>
      <c r="G335">
        <v>190</v>
      </c>
      <c r="H335">
        <v>42</v>
      </c>
      <c r="I335">
        <f>Inventory_Data[[#This Row],[Opening_Stock]]+Inventory_Data[[#This Row],[Units_Received]]-Inventory_Data[[#This Row],[Units_Sold]]</f>
        <v>547</v>
      </c>
      <c r="J335">
        <v>0</v>
      </c>
      <c r="K335">
        <v>9</v>
      </c>
      <c r="L335" t="s">
        <v>42</v>
      </c>
      <c r="M335" s="3">
        <v>1.9</v>
      </c>
      <c r="N335" s="3">
        <v>2.38</v>
      </c>
      <c r="O335" s="10" t="str">
        <f>TEXT(Inventory_Data[[#This Row],[Date]],"mmm")</f>
        <v>Feb</v>
      </c>
    </row>
    <row r="336" spans="1:15" x14ac:dyDescent="0.2">
      <c r="A336" s="21">
        <v>45716</v>
      </c>
      <c r="B336" s="5" t="s">
        <v>166</v>
      </c>
      <c r="C336" t="s">
        <v>167</v>
      </c>
      <c r="D336" t="s">
        <v>16</v>
      </c>
      <c r="E336" t="s">
        <v>21</v>
      </c>
      <c r="F336">
        <v>177</v>
      </c>
      <c r="G336">
        <v>17</v>
      </c>
      <c r="H336">
        <v>25</v>
      </c>
      <c r="I336">
        <f>Inventory_Data[[#This Row],[Opening_Stock]]+Inventory_Data[[#This Row],[Units_Received]]-Inventory_Data[[#This Row],[Units_Sold]]</f>
        <v>169</v>
      </c>
      <c r="J336">
        <v>0</v>
      </c>
      <c r="K336">
        <v>7</v>
      </c>
      <c r="L336" t="s">
        <v>45</v>
      </c>
      <c r="M336" s="3">
        <v>102.09</v>
      </c>
      <c r="N336" s="3">
        <v>134.43</v>
      </c>
      <c r="O336" s="10" t="str">
        <f>TEXT(Inventory_Data[[#This Row],[Date]],"mmm")</f>
        <v>Feb</v>
      </c>
    </row>
    <row r="337" spans="1:15" x14ac:dyDescent="0.2">
      <c r="A337" s="21">
        <v>45716</v>
      </c>
      <c r="B337" s="5" t="s">
        <v>22</v>
      </c>
      <c r="C337" t="s">
        <v>23</v>
      </c>
      <c r="D337" t="s">
        <v>16</v>
      </c>
      <c r="E337" t="s">
        <v>35</v>
      </c>
      <c r="F337">
        <v>65</v>
      </c>
      <c r="G337">
        <v>43</v>
      </c>
      <c r="H337">
        <v>68</v>
      </c>
      <c r="I337">
        <f>Inventory_Data[[#This Row],[Opening_Stock]]+Inventory_Data[[#This Row],[Units_Received]]-Inventory_Data[[#This Row],[Units_Sold]]</f>
        <v>40</v>
      </c>
      <c r="J337">
        <v>0</v>
      </c>
      <c r="K337">
        <v>14</v>
      </c>
      <c r="L337" t="s">
        <v>45</v>
      </c>
      <c r="M337" s="3">
        <v>202.98</v>
      </c>
      <c r="N337" s="3">
        <v>290.81</v>
      </c>
      <c r="O337" s="10" t="str">
        <f>TEXT(Inventory_Data[[#This Row],[Date]],"mmm")</f>
        <v>Feb</v>
      </c>
    </row>
    <row r="338" spans="1:15" x14ac:dyDescent="0.2">
      <c r="A338" s="21">
        <v>45716</v>
      </c>
      <c r="B338" s="5" t="s">
        <v>94</v>
      </c>
      <c r="C338" t="s">
        <v>95</v>
      </c>
      <c r="D338" t="s">
        <v>16</v>
      </c>
      <c r="E338" t="s">
        <v>35</v>
      </c>
      <c r="F338">
        <v>106</v>
      </c>
      <c r="G338">
        <v>90</v>
      </c>
      <c r="H338">
        <v>75</v>
      </c>
      <c r="I338">
        <f>Inventory_Data[[#This Row],[Opening_Stock]]+Inventory_Data[[#This Row],[Units_Received]]-Inventory_Data[[#This Row],[Units_Sold]]</f>
        <v>121</v>
      </c>
      <c r="J338">
        <v>0</v>
      </c>
      <c r="K338">
        <v>5</v>
      </c>
      <c r="L338" t="s">
        <v>45</v>
      </c>
      <c r="M338" s="3">
        <v>35.44</v>
      </c>
      <c r="N338" s="3">
        <v>45.91</v>
      </c>
      <c r="O338" s="10" t="str">
        <f>TEXT(Inventory_Data[[#This Row],[Date]],"mmm")</f>
        <v>Feb</v>
      </c>
    </row>
    <row r="339" spans="1:15" x14ac:dyDescent="0.2">
      <c r="A339" s="21">
        <v>45716</v>
      </c>
      <c r="B339" s="5" t="s">
        <v>128</v>
      </c>
      <c r="C339" t="s">
        <v>129</v>
      </c>
      <c r="D339" t="s">
        <v>48</v>
      </c>
      <c r="E339" t="s">
        <v>35</v>
      </c>
      <c r="F339">
        <v>220</v>
      </c>
      <c r="G339">
        <v>76</v>
      </c>
      <c r="H339">
        <v>129</v>
      </c>
      <c r="I339">
        <f>Inventory_Data[[#This Row],[Opening_Stock]]+Inventory_Data[[#This Row],[Units_Received]]-Inventory_Data[[#This Row],[Units_Sold]]</f>
        <v>167</v>
      </c>
      <c r="J339">
        <v>0</v>
      </c>
      <c r="K339">
        <v>5</v>
      </c>
      <c r="L339" t="s">
        <v>77</v>
      </c>
      <c r="M339" s="3">
        <v>47.79</v>
      </c>
      <c r="N339" s="3">
        <v>65.319999999999993</v>
      </c>
      <c r="O339" s="10" t="str">
        <f>TEXT(Inventory_Data[[#This Row],[Date]],"mmm")</f>
        <v>Feb</v>
      </c>
    </row>
    <row r="340" spans="1:15" x14ac:dyDescent="0.2">
      <c r="A340" s="21">
        <v>45716</v>
      </c>
      <c r="B340" s="5" t="s">
        <v>46</v>
      </c>
      <c r="C340" t="s">
        <v>47</v>
      </c>
      <c r="D340" t="s">
        <v>48</v>
      </c>
      <c r="E340" t="s">
        <v>21</v>
      </c>
      <c r="F340">
        <v>282</v>
      </c>
      <c r="G340">
        <v>112</v>
      </c>
      <c r="H340">
        <v>97</v>
      </c>
      <c r="I340">
        <f>Inventory_Data[[#This Row],[Opening_Stock]]+Inventory_Data[[#This Row],[Units_Received]]-Inventory_Data[[#This Row],[Units_Sold]]</f>
        <v>297</v>
      </c>
      <c r="J340">
        <v>0</v>
      </c>
      <c r="K340">
        <v>10</v>
      </c>
      <c r="L340" t="s">
        <v>63</v>
      </c>
      <c r="M340" s="3">
        <v>74.510000000000005</v>
      </c>
      <c r="N340" s="3">
        <v>88.3</v>
      </c>
      <c r="O340" s="10" t="str">
        <f>TEXT(Inventory_Data[[#This Row],[Date]],"mmm")</f>
        <v>Feb</v>
      </c>
    </row>
    <row r="341" spans="1:15" x14ac:dyDescent="0.2">
      <c r="A341" s="21">
        <v>45716</v>
      </c>
      <c r="B341" s="5" t="s">
        <v>148</v>
      </c>
      <c r="C341" t="s">
        <v>149</v>
      </c>
      <c r="D341" t="s">
        <v>27</v>
      </c>
      <c r="E341" t="s">
        <v>17</v>
      </c>
      <c r="F341">
        <v>485</v>
      </c>
      <c r="G341">
        <v>157</v>
      </c>
      <c r="H341">
        <v>40</v>
      </c>
      <c r="I341">
        <f>Inventory_Data[[#This Row],[Opening_Stock]]+Inventory_Data[[#This Row],[Units_Received]]-Inventory_Data[[#This Row],[Units_Sold]]</f>
        <v>602</v>
      </c>
      <c r="J341">
        <v>0</v>
      </c>
      <c r="K341">
        <v>6</v>
      </c>
      <c r="L341" t="s">
        <v>80</v>
      </c>
      <c r="M341" s="3">
        <v>15.65</v>
      </c>
      <c r="N341" s="3">
        <v>22.97</v>
      </c>
      <c r="O341" s="10" t="str">
        <f>TEXT(Inventory_Data[[#This Row],[Date]],"mmm")</f>
        <v>Feb</v>
      </c>
    </row>
    <row r="342" spans="1:15" x14ac:dyDescent="0.2">
      <c r="A342" s="21">
        <v>45716</v>
      </c>
      <c r="B342" s="5" t="s">
        <v>126</v>
      </c>
      <c r="C342" t="s">
        <v>127</v>
      </c>
      <c r="D342" t="s">
        <v>34</v>
      </c>
      <c r="E342" t="s">
        <v>17</v>
      </c>
      <c r="F342">
        <v>335</v>
      </c>
      <c r="G342">
        <v>98</v>
      </c>
      <c r="H342">
        <v>59</v>
      </c>
      <c r="I342">
        <f>Inventory_Data[[#This Row],[Opening_Stock]]+Inventory_Data[[#This Row],[Units_Received]]-Inventory_Data[[#This Row],[Units_Sold]]</f>
        <v>374</v>
      </c>
      <c r="J342">
        <v>0</v>
      </c>
      <c r="K342">
        <v>7</v>
      </c>
      <c r="L342" t="s">
        <v>39</v>
      </c>
      <c r="M342" s="3">
        <v>25.13</v>
      </c>
      <c r="N342" s="3">
        <v>34.65</v>
      </c>
      <c r="O342" s="10" t="str">
        <f>TEXT(Inventory_Data[[#This Row],[Date]],"mmm")</f>
        <v>Feb</v>
      </c>
    </row>
    <row r="343" spans="1:15" x14ac:dyDescent="0.2">
      <c r="A343" s="21">
        <v>45717</v>
      </c>
      <c r="B343" s="5" t="s">
        <v>132</v>
      </c>
      <c r="C343" t="s">
        <v>133</v>
      </c>
      <c r="D343" t="s">
        <v>16</v>
      </c>
      <c r="E343" t="s">
        <v>17</v>
      </c>
      <c r="F343">
        <v>48</v>
      </c>
      <c r="G343">
        <v>28</v>
      </c>
      <c r="H343">
        <v>47</v>
      </c>
      <c r="I343">
        <f>Inventory_Data[[#This Row],[Opening_Stock]]+Inventory_Data[[#This Row],[Units_Received]]-Inventory_Data[[#This Row],[Units_Sold]]</f>
        <v>29</v>
      </c>
      <c r="J343">
        <v>0</v>
      </c>
      <c r="K343">
        <v>3</v>
      </c>
      <c r="L343" t="s">
        <v>45</v>
      </c>
      <c r="M343" s="3">
        <v>160.02000000000001</v>
      </c>
      <c r="N343" s="3">
        <v>208.94</v>
      </c>
      <c r="O343" s="10" t="str">
        <f>TEXT(Inventory_Data[[#This Row],[Date]],"mmm")</f>
        <v>Mar</v>
      </c>
    </row>
    <row r="344" spans="1:15" x14ac:dyDescent="0.2">
      <c r="A344" s="21">
        <v>45717</v>
      </c>
      <c r="B344" s="5" t="s">
        <v>84</v>
      </c>
      <c r="C344" t="s">
        <v>85</v>
      </c>
      <c r="D344" t="s">
        <v>48</v>
      </c>
      <c r="E344" t="s">
        <v>21</v>
      </c>
      <c r="F344">
        <v>141</v>
      </c>
      <c r="G344">
        <v>36</v>
      </c>
      <c r="H344">
        <v>21</v>
      </c>
      <c r="I344">
        <f>Inventory_Data[[#This Row],[Opening_Stock]]+Inventory_Data[[#This Row],[Units_Received]]-Inventory_Data[[#This Row],[Units_Sold]]</f>
        <v>156</v>
      </c>
      <c r="J344">
        <v>0</v>
      </c>
      <c r="K344">
        <v>7</v>
      </c>
      <c r="L344" t="s">
        <v>77</v>
      </c>
      <c r="M344" s="3">
        <v>29.87</v>
      </c>
      <c r="N344" s="3">
        <v>43.01</v>
      </c>
      <c r="O344" s="10" t="str">
        <f>TEXT(Inventory_Data[[#This Row],[Date]],"mmm")</f>
        <v>Mar</v>
      </c>
    </row>
    <row r="345" spans="1:15" x14ac:dyDescent="0.2">
      <c r="A345" s="21">
        <v>45717</v>
      </c>
      <c r="B345" s="5" t="s">
        <v>156</v>
      </c>
      <c r="C345" t="s">
        <v>157</v>
      </c>
      <c r="D345" t="s">
        <v>27</v>
      </c>
      <c r="E345" t="s">
        <v>35</v>
      </c>
      <c r="F345">
        <v>476</v>
      </c>
      <c r="G345">
        <v>190</v>
      </c>
      <c r="H345">
        <v>76</v>
      </c>
      <c r="I345">
        <f>Inventory_Data[[#This Row],[Opening_Stock]]+Inventory_Data[[#This Row],[Units_Received]]-Inventory_Data[[#This Row],[Units_Sold]]</f>
        <v>590</v>
      </c>
      <c r="J345">
        <v>0</v>
      </c>
      <c r="K345">
        <v>6</v>
      </c>
      <c r="L345" t="s">
        <v>66</v>
      </c>
      <c r="M345" s="3">
        <v>18.170000000000002</v>
      </c>
      <c r="N345" s="3">
        <v>22.51</v>
      </c>
      <c r="O345" s="10" t="str">
        <f>TEXT(Inventory_Data[[#This Row],[Date]],"mmm")</f>
        <v>Mar</v>
      </c>
    </row>
    <row r="346" spans="1:15" x14ac:dyDescent="0.2">
      <c r="A346" s="21">
        <v>45717</v>
      </c>
      <c r="B346" s="5" t="s">
        <v>98</v>
      </c>
      <c r="C346" t="s">
        <v>99</v>
      </c>
      <c r="D346" t="s">
        <v>27</v>
      </c>
      <c r="E346" t="s">
        <v>28</v>
      </c>
      <c r="F346">
        <v>440</v>
      </c>
      <c r="G346">
        <v>238</v>
      </c>
      <c r="H346">
        <v>95</v>
      </c>
      <c r="I346">
        <f>Inventory_Data[[#This Row],[Opening_Stock]]+Inventory_Data[[#This Row],[Units_Received]]-Inventory_Data[[#This Row],[Units_Sold]]</f>
        <v>583</v>
      </c>
      <c r="J346">
        <v>0</v>
      </c>
      <c r="K346">
        <v>5</v>
      </c>
      <c r="L346" t="s">
        <v>80</v>
      </c>
      <c r="M346" s="3">
        <v>16.89</v>
      </c>
      <c r="N346" s="3">
        <v>21.73</v>
      </c>
      <c r="O346" s="10" t="str">
        <f>TEXT(Inventory_Data[[#This Row],[Date]],"mmm")</f>
        <v>Mar</v>
      </c>
    </row>
    <row r="347" spans="1:15" x14ac:dyDescent="0.2">
      <c r="A347" s="21">
        <v>45717</v>
      </c>
      <c r="B347" s="5" t="s">
        <v>54</v>
      </c>
      <c r="C347" t="s">
        <v>55</v>
      </c>
      <c r="D347" t="s">
        <v>52</v>
      </c>
      <c r="E347" t="s">
        <v>28</v>
      </c>
      <c r="F347">
        <v>80</v>
      </c>
      <c r="G347">
        <v>2</v>
      </c>
      <c r="H347">
        <v>7</v>
      </c>
      <c r="I347">
        <f>Inventory_Data[[#This Row],[Opening_Stock]]+Inventory_Data[[#This Row],[Units_Received]]-Inventory_Data[[#This Row],[Units_Sold]]</f>
        <v>75</v>
      </c>
      <c r="J347">
        <v>0</v>
      </c>
      <c r="K347">
        <v>11</v>
      </c>
      <c r="L347" t="s">
        <v>53</v>
      </c>
      <c r="M347" s="3">
        <v>298.36</v>
      </c>
      <c r="N347" s="3">
        <v>347.41</v>
      </c>
      <c r="O347" s="10" t="str">
        <f>TEXT(Inventory_Data[[#This Row],[Date]],"mmm")</f>
        <v>Mar</v>
      </c>
    </row>
    <row r="348" spans="1:15" x14ac:dyDescent="0.2">
      <c r="A348" s="21">
        <v>45718</v>
      </c>
      <c r="B348" s="5" t="s">
        <v>184</v>
      </c>
      <c r="C348" t="s">
        <v>185</v>
      </c>
      <c r="D348" t="s">
        <v>16</v>
      </c>
      <c r="E348" t="s">
        <v>28</v>
      </c>
      <c r="F348">
        <v>84</v>
      </c>
      <c r="G348">
        <v>63</v>
      </c>
      <c r="H348">
        <v>34</v>
      </c>
      <c r="I348">
        <f>Inventory_Data[[#This Row],[Opening_Stock]]+Inventory_Data[[#This Row],[Units_Received]]-Inventory_Data[[#This Row],[Units_Sold]]</f>
        <v>113</v>
      </c>
      <c r="J348">
        <v>0</v>
      </c>
      <c r="K348">
        <v>14</v>
      </c>
      <c r="L348" t="s">
        <v>45</v>
      </c>
      <c r="M348" s="3">
        <v>103.07</v>
      </c>
      <c r="N348" s="3">
        <v>141.38</v>
      </c>
      <c r="O348" s="10" t="str">
        <f>TEXT(Inventory_Data[[#This Row],[Date]],"mmm")</f>
        <v>Mar</v>
      </c>
    </row>
    <row r="349" spans="1:15" x14ac:dyDescent="0.2">
      <c r="A349" s="21">
        <v>45718</v>
      </c>
      <c r="B349" s="5" t="s">
        <v>170</v>
      </c>
      <c r="C349" t="s">
        <v>171</v>
      </c>
      <c r="D349" t="s">
        <v>48</v>
      </c>
      <c r="E349" t="s">
        <v>17</v>
      </c>
      <c r="F349">
        <v>179</v>
      </c>
      <c r="G349">
        <v>111</v>
      </c>
      <c r="H349">
        <v>31</v>
      </c>
      <c r="I349">
        <f>Inventory_Data[[#This Row],[Opening_Stock]]+Inventory_Data[[#This Row],[Units_Received]]-Inventory_Data[[#This Row],[Units_Sold]]</f>
        <v>259</v>
      </c>
      <c r="J349">
        <v>0</v>
      </c>
      <c r="K349">
        <v>13</v>
      </c>
      <c r="L349" t="s">
        <v>49</v>
      </c>
      <c r="M349" s="3">
        <v>65.650000000000006</v>
      </c>
      <c r="N349" s="3">
        <v>83.15</v>
      </c>
      <c r="O349" s="10" t="str">
        <f>TEXT(Inventory_Data[[#This Row],[Date]],"mmm")</f>
        <v>Mar</v>
      </c>
    </row>
    <row r="350" spans="1:15" x14ac:dyDescent="0.2">
      <c r="A350" s="21">
        <v>45718</v>
      </c>
      <c r="B350" s="5" t="s">
        <v>192</v>
      </c>
      <c r="C350" t="s">
        <v>193</v>
      </c>
      <c r="D350" t="s">
        <v>48</v>
      </c>
      <c r="E350" t="s">
        <v>35</v>
      </c>
      <c r="F350">
        <v>201</v>
      </c>
      <c r="G350">
        <v>38</v>
      </c>
      <c r="H350">
        <v>49</v>
      </c>
      <c r="I350">
        <f>Inventory_Data[[#This Row],[Opening_Stock]]+Inventory_Data[[#This Row],[Units_Received]]-Inventory_Data[[#This Row],[Units_Sold]]</f>
        <v>190</v>
      </c>
      <c r="J350">
        <v>0</v>
      </c>
      <c r="K350">
        <v>2</v>
      </c>
      <c r="L350" t="s">
        <v>77</v>
      </c>
      <c r="M350" s="3">
        <v>86.72</v>
      </c>
      <c r="N350" s="3">
        <v>128.19</v>
      </c>
      <c r="O350" s="10" t="str">
        <f>TEXT(Inventory_Data[[#This Row],[Date]],"mmm")</f>
        <v>Mar</v>
      </c>
    </row>
    <row r="351" spans="1:15" x14ac:dyDescent="0.2">
      <c r="A351" s="21">
        <v>45718</v>
      </c>
      <c r="B351" s="5" t="s">
        <v>59</v>
      </c>
      <c r="C351" t="s">
        <v>60</v>
      </c>
      <c r="D351" t="s">
        <v>34</v>
      </c>
      <c r="E351" t="s">
        <v>21</v>
      </c>
      <c r="F351">
        <v>187</v>
      </c>
      <c r="G351">
        <v>36</v>
      </c>
      <c r="H351">
        <v>61</v>
      </c>
      <c r="I351">
        <f>Inventory_Data[[#This Row],[Opening_Stock]]+Inventory_Data[[#This Row],[Units_Received]]-Inventory_Data[[#This Row],[Units_Sold]]</f>
        <v>162</v>
      </c>
      <c r="J351">
        <v>0</v>
      </c>
      <c r="K351">
        <v>6</v>
      </c>
      <c r="L351" t="s">
        <v>42</v>
      </c>
      <c r="M351" s="3">
        <v>4.87</v>
      </c>
      <c r="N351" s="3">
        <v>6.35</v>
      </c>
      <c r="O351" s="10" t="str">
        <f>TEXT(Inventory_Data[[#This Row],[Date]],"mmm")</f>
        <v>Mar</v>
      </c>
    </row>
    <row r="352" spans="1:15" x14ac:dyDescent="0.2">
      <c r="A352" s="21">
        <v>45718</v>
      </c>
      <c r="B352" s="5" t="s">
        <v>126</v>
      </c>
      <c r="C352" t="s">
        <v>127</v>
      </c>
      <c r="D352" t="s">
        <v>34</v>
      </c>
      <c r="E352" t="s">
        <v>28</v>
      </c>
      <c r="F352">
        <v>263</v>
      </c>
      <c r="G352">
        <v>36</v>
      </c>
      <c r="H352">
        <v>63</v>
      </c>
      <c r="I352">
        <f>Inventory_Data[[#This Row],[Opening_Stock]]+Inventory_Data[[#This Row],[Units_Received]]-Inventory_Data[[#This Row],[Units_Sold]]</f>
        <v>236</v>
      </c>
      <c r="J352">
        <v>0</v>
      </c>
      <c r="K352">
        <v>11</v>
      </c>
      <c r="L352" t="s">
        <v>42</v>
      </c>
      <c r="M352" s="3">
        <v>6.7</v>
      </c>
      <c r="N352" s="3">
        <v>10.24</v>
      </c>
      <c r="O352" s="10" t="str">
        <f>TEXT(Inventory_Data[[#This Row],[Date]],"mmm")</f>
        <v>Mar</v>
      </c>
    </row>
    <row r="353" spans="1:15" x14ac:dyDescent="0.2">
      <c r="A353" s="21">
        <v>45719</v>
      </c>
      <c r="B353" s="5" t="s">
        <v>162</v>
      </c>
      <c r="C353" t="s">
        <v>163</v>
      </c>
      <c r="D353" t="s">
        <v>16</v>
      </c>
      <c r="E353" t="s">
        <v>28</v>
      </c>
      <c r="F353">
        <v>132</v>
      </c>
      <c r="G353">
        <v>79</v>
      </c>
      <c r="H353">
        <v>55</v>
      </c>
      <c r="I353">
        <f>Inventory_Data[[#This Row],[Opening_Stock]]+Inventory_Data[[#This Row],[Units_Received]]-Inventory_Data[[#This Row],[Units_Sold]]</f>
        <v>156</v>
      </c>
      <c r="J353">
        <v>0</v>
      </c>
      <c r="K353">
        <v>6</v>
      </c>
      <c r="L353" t="s">
        <v>24</v>
      </c>
      <c r="M353" s="3">
        <v>26.51</v>
      </c>
      <c r="N353" s="3">
        <v>39.53</v>
      </c>
      <c r="O353" s="10" t="str">
        <f>TEXT(Inventory_Data[[#This Row],[Date]],"mmm")</f>
        <v>Mar</v>
      </c>
    </row>
    <row r="354" spans="1:15" x14ac:dyDescent="0.2">
      <c r="A354" s="21">
        <v>45719</v>
      </c>
      <c r="B354" s="5" t="s">
        <v>92</v>
      </c>
      <c r="C354" t="s">
        <v>93</v>
      </c>
      <c r="D354" t="s">
        <v>27</v>
      </c>
      <c r="E354" t="s">
        <v>28</v>
      </c>
      <c r="F354">
        <v>462</v>
      </c>
      <c r="G354">
        <v>97</v>
      </c>
      <c r="H354">
        <v>200</v>
      </c>
      <c r="I354">
        <f>Inventory_Data[[#This Row],[Opening_Stock]]+Inventory_Data[[#This Row],[Units_Received]]-Inventory_Data[[#This Row],[Units_Sold]]</f>
        <v>359</v>
      </c>
      <c r="J354">
        <v>0</v>
      </c>
      <c r="K354">
        <v>7</v>
      </c>
      <c r="L354" t="s">
        <v>80</v>
      </c>
      <c r="M354" s="3">
        <v>9.32</v>
      </c>
      <c r="N354" s="3">
        <v>12.54</v>
      </c>
      <c r="O354" s="10" t="str">
        <f>TEXT(Inventory_Data[[#This Row],[Date]],"mmm")</f>
        <v>Mar</v>
      </c>
    </row>
    <row r="355" spans="1:15" x14ac:dyDescent="0.2">
      <c r="A355" s="21">
        <v>45719</v>
      </c>
      <c r="B355" s="5" t="s">
        <v>156</v>
      </c>
      <c r="C355" t="s">
        <v>157</v>
      </c>
      <c r="D355" t="s">
        <v>27</v>
      </c>
      <c r="E355" t="s">
        <v>28</v>
      </c>
      <c r="F355">
        <v>304</v>
      </c>
      <c r="G355">
        <v>173</v>
      </c>
      <c r="H355">
        <v>170</v>
      </c>
      <c r="I355">
        <f>Inventory_Data[[#This Row],[Opening_Stock]]+Inventory_Data[[#This Row],[Units_Received]]-Inventory_Data[[#This Row],[Units_Sold]]</f>
        <v>307</v>
      </c>
      <c r="J355">
        <v>0</v>
      </c>
      <c r="K355">
        <v>3</v>
      </c>
      <c r="L355" t="s">
        <v>80</v>
      </c>
      <c r="M355" s="3">
        <v>4.55</v>
      </c>
      <c r="N355" s="3">
        <v>6.05</v>
      </c>
      <c r="O355" s="10" t="str">
        <f>TEXT(Inventory_Data[[#This Row],[Date]],"mmm")</f>
        <v>Mar</v>
      </c>
    </row>
    <row r="356" spans="1:15" x14ac:dyDescent="0.2">
      <c r="A356" s="21">
        <v>45719</v>
      </c>
      <c r="B356" s="5" t="s">
        <v>30</v>
      </c>
      <c r="C356" t="s">
        <v>31</v>
      </c>
      <c r="D356" t="s">
        <v>27</v>
      </c>
      <c r="E356" t="s">
        <v>21</v>
      </c>
      <c r="F356">
        <v>297</v>
      </c>
      <c r="G356">
        <v>182</v>
      </c>
      <c r="H356">
        <v>70</v>
      </c>
      <c r="I356">
        <f>Inventory_Data[[#This Row],[Opening_Stock]]+Inventory_Data[[#This Row],[Units_Received]]-Inventory_Data[[#This Row],[Units_Sold]]</f>
        <v>409</v>
      </c>
      <c r="J356">
        <v>0</v>
      </c>
      <c r="K356">
        <v>5</v>
      </c>
      <c r="L356" t="s">
        <v>80</v>
      </c>
      <c r="M356" s="3">
        <v>2.13</v>
      </c>
      <c r="N356" s="3">
        <v>2.82</v>
      </c>
      <c r="O356" s="10" t="str">
        <f>TEXT(Inventory_Data[[#This Row],[Date]],"mmm")</f>
        <v>Mar</v>
      </c>
    </row>
    <row r="357" spans="1:15" x14ac:dyDescent="0.2">
      <c r="A357" s="21">
        <v>45719</v>
      </c>
      <c r="B357" s="5" t="s">
        <v>116</v>
      </c>
      <c r="C357" t="s">
        <v>117</v>
      </c>
      <c r="D357" t="s">
        <v>52</v>
      </c>
      <c r="E357" t="s">
        <v>17</v>
      </c>
      <c r="F357">
        <v>29</v>
      </c>
      <c r="G357">
        <v>10</v>
      </c>
      <c r="H357">
        <v>5</v>
      </c>
      <c r="I357">
        <f>Inventory_Data[[#This Row],[Opening_Stock]]+Inventory_Data[[#This Row],[Units_Received]]-Inventory_Data[[#This Row],[Units_Sold]]</f>
        <v>34</v>
      </c>
      <c r="J357">
        <v>0</v>
      </c>
      <c r="K357">
        <v>8</v>
      </c>
      <c r="L357" t="s">
        <v>53</v>
      </c>
      <c r="M357" s="3">
        <v>272.22000000000003</v>
      </c>
      <c r="N357" s="3">
        <v>414.05</v>
      </c>
      <c r="O357" s="10" t="str">
        <f>TEXT(Inventory_Data[[#This Row],[Date]],"mmm")</f>
        <v>Mar</v>
      </c>
    </row>
    <row r="358" spans="1:15" x14ac:dyDescent="0.2">
      <c r="A358" s="21">
        <v>45719</v>
      </c>
      <c r="B358" s="5" t="s">
        <v>118</v>
      </c>
      <c r="C358" t="s">
        <v>119</v>
      </c>
      <c r="D358" t="s">
        <v>34</v>
      </c>
      <c r="E358" t="s">
        <v>28</v>
      </c>
      <c r="F358">
        <v>334</v>
      </c>
      <c r="G358">
        <v>126</v>
      </c>
      <c r="H358">
        <v>80</v>
      </c>
      <c r="I358">
        <f>Inventory_Data[[#This Row],[Opening_Stock]]+Inventory_Data[[#This Row],[Units_Received]]-Inventory_Data[[#This Row],[Units_Sold]]</f>
        <v>380</v>
      </c>
      <c r="J358">
        <v>0</v>
      </c>
      <c r="K358">
        <v>7</v>
      </c>
      <c r="L358" t="s">
        <v>36</v>
      </c>
      <c r="M358" s="3">
        <v>3.51</v>
      </c>
      <c r="N358" s="3">
        <v>4.9800000000000004</v>
      </c>
      <c r="O358" s="10" t="str">
        <f>TEXT(Inventory_Data[[#This Row],[Date]],"mmm")</f>
        <v>Mar</v>
      </c>
    </row>
    <row r="359" spans="1:15" x14ac:dyDescent="0.2">
      <c r="A359" s="21">
        <v>45719</v>
      </c>
      <c r="B359" s="5" t="s">
        <v>37</v>
      </c>
      <c r="C359" t="s">
        <v>38</v>
      </c>
      <c r="D359" t="s">
        <v>34</v>
      </c>
      <c r="E359" t="s">
        <v>28</v>
      </c>
      <c r="F359">
        <v>222</v>
      </c>
      <c r="G359">
        <v>145</v>
      </c>
      <c r="H359">
        <v>107</v>
      </c>
      <c r="I359">
        <f>Inventory_Data[[#This Row],[Opening_Stock]]+Inventory_Data[[#This Row],[Units_Received]]-Inventory_Data[[#This Row],[Units_Sold]]</f>
        <v>260</v>
      </c>
      <c r="J359">
        <v>0</v>
      </c>
      <c r="K359">
        <v>11</v>
      </c>
      <c r="L359" t="s">
        <v>39</v>
      </c>
      <c r="M359" s="3">
        <v>8.5</v>
      </c>
      <c r="N359" s="3">
        <v>10.92</v>
      </c>
      <c r="O359" s="10" t="str">
        <f>TEXT(Inventory_Data[[#This Row],[Date]],"mmm")</f>
        <v>Mar</v>
      </c>
    </row>
    <row r="360" spans="1:15" x14ac:dyDescent="0.2">
      <c r="A360" s="21">
        <v>45720</v>
      </c>
      <c r="B360" s="5" t="s">
        <v>128</v>
      </c>
      <c r="C360" t="s">
        <v>129</v>
      </c>
      <c r="D360" t="s">
        <v>48</v>
      </c>
      <c r="E360" t="s">
        <v>21</v>
      </c>
      <c r="F360">
        <v>250</v>
      </c>
      <c r="G360">
        <v>50</v>
      </c>
      <c r="H360">
        <v>32</v>
      </c>
      <c r="I360">
        <f>Inventory_Data[[#This Row],[Opening_Stock]]+Inventory_Data[[#This Row],[Units_Received]]-Inventory_Data[[#This Row],[Units_Sold]]</f>
        <v>268</v>
      </c>
      <c r="J360">
        <v>0</v>
      </c>
      <c r="K360">
        <v>14</v>
      </c>
      <c r="L360" t="s">
        <v>49</v>
      </c>
      <c r="M360" s="3">
        <v>49.75</v>
      </c>
      <c r="N360" s="3">
        <v>60.15</v>
      </c>
      <c r="O360" s="10" t="str">
        <f>TEXT(Inventory_Data[[#This Row],[Date]],"mmm")</f>
        <v>Mar</v>
      </c>
    </row>
    <row r="361" spans="1:15" x14ac:dyDescent="0.2">
      <c r="A361" s="21">
        <v>45720</v>
      </c>
      <c r="B361" s="5" t="s">
        <v>146</v>
      </c>
      <c r="C361" t="s">
        <v>147</v>
      </c>
      <c r="D361" t="s">
        <v>48</v>
      </c>
      <c r="E361" t="s">
        <v>28</v>
      </c>
      <c r="F361">
        <v>253</v>
      </c>
      <c r="G361">
        <v>145</v>
      </c>
      <c r="H361">
        <v>98</v>
      </c>
      <c r="I361">
        <f>Inventory_Data[[#This Row],[Opening_Stock]]+Inventory_Data[[#This Row],[Units_Received]]-Inventory_Data[[#This Row],[Units_Sold]]</f>
        <v>300</v>
      </c>
      <c r="J361">
        <v>0</v>
      </c>
      <c r="K361">
        <v>13</v>
      </c>
      <c r="L361" t="s">
        <v>49</v>
      </c>
      <c r="M361" s="3">
        <v>65.64</v>
      </c>
      <c r="N361" s="3">
        <v>77.27</v>
      </c>
      <c r="O361" s="10" t="str">
        <f>TEXT(Inventory_Data[[#This Row],[Date]],"mmm")</f>
        <v>Mar</v>
      </c>
    </row>
    <row r="362" spans="1:15" x14ac:dyDescent="0.2">
      <c r="A362" s="21">
        <v>45720</v>
      </c>
      <c r="B362" s="5" t="s">
        <v>146</v>
      </c>
      <c r="C362" t="s">
        <v>147</v>
      </c>
      <c r="D362" t="s">
        <v>48</v>
      </c>
      <c r="E362" t="s">
        <v>17</v>
      </c>
      <c r="F362">
        <v>231</v>
      </c>
      <c r="G362">
        <v>99</v>
      </c>
      <c r="H362">
        <v>25</v>
      </c>
      <c r="I362">
        <f>Inventory_Data[[#This Row],[Opening_Stock]]+Inventory_Data[[#This Row],[Units_Received]]-Inventory_Data[[#This Row],[Units_Sold]]</f>
        <v>305</v>
      </c>
      <c r="J362">
        <v>0</v>
      </c>
      <c r="K362">
        <v>9</v>
      </c>
      <c r="L362" t="s">
        <v>77</v>
      </c>
      <c r="M362" s="3">
        <v>46.08</v>
      </c>
      <c r="N362" s="3">
        <v>57.66</v>
      </c>
      <c r="O362" s="10" t="str">
        <f>TEXT(Inventory_Data[[#This Row],[Date]],"mmm")</f>
        <v>Mar</v>
      </c>
    </row>
    <row r="363" spans="1:15" x14ac:dyDescent="0.2">
      <c r="A363" s="21">
        <v>45720</v>
      </c>
      <c r="B363" s="5" t="s">
        <v>61</v>
      </c>
      <c r="C363" t="s">
        <v>62</v>
      </c>
      <c r="D363" t="s">
        <v>48</v>
      </c>
      <c r="E363" t="s">
        <v>17</v>
      </c>
      <c r="F363">
        <v>41</v>
      </c>
      <c r="G363">
        <v>134</v>
      </c>
      <c r="H363">
        <v>99</v>
      </c>
      <c r="I363">
        <f>Inventory_Data[[#This Row],[Opening_Stock]]+Inventory_Data[[#This Row],[Units_Received]]-Inventory_Data[[#This Row],[Units_Sold]]</f>
        <v>76</v>
      </c>
      <c r="J363">
        <v>0</v>
      </c>
      <c r="K363">
        <v>8</v>
      </c>
      <c r="L363" t="s">
        <v>77</v>
      </c>
      <c r="M363" s="3">
        <v>62.08</v>
      </c>
      <c r="N363" s="3">
        <v>91.16</v>
      </c>
      <c r="O363" s="10" t="str">
        <f>TEXT(Inventory_Data[[#This Row],[Date]],"mmm")</f>
        <v>Mar</v>
      </c>
    </row>
    <row r="364" spans="1:15" x14ac:dyDescent="0.2">
      <c r="A364" s="21">
        <v>45720</v>
      </c>
      <c r="B364" s="5" t="s">
        <v>160</v>
      </c>
      <c r="C364" t="s">
        <v>161</v>
      </c>
      <c r="D364" t="s">
        <v>27</v>
      </c>
      <c r="E364" t="s">
        <v>28</v>
      </c>
      <c r="F364">
        <v>456</v>
      </c>
      <c r="G364">
        <v>50</v>
      </c>
      <c r="H364">
        <v>185</v>
      </c>
      <c r="I364">
        <f>Inventory_Data[[#This Row],[Opening_Stock]]+Inventory_Data[[#This Row],[Units_Received]]-Inventory_Data[[#This Row],[Units_Sold]]</f>
        <v>321</v>
      </c>
      <c r="J364">
        <v>0</v>
      </c>
      <c r="K364">
        <v>2</v>
      </c>
      <c r="L364" t="s">
        <v>66</v>
      </c>
      <c r="M364" s="3">
        <v>17.34</v>
      </c>
      <c r="N364" s="3">
        <v>22.96</v>
      </c>
      <c r="O364" s="10" t="str">
        <f>TEXT(Inventory_Data[[#This Row],[Date]],"mmm")</f>
        <v>Mar</v>
      </c>
    </row>
    <row r="365" spans="1:15" x14ac:dyDescent="0.2">
      <c r="A365" s="21">
        <v>45720</v>
      </c>
      <c r="B365" s="5" t="s">
        <v>64</v>
      </c>
      <c r="C365" t="s">
        <v>65</v>
      </c>
      <c r="D365" t="s">
        <v>27</v>
      </c>
      <c r="E365" t="s">
        <v>28</v>
      </c>
      <c r="F365">
        <v>465</v>
      </c>
      <c r="G365">
        <v>187</v>
      </c>
      <c r="H365">
        <v>80</v>
      </c>
      <c r="I365">
        <f>Inventory_Data[[#This Row],[Opening_Stock]]+Inventory_Data[[#This Row],[Units_Received]]-Inventory_Data[[#This Row],[Units_Sold]]</f>
        <v>572</v>
      </c>
      <c r="J365">
        <v>0</v>
      </c>
      <c r="K365">
        <v>7</v>
      </c>
      <c r="L365" t="s">
        <v>29</v>
      </c>
      <c r="M365" s="3">
        <v>9.0299999999999994</v>
      </c>
      <c r="N365" s="3">
        <v>10.65</v>
      </c>
      <c r="O365" s="10" t="str">
        <f>TEXT(Inventory_Data[[#This Row],[Date]],"mmm")</f>
        <v>Mar</v>
      </c>
    </row>
    <row r="366" spans="1:15" x14ac:dyDescent="0.2">
      <c r="A366" s="21">
        <v>45720</v>
      </c>
      <c r="B366" s="5" t="s">
        <v>176</v>
      </c>
      <c r="C366" t="s">
        <v>177</v>
      </c>
      <c r="D366" t="s">
        <v>34</v>
      </c>
      <c r="E366" t="s">
        <v>28</v>
      </c>
      <c r="F366">
        <v>227</v>
      </c>
      <c r="G366">
        <v>87</v>
      </c>
      <c r="H366">
        <v>42</v>
      </c>
      <c r="I366">
        <f>Inventory_Data[[#This Row],[Opening_Stock]]+Inventory_Data[[#This Row],[Units_Received]]-Inventory_Data[[#This Row],[Units_Sold]]</f>
        <v>272</v>
      </c>
      <c r="J366">
        <v>0</v>
      </c>
      <c r="K366">
        <v>11</v>
      </c>
      <c r="L366" t="s">
        <v>39</v>
      </c>
      <c r="M366" s="3">
        <v>17.18</v>
      </c>
      <c r="N366" s="3">
        <v>23.55</v>
      </c>
      <c r="O366" s="10" t="str">
        <f>TEXT(Inventory_Data[[#This Row],[Date]],"mmm")</f>
        <v>Mar</v>
      </c>
    </row>
    <row r="367" spans="1:15" x14ac:dyDescent="0.2">
      <c r="A367" s="21">
        <v>45720</v>
      </c>
      <c r="B367" s="5" t="s">
        <v>180</v>
      </c>
      <c r="C367" t="s">
        <v>181</v>
      </c>
      <c r="D367" t="s">
        <v>34</v>
      </c>
      <c r="E367" t="s">
        <v>17</v>
      </c>
      <c r="F367">
        <v>293</v>
      </c>
      <c r="G367">
        <v>119</v>
      </c>
      <c r="H367">
        <v>72</v>
      </c>
      <c r="I367">
        <f>Inventory_Data[[#This Row],[Opening_Stock]]+Inventory_Data[[#This Row],[Units_Received]]-Inventory_Data[[#This Row],[Units_Sold]]</f>
        <v>340</v>
      </c>
      <c r="J367">
        <v>0</v>
      </c>
      <c r="K367">
        <v>7</v>
      </c>
      <c r="L367" t="s">
        <v>42</v>
      </c>
      <c r="M367" s="3">
        <v>25.15</v>
      </c>
      <c r="N367" s="3">
        <v>29.03</v>
      </c>
      <c r="O367" s="10" t="str">
        <f>TEXT(Inventory_Data[[#This Row],[Date]],"mmm")</f>
        <v>Mar</v>
      </c>
    </row>
    <row r="368" spans="1:15" x14ac:dyDescent="0.2">
      <c r="A368" s="21">
        <v>45720</v>
      </c>
      <c r="B368" s="5" t="s">
        <v>194</v>
      </c>
      <c r="C368" t="s">
        <v>195</v>
      </c>
      <c r="D368" t="s">
        <v>34</v>
      </c>
      <c r="E368" t="s">
        <v>35</v>
      </c>
      <c r="F368">
        <v>301</v>
      </c>
      <c r="G368">
        <v>60</v>
      </c>
      <c r="H368">
        <v>47</v>
      </c>
      <c r="I368">
        <f>Inventory_Data[[#This Row],[Opening_Stock]]+Inventory_Data[[#This Row],[Units_Received]]-Inventory_Data[[#This Row],[Units_Sold]]</f>
        <v>314</v>
      </c>
      <c r="J368">
        <v>0</v>
      </c>
      <c r="K368">
        <v>12</v>
      </c>
      <c r="L368" t="s">
        <v>42</v>
      </c>
      <c r="M368" s="3">
        <v>9.3000000000000007</v>
      </c>
      <c r="N368" s="3">
        <v>12.27</v>
      </c>
      <c r="O368" s="10" t="str">
        <f>TEXT(Inventory_Data[[#This Row],[Date]],"mmm")</f>
        <v>Mar</v>
      </c>
    </row>
    <row r="369" spans="1:15" x14ac:dyDescent="0.2">
      <c r="A369" s="21">
        <v>45721</v>
      </c>
      <c r="B369" s="5" t="s">
        <v>22</v>
      </c>
      <c r="C369" t="s">
        <v>23</v>
      </c>
      <c r="D369" t="s">
        <v>16</v>
      </c>
      <c r="E369" t="s">
        <v>21</v>
      </c>
      <c r="F369">
        <v>143</v>
      </c>
      <c r="G369">
        <v>66</v>
      </c>
      <c r="H369">
        <v>10</v>
      </c>
      <c r="I369">
        <f>Inventory_Data[[#This Row],[Opening_Stock]]+Inventory_Data[[#This Row],[Units_Received]]-Inventory_Data[[#This Row],[Units_Sold]]</f>
        <v>199</v>
      </c>
      <c r="J369">
        <v>0</v>
      </c>
      <c r="K369">
        <v>2</v>
      </c>
      <c r="L369" t="s">
        <v>24</v>
      </c>
      <c r="M369" s="3">
        <v>63.38</v>
      </c>
      <c r="N369" s="3">
        <v>91.41</v>
      </c>
      <c r="O369" s="10" t="str">
        <f>TEXT(Inventory_Data[[#This Row],[Date]],"mmm")</f>
        <v>Mar</v>
      </c>
    </row>
    <row r="370" spans="1:15" x14ac:dyDescent="0.2">
      <c r="A370" s="21">
        <v>45721</v>
      </c>
      <c r="B370" s="5" t="s">
        <v>98</v>
      </c>
      <c r="C370" t="s">
        <v>99</v>
      </c>
      <c r="D370" t="s">
        <v>27</v>
      </c>
      <c r="E370" t="s">
        <v>17</v>
      </c>
      <c r="F370">
        <v>216</v>
      </c>
      <c r="G370">
        <v>67</v>
      </c>
      <c r="H370">
        <v>57</v>
      </c>
      <c r="I370">
        <f>Inventory_Data[[#This Row],[Opening_Stock]]+Inventory_Data[[#This Row],[Units_Received]]-Inventory_Data[[#This Row],[Units_Sold]]</f>
        <v>226</v>
      </c>
      <c r="J370">
        <v>0</v>
      </c>
      <c r="K370">
        <v>3</v>
      </c>
      <c r="L370" t="s">
        <v>29</v>
      </c>
      <c r="M370" s="3">
        <v>24.14</v>
      </c>
      <c r="N370" s="3">
        <v>31.12</v>
      </c>
      <c r="O370" s="10" t="str">
        <f>TEXT(Inventory_Data[[#This Row],[Date]],"mmm")</f>
        <v>Mar</v>
      </c>
    </row>
    <row r="371" spans="1:15" x14ac:dyDescent="0.2">
      <c r="A371" s="21">
        <v>45721</v>
      </c>
      <c r="B371" s="5" t="s">
        <v>182</v>
      </c>
      <c r="C371" t="s">
        <v>183</v>
      </c>
      <c r="D371" t="s">
        <v>52</v>
      </c>
      <c r="E371" t="s">
        <v>17</v>
      </c>
      <c r="F371">
        <v>46</v>
      </c>
      <c r="G371">
        <v>14</v>
      </c>
      <c r="H371">
        <v>9</v>
      </c>
      <c r="I371">
        <f>Inventory_Data[[#This Row],[Opening_Stock]]+Inventory_Data[[#This Row],[Units_Received]]-Inventory_Data[[#This Row],[Units_Sold]]</f>
        <v>51</v>
      </c>
      <c r="J371">
        <v>0</v>
      </c>
      <c r="K371">
        <v>3</v>
      </c>
      <c r="L371" t="s">
        <v>83</v>
      </c>
      <c r="M371" s="3">
        <v>252.18</v>
      </c>
      <c r="N371" s="3">
        <v>315.52</v>
      </c>
      <c r="O371" s="10" t="str">
        <f>TEXT(Inventory_Data[[#This Row],[Date]],"mmm")</f>
        <v>Mar</v>
      </c>
    </row>
    <row r="372" spans="1:15" x14ac:dyDescent="0.2">
      <c r="A372" s="21">
        <v>45722</v>
      </c>
      <c r="B372" s="5" t="s">
        <v>170</v>
      </c>
      <c r="C372" t="s">
        <v>171</v>
      </c>
      <c r="D372" t="s">
        <v>48</v>
      </c>
      <c r="E372" t="s">
        <v>21</v>
      </c>
      <c r="F372">
        <v>147</v>
      </c>
      <c r="G372">
        <v>23</v>
      </c>
      <c r="H372">
        <v>65</v>
      </c>
      <c r="I372">
        <f>Inventory_Data[[#This Row],[Opening_Stock]]+Inventory_Data[[#This Row],[Units_Received]]-Inventory_Data[[#This Row],[Units_Sold]]</f>
        <v>105</v>
      </c>
      <c r="J372">
        <v>0</v>
      </c>
      <c r="K372">
        <v>5</v>
      </c>
      <c r="L372" t="s">
        <v>77</v>
      </c>
      <c r="M372" s="3">
        <v>40.43</v>
      </c>
      <c r="N372" s="3">
        <v>49.32</v>
      </c>
      <c r="O372" s="10" t="str">
        <f>TEXT(Inventory_Data[[#This Row],[Date]],"mmm")</f>
        <v>Mar</v>
      </c>
    </row>
    <row r="373" spans="1:15" x14ac:dyDescent="0.2">
      <c r="A373" s="21">
        <v>45722</v>
      </c>
      <c r="B373" s="5" t="s">
        <v>90</v>
      </c>
      <c r="C373" t="s">
        <v>91</v>
      </c>
      <c r="D373" t="s">
        <v>48</v>
      </c>
      <c r="E373" t="s">
        <v>35</v>
      </c>
      <c r="F373">
        <v>126</v>
      </c>
      <c r="G373">
        <v>98</v>
      </c>
      <c r="H373">
        <v>32</v>
      </c>
      <c r="I373">
        <f>Inventory_Data[[#This Row],[Opening_Stock]]+Inventory_Data[[#This Row],[Units_Received]]-Inventory_Data[[#This Row],[Units_Sold]]</f>
        <v>192</v>
      </c>
      <c r="J373">
        <v>0</v>
      </c>
      <c r="K373">
        <v>2</v>
      </c>
      <c r="L373" t="s">
        <v>49</v>
      </c>
      <c r="M373" s="3">
        <v>76.81</v>
      </c>
      <c r="N373" s="3">
        <v>105.25</v>
      </c>
      <c r="O373" s="10" t="str">
        <f>TEXT(Inventory_Data[[#This Row],[Date]],"mmm")</f>
        <v>Mar</v>
      </c>
    </row>
    <row r="374" spans="1:15" x14ac:dyDescent="0.2">
      <c r="A374" s="21">
        <v>45722</v>
      </c>
      <c r="B374" s="5" t="s">
        <v>122</v>
      </c>
      <c r="C374" t="s">
        <v>123</v>
      </c>
      <c r="D374" t="s">
        <v>27</v>
      </c>
      <c r="E374" t="s">
        <v>35</v>
      </c>
      <c r="F374">
        <v>337</v>
      </c>
      <c r="G374">
        <v>68</v>
      </c>
      <c r="H374">
        <v>199</v>
      </c>
      <c r="I374">
        <f>Inventory_Data[[#This Row],[Opening_Stock]]+Inventory_Data[[#This Row],[Units_Received]]-Inventory_Data[[#This Row],[Units_Sold]]</f>
        <v>206</v>
      </c>
      <c r="J374">
        <v>0</v>
      </c>
      <c r="K374">
        <v>3</v>
      </c>
      <c r="L374" t="s">
        <v>80</v>
      </c>
      <c r="M374" s="3">
        <v>24.2</v>
      </c>
      <c r="N374" s="3">
        <v>32.56</v>
      </c>
      <c r="O374" s="10" t="str">
        <f>TEXT(Inventory_Data[[#This Row],[Date]],"mmm")</f>
        <v>Mar</v>
      </c>
    </row>
    <row r="375" spans="1:15" x14ac:dyDescent="0.2">
      <c r="A375" s="21">
        <v>45722</v>
      </c>
      <c r="B375" s="5" t="s">
        <v>40</v>
      </c>
      <c r="C375" t="s">
        <v>41</v>
      </c>
      <c r="D375" t="s">
        <v>34</v>
      </c>
      <c r="E375" t="s">
        <v>21</v>
      </c>
      <c r="F375">
        <v>142</v>
      </c>
      <c r="G375">
        <v>154</v>
      </c>
      <c r="H375">
        <v>83</v>
      </c>
      <c r="I375">
        <f>Inventory_Data[[#This Row],[Opening_Stock]]+Inventory_Data[[#This Row],[Units_Received]]-Inventory_Data[[#This Row],[Units_Sold]]</f>
        <v>213</v>
      </c>
      <c r="J375">
        <v>0</v>
      </c>
      <c r="K375">
        <v>5</v>
      </c>
      <c r="L375" t="s">
        <v>36</v>
      </c>
      <c r="M375" s="3">
        <v>16.850000000000001</v>
      </c>
      <c r="N375" s="3">
        <v>22.19</v>
      </c>
      <c r="O375" s="10" t="str">
        <f>TEXT(Inventory_Data[[#This Row],[Date]],"mmm")</f>
        <v>Mar</v>
      </c>
    </row>
    <row r="376" spans="1:15" x14ac:dyDescent="0.2">
      <c r="A376" s="21">
        <v>45723</v>
      </c>
      <c r="B376" s="5" t="s">
        <v>75</v>
      </c>
      <c r="C376" t="s">
        <v>76</v>
      </c>
      <c r="D376" t="s">
        <v>48</v>
      </c>
      <c r="E376" t="s">
        <v>28</v>
      </c>
      <c r="F376">
        <v>81</v>
      </c>
      <c r="G376">
        <v>60</v>
      </c>
      <c r="H376">
        <v>131</v>
      </c>
      <c r="I376">
        <f>Inventory_Data[[#This Row],[Opening_Stock]]+Inventory_Data[[#This Row],[Units_Received]]-Inventory_Data[[#This Row],[Units_Sold]]</f>
        <v>10</v>
      </c>
      <c r="J376">
        <v>0</v>
      </c>
      <c r="K376">
        <v>11</v>
      </c>
      <c r="L376" t="s">
        <v>63</v>
      </c>
      <c r="M376" s="3">
        <v>28.89</v>
      </c>
      <c r="N376" s="3">
        <v>37.29</v>
      </c>
      <c r="O376" s="10" t="str">
        <f>TEXT(Inventory_Data[[#This Row],[Date]],"mmm")</f>
        <v>Mar</v>
      </c>
    </row>
    <row r="377" spans="1:15" x14ac:dyDescent="0.2">
      <c r="A377" s="21">
        <v>45723</v>
      </c>
      <c r="B377" s="5" t="s">
        <v>90</v>
      </c>
      <c r="C377" t="s">
        <v>91</v>
      </c>
      <c r="D377" t="s">
        <v>48</v>
      </c>
      <c r="E377" t="s">
        <v>17</v>
      </c>
      <c r="F377">
        <v>167</v>
      </c>
      <c r="G377">
        <v>86</v>
      </c>
      <c r="H377">
        <v>13</v>
      </c>
      <c r="I377">
        <f>Inventory_Data[[#This Row],[Opening_Stock]]+Inventory_Data[[#This Row],[Units_Received]]-Inventory_Data[[#This Row],[Units_Sold]]</f>
        <v>240</v>
      </c>
      <c r="J377">
        <v>0</v>
      </c>
      <c r="K377">
        <v>11</v>
      </c>
      <c r="L377" t="s">
        <v>49</v>
      </c>
      <c r="M377" s="3">
        <v>50.04</v>
      </c>
      <c r="N377" s="3">
        <v>63.66</v>
      </c>
      <c r="O377" s="10" t="str">
        <f>TEXT(Inventory_Data[[#This Row],[Date]],"mmm")</f>
        <v>Mar</v>
      </c>
    </row>
    <row r="378" spans="1:15" x14ac:dyDescent="0.2">
      <c r="A378" s="21">
        <v>45723</v>
      </c>
      <c r="B378" s="5" t="s">
        <v>160</v>
      </c>
      <c r="C378" t="s">
        <v>161</v>
      </c>
      <c r="D378" t="s">
        <v>27</v>
      </c>
      <c r="E378" t="s">
        <v>35</v>
      </c>
      <c r="F378">
        <v>221</v>
      </c>
      <c r="G378">
        <v>54</v>
      </c>
      <c r="H378">
        <v>35</v>
      </c>
      <c r="I378">
        <f>Inventory_Data[[#This Row],[Opening_Stock]]+Inventory_Data[[#This Row],[Units_Received]]-Inventory_Data[[#This Row],[Units_Sold]]</f>
        <v>240</v>
      </c>
      <c r="J378">
        <v>0</v>
      </c>
      <c r="K378">
        <v>2</v>
      </c>
      <c r="L378" t="s">
        <v>66</v>
      </c>
      <c r="M378" s="3">
        <v>15.68</v>
      </c>
      <c r="N378" s="3">
        <v>20.07</v>
      </c>
      <c r="O378" s="10" t="str">
        <f>TEXT(Inventory_Data[[#This Row],[Date]],"mmm")</f>
        <v>Mar</v>
      </c>
    </row>
    <row r="379" spans="1:15" x14ac:dyDescent="0.2">
      <c r="A379" s="21">
        <v>45723</v>
      </c>
      <c r="B379" s="5" t="s">
        <v>148</v>
      </c>
      <c r="C379" t="s">
        <v>149</v>
      </c>
      <c r="D379" t="s">
        <v>27</v>
      </c>
      <c r="E379" t="s">
        <v>17</v>
      </c>
      <c r="F379">
        <v>479</v>
      </c>
      <c r="G379">
        <v>148</v>
      </c>
      <c r="H379">
        <v>139</v>
      </c>
      <c r="I379">
        <f>Inventory_Data[[#This Row],[Opening_Stock]]+Inventory_Data[[#This Row],[Units_Received]]-Inventory_Data[[#This Row],[Units_Sold]]</f>
        <v>488</v>
      </c>
      <c r="J379">
        <v>0</v>
      </c>
      <c r="K379">
        <v>4</v>
      </c>
      <c r="L379" t="s">
        <v>66</v>
      </c>
      <c r="M379" s="3">
        <v>24</v>
      </c>
      <c r="N379" s="3">
        <v>31.14</v>
      </c>
      <c r="O379" s="10" t="str">
        <f>TEXT(Inventory_Data[[#This Row],[Date]],"mmm")</f>
        <v>Mar</v>
      </c>
    </row>
    <row r="380" spans="1:15" x14ac:dyDescent="0.2">
      <c r="A380" s="21">
        <v>45724</v>
      </c>
      <c r="B380" s="5" t="s">
        <v>100</v>
      </c>
      <c r="C380" t="s">
        <v>101</v>
      </c>
      <c r="D380" t="s">
        <v>52</v>
      </c>
      <c r="E380" t="s">
        <v>17</v>
      </c>
      <c r="F380">
        <v>15</v>
      </c>
      <c r="G380">
        <v>20</v>
      </c>
      <c r="H380">
        <v>16</v>
      </c>
      <c r="I380">
        <f>Inventory_Data[[#This Row],[Opening_Stock]]+Inventory_Data[[#This Row],[Units_Received]]-Inventory_Data[[#This Row],[Units_Sold]]</f>
        <v>19</v>
      </c>
      <c r="J380">
        <v>0</v>
      </c>
      <c r="K380">
        <v>8</v>
      </c>
      <c r="L380" t="s">
        <v>53</v>
      </c>
      <c r="M380" s="3">
        <v>177.3</v>
      </c>
      <c r="N380" s="3">
        <v>245.83</v>
      </c>
      <c r="O380" s="10" t="str">
        <f>TEXT(Inventory_Data[[#This Row],[Date]],"mmm")</f>
        <v>Mar</v>
      </c>
    </row>
    <row r="381" spans="1:15" x14ac:dyDescent="0.2">
      <c r="A381" s="21">
        <v>45724</v>
      </c>
      <c r="B381" s="5" t="s">
        <v>116</v>
      </c>
      <c r="C381" t="s">
        <v>117</v>
      </c>
      <c r="D381" t="s">
        <v>52</v>
      </c>
      <c r="E381" t="s">
        <v>21</v>
      </c>
      <c r="F381">
        <v>11</v>
      </c>
      <c r="G381">
        <v>25</v>
      </c>
      <c r="H381">
        <v>2</v>
      </c>
      <c r="I381">
        <f>Inventory_Data[[#This Row],[Opening_Stock]]+Inventory_Data[[#This Row],[Units_Received]]-Inventory_Data[[#This Row],[Units_Sold]]</f>
        <v>34</v>
      </c>
      <c r="J381">
        <v>0</v>
      </c>
      <c r="K381">
        <v>7</v>
      </c>
      <c r="L381" t="s">
        <v>83</v>
      </c>
      <c r="M381" s="3">
        <v>303.89999999999998</v>
      </c>
      <c r="N381" s="3">
        <v>399.07</v>
      </c>
      <c r="O381" s="10" t="str">
        <f>TEXT(Inventory_Data[[#This Row],[Date]],"mmm")</f>
        <v>Mar</v>
      </c>
    </row>
    <row r="382" spans="1:15" x14ac:dyDescent="0.2">
      <c r="A382" s="21">
        <v>45724</v>
      </c>
      <c r="B382" s="5" t="s">
        <v>180</v>
      </c>
      <c r="C382" t="s">
        <v>181</v>
      </c>
      <c r="D382" t="s">
        <v>34</v>
      </c>
      <c r="E382" t="s">
        <v>35</v>
      </c>
      <c r="F382">
        <v>274</v>
      </c>
      <c r="G382">
        <v>147</v>
      </c>
      <c r="H382">
        <v>114</v>
      </c>
      <c r="I382">
        <f>Inventory_Data[[#This Row],[Opening_Stock]]+Inventory_Data[[#This Row],[Units_Received]]-Inventory_Data[[#This Row],[Units_Sold]]</f>
        <v>307</v>
      </c>
      <c r="J382">
        <v>0</v>
      </c>
      <c r="K382">
        <v>2</v>
      </c>
      <c r="L382" t="s">
        <v>42</v>
      </c>
      <c r="M382" s="3">
        <v>10.27</v>
      </c>
      <c r="N382" s="3">
        <v>14.24</v>
      </c>
      <c r="O382" s="10" t="str">
        <f>TEXT(Inventory_Data[[#This Row],[Date]],"mmm")</f>
        <v>Mar</v>
      </c>
    </row>
    <row r="383" spans="1:15" x14ac:dyDescent="0.2">
      <c r="A383" s="21">
        <v>45725</v>
      </c>
      <c r="B383" s="5" t="s">
        <v>128</v>
      </c>
      <c r="C383" t="s">
        <v>129</v>
      </c>
      <c r="D383" t="s">
        <v>48</v>
      </c>
      <c r="E383" t="s">
        <v>17</v>
      </c>
      <c r="F383">
        <v>50</v>
      </c>
      <c r="G383">
        <v>89</v>
      </c>
      <c r="H383">
        <v>50</v>
      </c>
      <c r="I383">
        <f>Inventory_Data[[#This Row],[Opening_Stock]]+Inventory_Data[[#This Row],[Units_Received]]-Inventory_Data[[#This Row],[Units_Sold]]</f>
        <v>89</v>
      </c>
      <c r="J383">
        <v>0</v>
      </c>
      <c r="K383">
        <v>10</v>
      </c>
      <c r="L383" t="s">
        <v>77</v>
      </c>
      <c r="M383" s="3">
        <v>47.03</v>
      </c>
      <c r="N383" s="3">
        <v>56.39</v>
      </c>
      <c r="O383" s="10" t="str">
        <f>TEXT(Inventory_Data[[#This Row],[Date]],"mmm")</f>
        <v>Mar</v>
      </c>
    </row>
    <row r="384" spans="1:15" x14ac:dyDescent="0.2">
      <c r="A384" s="21">
        <v>45725</v>
      </c>
      <c r="B384" s="5" t="s">
        <v>136</v>
      </c>
      <c r="C384" t="s">
        <v>137</v>
      </c>
      <c r="D384" t="s">
        <v>27</v>
      </c>
      <c r="E384" t="s">
        <v>17</v>
      </c>
      <c r="F384">
        <v>276</v>
      </c>
      <c r="G384">
        <v>178</v>
      </c>
      <c r="H384">
        <v>75</v>
      </c>
      <c r="I384">
        <f>Inventory_Data[[#This Row],[Opening_Stock]]+Inventory_Data[[#This Row],[Units_Received]]-Inventory_Data[[#This Row],[Units_Sold]]</f>
        <v>379</v>
      </c>
      <c r="J384">
        <v>0</v>
      </c>
      <c r="K384">
        <v>3</v>
      </c>
      <c r="L384" t="s">
        <v>29</v>
      </c>
      <c r="M384" s="3">
        <v>11.83</v>
      </c>
      <c r="N384" s="3">
        <v>15.15</v>
      </c>
      <c r="O384" s="10" t="str">
        <f>TEXT(Inventory_Data[[#This Row],[Date]],"mmm")</f>
        <v>Mar</v>
      </c>
    </row>
    <row r="385" spans="1:15" x14ac:dyDescent="0.2">
      <c r="A385" s="21">
        <v>45725</v>
      </c>
      <c r="B385" s="5" t="s">
        <v>168</v>
      </c>
      <c r="C385" t="s">
        <v>169</v>
      </c>
      <c r="D385" t="s">
        <v>34</v>
      </c>
      <c r="E385" t="s">
        <v>35</v>
      </c>
      <c r="F385">
        <v>101</v>
      </c>
      <c r="G385">
        <v>72</v>
      </c>
      <c r="H385">
        <v>88</v>
      </c>
      <c r="I385">
        <f>Inventory_Data[[#This Row],[Opening_Stock]]+Inventory_Data[[#This Row],[Units_Received]]-Inventory_Data[[#This Row],[Units_Sold]]</f>
        <v>85</v>
      </c>
      <c r="J385">
        <v>0</v>
      </c>
      <c r="K385">
        <v>2</v>
      </c>
      <c r="L385" t="s">
        <v>42</v>
      </c>
      <c r="M385" s="3">
        <v>29</v>
      </c>
      <c r="N385" s="3">
        <v>37.31</v>
      </c>
      <c r="O385" s="10" t="str">
        <f>TEXT(Inventory_Data[[#This Row],[Date]],"mmm")</f>
        <v>Mar</v>
      </c>
    </row>
    <row r="386" spans="1:15" x14ac:dyDescent="0.2">
      <c r="A386" s="21">
        <v>45726</v>
      </c>
      <c r="B386" s="5" t="s">
        <v>130</v>
      </c>
      <c r="C386" t="s">
        <v>131</v>
      </c>
      <c r="D386" t="s">
        <v>48</v>
      </c>
      <c r="E386" t="s">
        <v>28</v>
      </c>
      <c r="F386">
        <v>86</v>
      </c>
      <c r="G386">
        <v>83</v>
      </c>
      <c r="H386">
        <v>73</v>
      </c>
      <c r="I386">
        <f>Inventory_Data[[#This Row],[Opening_Stock]]+Inventory_Data[[#This Row],[Units_Received]]-Inventory_Data[[#This Row],[Units_Sold]]</f>
        <v>96</v>
      </c>
      <c r="J386">
        <v>0</v>
      </c>
      <c r="K386">
        <v>8</v>
      </c>
      <c r="L386" t="s">
        <v>49</v>
      </c>
      <c r="M386" s="3">
        <v>42.03</v>
      </c>
      <c r="N386" s="3">
        <v>60.62</v>
      </c>
      <c r="O386" s="10" t="str">
        <f>TEXT(Inventory_Data[[#This Row],[Date]],"mmm")</f>
        <v>Mar</v>
      </c>
    </row>
    <row r="387" spans="1:15" x14ac:dyDescent="0.2">
      <c r="A387" s="21">
        <v>45726</v>
      </c>
      <c r="B387" s="5" t="s">
        <v>146</v>
      </c>
      <c r="C387" t="s">
        <v>147</v>
      </c>
      <c r="D387" t="s">
        <v>48</v>
      </c>
      <c r="E387" t="s">
        <v>35</v>
      </c>
      <c r="F387">
        <v>97</v>
      </c>
      <c r="G387">
        <v>51</v>
      </c>
      <c r="H387">
        <v>114</v>
      </c>
      <c r="I387">
        <f>Inventory_Data[[#This Row],[Opening_Stock]]+Inventory_Data[[#This Row],[Units_Received]]-Inventory_Data[[#This Row],[Units_Sold]]</f>
        <v>34</v>
      </c>
      <c r="J387">
        <v>0</v>
      </c>
      <c r="K387">
        <v>5</v>
      </c>
      <c r="L387" t="s">
        <v>63</v>
      </c>
      <c r="M387" s="3">
        <v>59.06</v>
      </c>
      <c r="N387" s="3">
        <v>91.31</v>
      </c>
      <c r="O387" s="10" t="str">
        <f>TEXT(Inventory_Data[[#This Row],[Date]],"mmm")</f>
        <v>Mar</v>
      </c>
    </row>
    <row r="388" spans="1:15" x14ac:dyDescent="0.2">
      <c r="A388" s="21">
        <v>45726</v>
      </c>
      <c r="B388" s="5" t="s">
        <v>164</v>
      </c>
      <c r="C388" t="s">
        <v>165</v>
      </c>
      <c r="D388" t="s">
        <v>48</v>
      </c>
      <c r="E388" t="s">
        <v>21</v>
      </c>
      <c r="F388">
        <v>105</v>
      </c>
      <c r="G388">
        <v>29</v>
      </c>
      <c r="H388">
        <v>134</v>
      </c>
      <c r="I388">
        <f>Inventory_Data[[#This Row],[Opening_Stock]]+Inventory_Data[[#This Row],[Units_Received]]-Inventory_Data[[#This Row],[Units_Sold]]</f>
        <v>0</v>
      </c>
      <c r="J388">
        <v>1</v>
      </c>
      <c r="K388">
        <v>7</v>
      </c>
      <c r="L388" t="s">
        <v>49</v>
      </c>
      <c r="M388" s="3">
        <v>33.06</v>
      </c>
      <c r="N388" s="3">
        <v>45.86</v>
      </c>
      <c r="O388" s="10" t="str">
        <f>TEXT(Inventory_Data[[#This Row],[Date]],"mmm")</f>
        <v>Mar</v>
      </c>
    </row>
    <row r="389" spans="1:15" x14ac:dyDescent="0.2">
      <c r="A389" s="21">
        <v>45726</v>
      </c>
      <c r="B389" s="5" t="s">
        <v>122</v>
      </c>
      <c r="C389" t="s">
        <v>123</v>
      </c>
      <c r="D389" t="s">
        <v>27</v>
      </c>
      <c r="E389" t="s">
        <v>35</v>
      </c>
      <c r="F389">
        <v>202</v>
      </c>
      <c r="G389">
        <v>93</v>
      </c>
      <c r="H389">
        <v>191</v>
      </c>
      <c r="I389">
        <f>Inventory_Data[[#This Row],[Opening_Stock]]+Inventory_Data[[#This Row],[Units_Received]]-Inventory_Data[[#This Row],[Units_Sold]]</f>
        <v>104</v>
      </c>
      <c r="J389">
        <v>0</v>
      </c>
      <c r="K389">
        <v>2</v>
      </c>
      <c r="L389" t="s">
        <v>80</v>
      </c>
      <c r="M389" s="3">
        <v>3.14</v>
      </c>
      <c r="N389" s="3">
        <v>3.73</v>
      </c>
      <c r="O389" s="10" t="str">
        <f>TEXT(Inventory_Data[[#This Row],[Date]],"mmm")</f>
        <v>Mar</v>
      </c>
    </row>
    <row r="390" spans="1:15" x14ac:dyDescent="0.2">
      <c r="A390" s="21">
        <v>45726</v>
      </c>
      <c r="B390" s="5" t="s">
        <v>140</v>
      </c>
      <c r="C390" t="s">
        <v>141</v>
      </c>
      <c r="D390" t="s">
        <v>52</v>
      </c>
      <c r="E390" t="s">
        <v>35</v>
      </c>
      <c r="F390">
        <v>50</v>
      </c>
      <c r="G390">
        <v>20</v>
      </c>
      <c r="H390">
        <v>7</v>
      </c>
      <c r="I390">
        <f>Inventory_Data[[#This Row],[Opening_Stock]]+Inventory_Data[[#This Row],[Units_Received]]-Inventory_Data[[#This Row],[Units_Sold]]</f>
        <v>63</v>
      </c>
      <c r="J390">
        <v>0</v>
      </c>
      <c r="K390">
        <v>8</v>
      </c>
      <c r="L390" t="s">
        <v>53</v>
      </c>
      <c r="M390" s="3">
        <v>27.52</v>
      </c>
      <c r="N390" s="3">
        <v>37.06</v>
      </c>
      <c r="O390" s="10" t="str">
        <f>TEXT(Inventory_Data[[#This Row],[Date]],"mmm")</f>
        <v>Mar</v>
      </c>
    </row>
    <row r="391" spans="1:15" x14ac:dyDescent="0.2">
      <c r="A391" s="21">
        <v>45726</v>
      </c>
      <c r="B391" s="5" t="s">
        <v>59</v>
      </c>
      <c r="C391" t="s">
        <v>60</v>
      </c>
      <c r="D391" t="s">
        <v>34</v>
      </c>
      <c r="E391" t="s">
        <v>21</v>
      </c>
      <c r="F391">
        <v>227</v>
      </c>
      <c r="G391">
        <v>83</v>
      </c>
      <c r="H391">
        <v>144</v>
      </c>
      <c r="I391">
        <f>Inventory_Data[[#This Row],[Opening_Stock]]+Inventory_Data[[#This Row],[Units_Received]]-Inventory_Data[[#This Row],[Units_Sold]]</f>
        <v>166</v>
      </c>
      <c r="J391">
        <v>0</v>
      </c>
      <c r="K391">
        <v>3</v>
      </c>
      <c r="L391" t="s">
        <v>39</v>
      </c>
      <c r="M391" s="3">
        <v>25.03</v>
      </c>
      <c r="N391" s="3">
        <v>36.68</v>
      </c>
      <c r="O391" s="10" t="str">
        <f>TEXT(Inventory_Data[[#This Row],[Date]],"mmm")</f>
        <v>Mar</v>
      </c>
    </row>
    <row r="392" spans="1:15" x14ac:dyDescent="0.2">
      <c r="A392" s="21">
        <v>45726</v>
      </c>
      <c r="B392" s="5" t="s">
        <v>126</v>
      </c>
      <c r="C392" t="s">
        <v>127</v>
      </c>
      <c r="D392" t="s">
        <v>34</v>
      </c>
      <c r="E392" t="s">
        <v>17</v>
      </c>
      <c r="F392">
        <v>328</v>
      </c>
      <c r="G392">
        <v>200</v>
      </c>
      <c r="H392">
        <v>108</v>
      </c>
      <c r="I392">
        <f>Inventory_Data[[#This Row],[Opening_Stock]]+Inventory_Data[[#This Row],[Units_Received]]-Inventory_Data[[#This Row],[Units_Sold]]</f>
        <v>420</v>
      </c>
      <c r="J392">
        <v>0</v>
      </c>
      <c r="K392">
        <v>6</v>
      </c>
      <c r="L392" t="s">
        <v>36</v>
      </c>
      <c r="M392" s="3">
        <v>2.3199999999999998</v>
      </c>
      <c r="N392" s="3">
        <v>3.27</v>
      </c>
      <c r="O392" s="10" t="str">
        <f>TEXT(Inventory_Data[[#This Row],[Date]],"mmm")</f>
        <v>Mar</v>
      </c>
    </row>
    <row r="393" spans="1:15" x14ac:dyDescent="0.2">
      <c r="A393" s="21">
        <v>45727</v>
      </c>
      <c r="B393" s="5" t="s">
        <v>162</v>
      </c>
      <c r="C393" t="s">
        <v>163</v>
      </c>
      <c r="D393" t="s">
        <v>16</v>
      </c>
      <c r="E393" t="s">
        <v>17</v>
      </c>
      <c r="F393">
        <v>146</v>
      </c>
      <c r="G393">
        <v>89</v>
      </c>
      <c r="H393">
        <v>11</v>
      </c>
      <c r="I393">
        <f>Inventory_Data[[#This Row],[Opening_Stock]]+Inventory_Data[[#This Row],[Units_Received]]-Inventory_Data[[#This Row],[Units_Sold]]</f>
        <v>224</v>
      </c>
      <c r="J393">
        <v>0</v>
      </c>
      <c r="K393">
        <v>4</v>
      </c>
      <c r="L393" t="s">
        <v>18</v>
      </c>
      <c r="M393" s="3">
        <v>126.54</v>
      </c>
      <c r="N393" s="3">
        <v>173.45</v>
      </c>
      <c r="O393" s="10" t="str">
        <f>TEXT(Inventory_Data[[#This Row],[Date]],"mmm")</f>
        <v>Mar</v>
      </c>
    </row>
    <row r="394" spans="1:15" x14ac:dyDescent="0.2">
      <c r="A394" s="21">
        <v>45727</v>
      </c>
      <c r="B394" s="5" t="s">
        <v>130</v>
      </c>
      <c r="C394" t="s">
        <v>131</v>
      </c>
      <c r="D394" t="s">
        <v>48</v>
      </c>
      <c r="E394" t="s">
        <v>17</v>
      </c>
      <c r="F394">
        <v>264</v>
      </c>
      <c r="G394">
        <v>38</v>
      </c>
      <c r="H394">
        <v>125</v>
      </c>
      <c r="I394">
        <f>Inventory_Data[[#This Row],[Opening_Stock]]+Inventory_Data[[#This Row],[Units_Received]]-Inventory_Data[[#This Row],[Units_Sold]]</f>
        <v>177</v>
      </c>
      <c r="J394">
        <v>0</v>
      </c>
      <c r="K394">
        <v>14</v>
      </c>
      <c r="L394" t="s">
        <v>49</v>
      </c>
      <c r="M394" s="3">
        <v>18.28</v>
      </c>
      <c r="N394" s="3">
        <v>22.88</v>
      </c>
      <c r="O394" s="10" t="str">
        <f>TEXT(Inventory_Data[[#This Row],[Date]],"mmm")</f>
        <v>Mar</v>
      </c>
    </row>
    <row r="395" spans="1:15" x14ac:dyDescent="0.2">
      <c r="A395" s="21">
        <v>45729</v>
      </c>
      <c r="B395" s="5" t="s">
        <v>14</v>
      </c>
      <c r="C395" t="s">
        <v>15</v>
      </c>
      <c r="D395" t="s">
        <v>16</v>
      </c>
      <c r="E395" t="s">
        <v>28</v>
      </c>
      <c r="F395">
        <v>167</v>
      </c>
      <c r="G395">
        <v>72</v>
      </c>
      <c r="H395">
        <v>16</v>
      </c>
      <c r="I395">
        <f>Inventory_Data[[#This Row],[Opening_Stock]]+Inventory_Data[[#This Row],[Units_Received]]-Inventory_Data[[#This Row],[Units_Sold]]</f>
        <v>223</v>
      </c>
      <c r="J395">
        <v>0</v>
      </c>
      <c r="K395">
        <v>13</v>
      </c>
      <c r="L395" t="s">
        <v>18</v>
      </c>
      <c r="M395" s="3">
        <v>140.37</v>
      </c>
      <c r="N395" s="3">
        <v>205.17</v>
      </c>
      <c r="O395" s="10" t="str">
        <f>TEXT(Inventory_Data[[#This Row],[Date]],"mmm")</f>
        <v>Mar</v>
      </c>
    </row>
    <row r="396" spans="1:15" x14ac:dyDescent="0.2">
      <c r="A396" s="21">
        <v>45729</v>
      </c>
      <c r="B396" s="5" t="s">
        <v>192</v>
      </c>
      <c r="C396" t="s">
        <v>193</v>
      </c>
      <c r="D396" t="s">
        <v>48</v>
      </c>
      <c r="E396" t="s">
        <v>17</v>
      </c>
      <c r="F396">
        <v>220</v>
      </c>
      <c r="G396">
        <v>62</v>
      </c>
      <c r="H396">
        <v>135</v>
      </c>
      <c r="I396">
        <f>Inventory_Data[[#This Row],[Opening_Stock]]+Inventory_Data[[#This Row],[Units_Received]]-Inventory_Data[[#This Row],[Units_Sold]]</f>
        <v>147</v>
      </c>
      <c r="J396">
        <v>0</v>
      </c>
      <c r="K396">
        <v>3</v>
      </c>
      <c r="L396" t="s">
        <v>63</v>
      </c>
      <c r="M396" s="3">
        <v>34.5</v>
      </c>
      <c r="N396" s="3">
        <v>53.1</v>
      </c>
      <c r="O396" s="10" t="str">
        <f>TEXT(Inventory_Data[[#This Row],[Date]],"mmm")</f>
        <v>Mar</v>
      </c>
    </row>
    <row r="397" spans="1:15" x14ac:dyDescent="0.2">
      <c r="A397" s="21">
        <v>45729</v>
      </c>
      <c r="B397" s="5" t="s">
        <v>61</v>
      </c>
      <c r="C397" t="s">
        <v>62</v>
      </c>
      <c r="D397" t="s">
        <v>48</v>
      </c>
      <c r="E397" t="s">
        <v>17</v>
      </c>
      <c r="F397">
        <v>129</v>
      </c>
      <c r="G397">
        <v>120</v>
      </c>
      <c r="H397">
        <v>106</v>
      </c>
      <c r="I397">
        <f>Inventory_Data[[#This Row],[Opening_Stock]]+Inventory_Data[[#This Row],[Units_Received]]-Inventory_Data[[#This Row],[Units_Sold]]</f>
        <v>143</v>
      </c>
      <c r="J397">
        <v>0</v>
      </c>
      <c r="K397">
        <v>13</v>
      </c>
      <c r="L397" t="s">
        <v>63</v>
      </c>
      <c r="M397" s="3">
        <v>49.44</v>
      </c>
      <c r="N397" s="3">
        <v>64.83</v>
      </c>
      <c r="O397" s="10" t="str">
        <f>TEXT(Inventory_Data[[#This Row],[Date]],"mmm")</f>
        <v>Mar</v>
      </c>
    </row>
    <row r="398" spans="1:15" x14ac:dyDescent="0.2">
      <c r="A398" s="21">
        <v>45729</v>
      </c>
      <c r="B398" s="5" t="s">
        <v>102</v>
      </c>
      <c r="C398" t="s">
        <v>103</v>
      </c>
      <c r="D398" t="s">
        <v>52</v>
      </c>
      <c r="E398" t="s">
        <v>35</v>
      </c>
      <c r="F398">
        <v>18</v>
      </c>
      <c r="G398">
        <v>4</v>
      </c>
      <c r="H398">
        <v>4</v>
      </c>
      <c r="I398">
        <f>Inventory_Data[[#This Row],[Opening_Stock]]+Inventory_Data[[#This Row],[Units_Received]]-Inventory_Data[[#This Row],[Units_Sold]]</f>
        <v>18</v>
      </c>
      <c r="J398">
        <v>0</v>
      </c>
      <c r="K398">
        <v>11</v>
      </c>
      <c r="L398" t="s">
        <v>53</v>
      </c>
      <c r="M398" s="3">
        <v>192.94</v>
      </c>
      <c r="N398" s="3">
        <v>285.10000000000002</v>
      </c>
      <c r="O398" s="10" t="str">
        <f>TEXT(Inventory_Data[[#This Row],[Date]],"mmm")</f>
        <v>Mar</v>
      </c>
    </row>
    <row r="399" spans="1:15" x14ac:dyDescent="0.2">
      <c r="A399" s="21">
        <v>45729</v>
      </c>
      <c r="B399" s="5" t="s">
        <v>194</v>
      </c>
      <c r="C399" t="s">
        <v>195</v>
      </c>
      <c r="D399" t="s">
        <v>34</v>
      </c>
      <c r="E399" t="s">
        <v>28</v>
      </c>
      <c r="F399">
        <v>332</v>
      </c>
      <c r="G399">
        <v>78</v>
      </c>
      <c r="H399">
        <v>95</v>
      </c>
      <c r="I399">
        <f>Inventory_Data[[#This Row],[Opening_Stock]]+Inventory_Data[[#This Row],[Units_Received]]-Inventory_Data[[#This Row],[Units_Sold]]</f>
        <v>315</v>
      </c>
      <c r="J399">
        <v>0</v>
      </c>
      <c r="K399">
        <v>3</v>
      </c>
      <c r="L399" t="s">
        <v>42</v>
      </c>
      <c r="M399" s="3">
        <v>29.19</v>
      </c>
      <c r="N399" s="3">
        <v>40.78</v>
      </c>
      <c r="O399" s="10" t="str">
        <f>TEXT(Inventory_Data[[#This Row],[Date]],"mmm")</f>
        <v>Mar</v>
      </c>
    </row>
    <row r="400" spans="1:15" x14ac:dyDescent="0.2">
      <c r="A400" s="21">
        <v>45729</v>
      </c>
      <c r="B400" s="5" t="s">
        <v>196</v>
      </c>
      <c r="C400" t="s">
        <v>197</v>
      </c>
      <c r="D400" t="s">
        <v>34</v>
      </c>
      <c r="E400" t="s">
        <v>28</v>
      </c>
      <c r="F400">
        <v>359</v>
      </c>
      <c r="G400">
        <v>136</v>
      </c>
      <c r="H400">
        <v>50</v>
      </c>
      <c r="I400">
        <f>Inventory_Data[[#This Row],[Opening_Stock]]+Inventory_Data[[#This Row],[Units_Received]]-Inventory_Data[[#This Row],[Units_Sold]]</f>
        <v>445</v>
      </c>
      <c r="J400">
        <v>0</v>
      </c>
      <c r="K400">
        <v>4</v>
      </c>
      <c r="L400" t="s">
        <v>39</v>
      </c>
      <c r="M400" s="3">
        <v>8.73</v>
      </c>
      <c r="N400" s="3">
        <v>13.42</v>
      </c>
      <c r="O400" s="10" t="str">
        <f>TEXT(Inventory_Data[[#This Row],[Date]],"mmm")</f>
        <v>Mar</v>
      </c>
    </row>
    <row r="401" spans="1:15" x14ac:dyDescent="0.2">
      <c r="A401" s="21">
        <v>45730</v>
      </c>
      <c r="B401" s="5" t="s">
        <v>86</v>
      </c>
      <c r="C401" t="s">
        <v>87</v>
      </c>
      <c r="D401" t="s">
        <v>48</v>
      </c>
      <c r="E401" t="s">
        <v>17</v>
      </c>
      <c r="F401">
        <v>254</v>
      </c>
      <c r="G401">
        <v>61</v>
      </c>
      <c r="H401">
        <v>51</v>
      </c>
      <c r="I401">
        <f>Inventory_Data[[#This Row],[Opening_Stock]]+Inventory_Data[[#This Row],[Units_Received]]-Inventory_Data[[#This Row],[Units_Sold]]</f>
        <v>264</v>
      </c>
      <c r="J401">
        <v>0</v>
      </c>
      <c r="K401">
        <v>5</v>
      </c>
      <c r="L401" t="s">
        <v>49</v>
      </c>
      <c r="M401" s="3">
        <v>31.27</v>
      </c>
      <c r="N401" s="3">
        <v>44.64</v>
      </c>
      <c r="O401" s="10" t="str">
        <f>TEXT(Inventory_Data[[#This Row],[Date]],"mmm")</f>
        <v>Mar</v>
      </c>
    </row>
    <row r="402" spans="1:15" x14ac:dyDescent="0.2">
      <c r="A402" s="21">
        <v>45730</v>
      </c>
      <c r="B402" s="5" t="s">
        <v>122</v>
      </c>
      <c r="C402" t="s">
        <v>123</v>
      </c>
      <c r="D402" t="s">
        <v>27</v>
      </c>
      <c r="E402" t="s">
        <v>21</v>
      </c>
      <c r="F402">
        <v>463</v>
      </c>
      <c r="G402">
        <v>89</v>
      </c>
      <c r="H402">
        <v>199</v>
      </c>
      <c r="I402">
        <f>Inventory_Data[[#This Row],[Opening_Stock]]+Inventory_Data[[#This Row],[Units_Received]]-Inventory_Data[[#This Row],[Units_Sold]]</f>
        <v>353</v>
      </c>
      <c r="J402">
        <v>0</v>
      </c>
      <c r="K402">
        <v>5</v>
      </c>
      <c r="L402" t="s">
        <v>80</v>
      </c>
      <c r="M402" s="3">
        <v>17.79</v>
      </c>
      <c r="N402" s="3">
        <v>23.07</v>
      </c>
      <c r="O402" s="10" t="str">
        <f>TEXT(Inventory_Data[[#This Row],[Date]],"mmm")</f>
        <v>Mar</v>
      </c>
    </row>
    <row r="403" spans="1:15" x14ac:dyDescent="0.2">
      <c r="A403" s="21">
        <v>45730</v>
      </c>
      <c r="B403" s="5" t="s">
        <v>150</v>
      </c>
      <c r="C403" t="s">
        <v>151</v>
      </c>
      <c r="D403" t="s">
        <v>52</v>
      </c>
      <c r="E403" t="s">
        <v>28</v>
      </c>
      <c r="F403">
        <v>21</v>
      </c>
      <c r="G403">
        <v>7</v>
      </c>
      <c r="H403">
        <v>19</v>
      </c>
      <c r="I403">
        <f>Inventory_Data[[#This Row],[Opening_Stock]]+Inventory_Data[[#This Row],[Units_Received]]-Inventory_Data[[#This Row],[Units_Sold]]</f>
        <v>9</v>
      </c>
      <c r="J403">
        <v>0</v>
      </c>
      <c r="K403">
        <v>12</v>
      </c>
      <c r="L403" t="s">
        <v>83</v>
      </c>
      <c r="M403" s="3">
        <v>314.95</v>
      </c>
      <c r="N403" s="3">
        <v>421.46</v>
      </c>
      <c r="O403" s="10" t="str">
        <f>TEXT(Inventory_Data[[#This Row],[Date]],"mmm")</f>
        <v>Mar</v>
      </c>
    </row>
    <row r="404" spans="1:15" x14ac:dyDescent="0.2">
      <c r="A404" s="21">
        <v>45730</v>
      </c>
      <c r="B404" s="5" t="s">
        <v>88</v>
      </c>
      <c r="C404" t="s">
        <v>89</v>
      </c>
      <c r="D404" t="s">
        <v>34</v>
      </c>
      <c r="E404" t="s">
        <v>35</v>
      </c>
      <c r="F404">
        <v>150</v>
      </c>
      <c r="G404">
        <v>59</v>
      </c>
      <c r="H404">
        <v>52</v>
      </c>
      <c r="I404">
        <f>Inventory_Data[[#This Row],[Opening_Stock]]+Inventory_Data[[#This Row],[Units_Received]]-Inventory_Data[[#This Row],[Units_Sold]]</f>
        <v>157</v>
      </c>
      <c r="J404">
        <v>0</v>
      </c>
      <c r="K404">
        <v>6</v>
      </c>
      <c r="L404" t="s">
        <v>39</v>
      </c>
      <c r="M404" s="3">
        <v>17.64</v>
      </c>
      <c r="N404" s="3">
        <v>26.31</v>
      </c>
      <c r="O404" s="10" t="str">
        <f>TEXT(Inventory_Data[[#This Row],[Date]],"mmm")</f>
        <v>Mar</v>
      </c>
    </row>
    <row r="405" spans="1:15" x14ac:dyDescent="0.2">
      <c r="A405" s="21">
        <v>45731</v>
      </c>
      <c r="B405" s="5" t="s">
        <v>182</v>
      </c>
      <c r="C405" t="s">
        <v>183</v>
      </c>
      <c r="D405" t="s">
        <v>52</v>
      </c>
      <c r="E405" t="s">
        <v>21</v>
      </c>
      <c r="F405">
        <v>80</v>
      </c>
      <c r="G405">
        <v>16</v>
      </c>
      <c r="H405">
        <v>7</v>
      </c>
      <c r="I405">
        <f>Inventory_Data[[#This Row],[Opening_Stock]]+Inventory_Data[[#This Row],[Units_Received]]-Inventory_Data[[#This Row],[Units_Sold]]</f>
        <v>89</v>
      </c>
      <c r="J405">
        <v>0</v>
      </c>
      <c r="K405">
        <v>7</v>
      </c>
      <c r="L405" t="s">
        <v>56</v>
      </c>
      <c r="M405" s="3">
        <v>292.26</v>
      </c>
      <c r="N405" s="3">
        <v>441.64</v>
      </c>
      <c r="O405" s="10" t="str">
        <f>TEXT(Inventory_Data[[#This Row],[Date]],"mmm")</f>
        <v>Mar</v>
      </c>
    </row>
    <row r="406" spans="1:15" x14ac:dyDescent="0.2">
      <c r="A406" s="21">
        <v>45731</v>
      </c>
      <c r="B406" s="5" t="s">
        <v>43</v>
      </c>
      <c r="C406" t="s">
        <v>44</v>
      </c>
      <c r="D406" t="s">
        <v>34</v>
      </c>
      <c r="E406" t="s">
        <v>17</v>
      </c>
      <c r="F406">
        <v>119</v>
      </c>
      <c r="G406">
        <v>129</v>
      </c>
      <c r="H406">
        <v>26</v>
      </c>
      <c r="I406">
        <f>Inventory_Data[[#This Row],[Opening_Stock]]+Inventory_Data[[#This Row],[Units_Received]]-Inventory_Data[[#This Row],[Units_Sold]]</f>
        <v>222</v>
      </c>
      <c r="J406">
        <v>0</v>
      </c>
      <c r="K406">
        <v>12</v>
      </c>
      <c r="L406" t="s">
        <v>36</v>
      </c>
      <c r="M406" s="3">
        <v>22.7</v>
      </c>
      <c r="N406" s="3">
        <v>30.37</v>
      </c>
      <c r="O406" s="10" t="str">
        <f>TEXT(Inventory_Data[[#This Row],[Date]],"mmm")</f>
        <v>Mar</v>
      </c>
    </row>
    <row r="407" spans="1:15" x14ac:dyDescent="0.2">
      <c r="A407" s="21">
        <v>45732</v>
      </c>
      <c r="B407" s="5" t="s">
        <v>152</v>
      </c>
      <c r="C407" t="s">
        <v>153</v>
      </c>
      <c r="D407" t="s">
        <v>16</v>
      </c>
      <c r="E407" t="s">
        <v>17</v>
      </c>
      <c r="F407">
        <v>79</v>
      </c>
      <c r="G407">
        <v>26</v>
      </c>
      <c r="H407">
        <v>20</v>
      </c>
      <c r="I407">
        <f>Inventory_Data[[#This Row],[Opening_Stock]]+Inventory_Data[[#This Row],[Units_Received]]-Inventory_Data[[#This Row],[Units_Sold]]</f>
        <v>85</v>
      </c>
      <c r="J407">
        <v>0</v>
      </c>
      <c r="K407">
        <v>8</v>
      </c>
      <c r="L407" t="s">
        <v>24</v>
      </c>
      <c r="M407" s="3">
        <v>206.56</v>
      </c>
      <c r="N407" s="3">
        <v>294.48</v>
      </c>
      <c r="O407" s="10" t="str">
        <f>TEXT(Inventory_Data[[#This Row],[Date]],"mmm")</f>
        <v>Mar</v>
      </c>
    </row>
    <row r="408" spans="1:15" x14ac:dyDescent="0.2">
      <c r="A408" s="21">
        <v>45732</v>
      </c>
      <c r="B408" s="5" t="s">
        <v>112</v>
      </c>
      <c r="C408" t="s">
        <v>113</v>
      </c>
      <c r="D408" t="s">
        <v>16</v>
      </c>
      <c r="E408" t="s">
        <v>17</v>
      </c>
      <c r="F408">
        <v>120</v>
      </c>
      <c r="G408">
        <v>70</v>
      </c>
      <c r="H408">
        <v>76</v>
      </c>
      <c r="I408">
        <f>Inventory_Data[[#This Row],[Opening_Stock]]+Inventory_Data[[#This Row],[Units_Received]]-Inventory_Data[[#This Row],[Units_Sold]]</f>
        <v>114</v>
      </c>
      <c r="J408">
        <v>0</v>
      </c>
      <c r="K408">
        <v>8</v>
      </c>
      <c r="L408" t="s">
        <v>24</v>
      </c>
      <c r="M408" s="3">
        <v>180.25</v>
      </c>
      <c r="N408" s="3">
        <v>232.77</v>
      </c>
      <c r="O408" s="10" t="str">
        <f>TEXT(Inventory_Data[[#This Row],[Date]],"mmm")</f>
        <v>Mar</v>
      </c>
    </row>
    <row r="409" spans="1:15" x14ac:dyDescent="0.2">
      <c r="A409" s="21">
        <v>45732</v>
      </c>
      <c r="B409" s="5" t="s">
        <v>61</v>
      </c>
      <c r="C409" t="s">
        <v>62</v>
      </c>
      <c r="D409" t="s">
        <v>48</v>
      </c>
      <c r="E409" t="s">
        <v>17</v>
      </c>
      <c r="F409">
        <v>82</v>
      </c>
      <c r="G409">
        <v>114</v>
      </c>
      <c r="H409">
        <v>15</v>
      </c>
      <c r="I409">
        <f>Inventory_Data[[#This Row],[Opening_Stock]]+Inventory_Data[[#This Row],[Units_Received]]-Inventory_Data[[#This Row],[Units_Sold]]</f>
        <v>181</v>
      </c>
      <c r="J409">
        <v>0</v>
      </c>
      <c r="K409">
        <v>7</v>
      </c>
      <c r="L409" t="s">
        <v>77</v>
      </c>
      <c r="M409" s="3">
        <v>8.82</v>
      </c>
      <c r="N409" s="3">
        <v>13.26</v>
      </c>
      <c r="O409" s="10" t="str">
        <f>TEXT(Inventory_Data[[#This Row],[Date]],"mmm")</f>
        <v>Mar</v>
      </c>
    </row>
    <row r="410" spans="1:15" x14ac:dyDescent="0.2">
      <c r="A410" s="21">
        <v>45732</v>
      </c>
      <c r="B410" s="5" t="s">
        <v>96</v>
      </c>
      <c r="C410" t="s">
        <v>97</v>
      </c>
      <c r="D410" t="s">
        <v>48</v>
      </c>
      <c r="E410" t="s">
        <v>35</v>
      </c>
      <c r="F410">
        <v>200</v>
      </c>
      <c r="G410">
        <v>94</v>
      </c>
      <c r="H410">
        <v>86</v>
      </c>
      <c r="I410">
        <f>Inventory_Data[[#This Row],[Opening_Stock]]+Inventory_Data[[#This Row],[Units_Received]]-Inventory_Data[[#This Row],[Units_Sold]]</f>
        <v>208</v>
      </c>
      <c r="J410">
        <v>0</v>
      </c>
      <c r="K410">
        <v>3</v>
      </c>
      <c r="L410" t="s">
        <v>77</v>
      </c>
      <c r="M410" s="3">
        <v>78.010000000000005</v>
      </c>
      <c r="N410" s="3">
        <v>97.26</v>
      </c>
      <c r="O410" s="10" t="str">
        <f>TEXT(Inventory_Data[[#This Row],[Date]],"mmm")</f>
        <v>Mar</v>
      </c>
    </row>
    <row r="411" spans="1:15" x14ac:dyDescent="0.2">
      <c r="A411" s="21">
        <v>45732</v>
      </c>
      <c r="B411" s="5" t="s">
        <v>102</v>
      </c>
      <c r="C411" t="s">
        <v>103</v>
      </c>
      <c r="D411" t="s">
        <v>52</v>
      </c>
      <c r="E411" t="s">
        <v>28</v>
      </c>
      <c r="F411">
        <v>42</v>
      </c>
      <c r="G411">
        <v>8</v>
      </c>
      <c r="H411">
        <v>10</v>
      </c>
      <c r="I411">
        <f>Inventory_Data[[#This Row],[Opening_Stock]]+Inventory_Data[[#This Row],[Units_Received]]-Inventory_Data[[#This Row],[Units_Sold]]</f>
        <v>40</v>
      </c>
      <c r="J411">
        <v>0</v>
      </c>
      <c r="K411">
        <v>10</v>
      </c>
      <c r="L411" t="s">
        <v>83</v>
      </c>
      <c r="M411" s="3">
        <v>313.47000000000003</v>
      </c>
      <c r="N411" s="3">
        <v>406.61</v>
      </c>
      <c r="O411" s="10" t="str">
        <f>TEXT(Inventory_Data[[#This Row],[Date]],"mmm")</f>
        <v>Mar</v>
      </c>
    </row>
    <row r="412" spans="1:15" x14ac:dyDescent="0.2">
      <c r="A412" s="21">
        <v>45732</v>
      </c>
      <c r="B412" s="5" t="s">
        <v>32</v>
      </c>
      <c r="C412" t="s">
        <v>33</v>
      </c>
      <c r="D412" t="s">
        <v>34</v>
      </c>
      <c r="E412" t="s">
        <v>28</v>
      </c>
      <c r="F412">
        <v>308</v>
      </c>
      <c r="G412">
        <v>140</v>
      </c>
      <c r="H412">
        <v>108</v>
      </c>
      <c r="I412">
        <f>Inventory_Data[[#This Row],[Opening_Stock]]+Inventory_Data[[#This Row],[Units_Received]]-Inventory_Data[[#This Row],[Units_Sold]]</f>
        <v>340</v>
      </c>
      <c r="J412">
        <v>0</v>
      </c>
      <c r="K412">
        <v>11</v>
      </c>
      <c r="L412" t="s">
        <v>36</v>
      </c>
      <c r="M412" s="3">
        <v>16.38</v>
      </c>
      <c r="N412" s="3">
        <v>21.15</v>
      </c>
      <c r="O412" s="10" t="str">
        <f>TEXT(Inventory_Data[[#This Row],[Date]],"mmm")</f>
        <v>Mar</v>
      </c>
    </row>
    <row r="413" spans="1:15" x14ac:dyDescent="0.2">
      <c r="A413" s="21">
        <v>45732</v>
      </c>
      <c r="B413" s="5" t="s">
        <v>104</v>
      </c>
      <c r="C413" t="s">
        <v>105</v>
      </c>
      <c r="D413" t="s">
        <v>34</v>
      </c>
      <c r="E413" t="s">
        <v>17</v>
      </c>
      <c r="F413">
        <v>187</v>
      </c>
      <c r="G413">
        <v>208</v>
      </c>
      <c r="H413">
        <v>163</v>
      </c>
      <c r="I413">
        <f>Inventory_Data[[#This Row],[Opening_Stock]]+Inventory_Data[[#This Row],[Units_Received]]-Inventory_Data[[#This Row],[Units_Sold]]</f>
        <v>232</v>
      </c>
      <c r="J413">
        <v>0</v>
      </c>
      <c r="K413">
        <v>9</v>
      </c>
      <c r="L413" t="s">
        <v>42</v>
      </c>
      <c r="M413" s="3">
        <v>4.6100000000000003</v>
      </c>
      <c r="N413" s="3">
        <v>7.07</v>
      </c>
      <c r="O413" s="10" t="str">
        <f>TEXT(Inventory_Data[[#This Row],[Date]],"mmm")</f>
        <v>Mar</v>
      </c>
    </row>
    <row r="414" spans="1:15" x14ac:dyDescent="0.2">
      <c r="A414" s="21">
        <v>45733</v>
      </c>
      <c r="B414" s="5" t="s">
        <v>71</v>
      </c>
      <c r="C414" t="s">
        <v>72</v>
      </c>
      <c r="D414" t="s">
        <v>16</v>
      </c>
      <c r="E414" t="s">
        <v>21</v>
      </c>
      <c r="F414">
        <v>53</v>
      </c>
      <c r="G414">
        <v>26</v>
      </c>
      <c r="H414">
        <v>58</v>
      </c>
      <c r="I414">
        <f>Inventory_Data[[#This Row],[Opening_Stock]]+Inventory_Data[[#This Row],[Units_Received]]-Inventory_Data[[#This Row],[Units_Sold]]</f>
        <v>21</v>
      </c>
      <c r="J414">
        <v>0</v>
      </c>
      <c r="K414">
        <v>13</v>
      </c>
      <c r="L414" t="s">
        <v>18</v>
      </c>
      <c r="M414" s="3">
        <v>41.01</v>
      </c>
      <c r="N414" s="3">
        <v>56.88</v>
      </c>
      <c r="O414" s="10" t="str">
        <f>TEXT(Inventory_Data[[#This Row],[Date]],"mmm")</f>
        <v>Mar</v>
      </c>
    </row>
    <row r="415" spans="1:15" x14ac:dyDescent="0.2">
      <c r="A415" s="21">
        <v>45733</v>
      </c>
      <c r="B415" s="5" t="s">
        <v>92</v>
      </c>
      <c r="C415" t="s">
        <v>93</v>
      </c>
      <c r="D415" t="s">
        <v>27</v>
      </c>
      <c r="E415" t="s">
        <v>21</v>
      </c>
      <c r="F415">
        <v>247</v>
      </c>
      <c r="G415">
        <v>192</v>
      </c>
      <c r="H415">
        <v>44</v>
      </c>
      <c r="I415">
        <f>Inventory_Data[[#This Row],[Opening_Stock]]+Inventory_Data[[#This Row],[Units_Received]]-Inventory_Data[[#This Row],[Units_Sold]]</f>
        <v>395</v>
      </c>
      <c r="J415">
        <v>0</v>
      </c>
      <c r="K415">
        <v>3</v>
      </c>
      <c r="L415" t="s">
        <v>29</v>
      </c>
      <c r="M415" s="3">
        <v>16.32</v>
      </c>
      <c r="N415" s="3">
        <v>23.03</v>
      </c>
      <c r="O415" s="10" t="str">
        <f>TEXT(Inventory_Data[[#This Row],[Date]],"mmm")</f>
        <v>Mar</v>
      </c>
    </row>
    <row r="416" spans="1:15" x14ac:dyDescent="0.2">
      <c r="A416" s="21">
        <v>45733</v>
      </c>
      <c r="B416" s="5" t="s">
        <v>188</v>
      </c>
      <c r="C416" t="s">
        <v>189</v>
      </c>
      <c r="D416" t="s">
        <v>27</v>
      </c>
      <c r="E416" t="s">
        <v>21</v>
      </c>
      <c r="F416">
        <v>471</v>
      </c>
      <c r="G416">
        <v>111</v>
      </c>
      <c r="H416">
        <v>174</v>
      </c>
      <c r="I416">
        <f>Inventory_Data[[#This Row],[Opening_Stock]]+Inventory_Data[[#This Row],[Units_Received]]-Inventory_Data[[#This Row],[Units_Sold]]</f>
        <v>408</v>
      </c>
      <c r="J416">
        <v>0</v>
      </c>
      <c r="K416">
        <v>6</v>
      </c>
      <c r="L416" t="s">
        <v>66</v>
      </c>
      <c r="M416" s="3">
        <v>18</v>
      </c>
      <c r="N416" s="3">
        <v>25.1</v>
      </c>
      <c r="O416" s="10" t="str">
        <f>TEXT(Inventory_Data[[#This Row],[Date]],"mmm")</f>
        <v>Mar</v>
      </c>
    </row>
    <row r="417" spans="1:15" x14ac:dyDescent="0.2">
      <c r="A417" s="21">
        <v>45733</v>
      </c>
      <c r="B417" s="5" t="s">
        <v>148</v>
      </c>
      <c r="C417" t="s">
        <v>149</v>
      </c>
      <c r="D417" t="s">
        <v>27</v>
      </c>
      <c r="E417" t="s">
        <v>28</v>
      </c>
      <c r="F417">
        <v>144</v>
      </c>
      <c r="G417">
        <v>138</v>
      </c>
      <c r="H417">
        <v>91</v>
      </c>
      <c r="I417">
        <f>Inventory_Data[[#This Row],[Opening_Stock]]+Inventory_Data[[#This Row],[Units_Received]]-Inventory_Data[[#This Row],[Units_Sold]]</f>
        <v>191</v>
      </c>
      <c r="J417">
        <v>0</v>
      </c>
      <c r="K417">
        <v>3</v>
      </c>
      <c r="L417" t="s">
        <v>66</v>
      </c>
      <c r="M417" s="3">
        <v>5.12</v>
      </c>
      <c r="N417" s="3">
        <v>7.72</v>
      </c>
      <c r="O417" s="10" t="str">
        <f>TEXT(Inventory_Data[[#This Row],[Date]],"mmm")</f>
        <v>Mar</v>
      </c>
    </row>
    <row r="418" spans="1:15" x14ac:dyDescent="0.2">
      <c r="A418" s="21">
        <v>45733</v>
      </c>
      <c r="B418" s="5" t="s">
        <v>142</v>
      </c>
      <c r="C418" t="s">
        <v>143</v>
      </c>
      <c r="D418" t="s">
        <v>52</v>
      </c>
      <c r="E418" t="s">
        <v>17</v>
      </c>
      <c r="F418">
        <v>17</v>
      </c>
      <c r="G418">
        <v>9</v>
      </c>
      <c r="H418">
        <v>20</v>
      </c>
      <c r="I418">
        <f>Inventory_Data[[#This Row],[Opening_Stock]]+Inventory_Data[[#This Row],[Units_Received]]-Inventory_Data[[#This Row],[Units_Sold]]</f>
        <v>6</v>
      </c>
      <c r="J418">
        <v>0</v>
      </c>
      <c r="K418">
        <v>5</v>
      </c>
      <c r="L418" t="s">
        <v>83</v>
      </c>
      <c r="M418" s="3">
        <v>27.38</v>
      </c>
      <c r="N418" s="3">
        <v>31.77</v>
      </c>
      <c r="O418" s="10" t="str">
        <f>TEXT(Inventory_Data[[#This Row],[Date]],"mmm")</f>
        <v>Mar</v>
      </c>
    </row>
    <row r="419" spans="1:15" x14ac:dyDescent="0.2">
      <c r="A419" s="21">
        <v>45733</v>
      </c>
      <c r="B419" s="5" t="s">
        <v>37</v>
      </c>
      <c r="C419" t="s">
        <v>38</v>
      </c>
      <c r="D419" t="s">
        <v>34</v>
      </c>
      <c r="E419" t="s">
        <v>21</v>
      </c>
      <c r="F419">
        <v>366</v>
      </c>
      <c r="G419">
        <v>126</v>
      </c>
      <c r="H419">
        <v>133</v>
      </c>
      <c r="I419">
        <f>Inventory_Data[[#This Row],[Opening_Stock]]+Inventory_Data[[#This Row],[Units_Received]]-Inventory_Data[[#This Row],[Units_Sold]]</f>
        <v>359</v>
      </c>
      <c r="J419">
        <v>0</v>
      </c>
      <c r="K419">
        <v>7</v>
      </c>
      <c r="L419" t="s">
        <v>42</v>
      </c>
      <c r="M419" s="3">
        <v>2.5099999999999998</v>
      </c>
      <c r="N419" s="3">
        <v>3.77</v>
      </c>
      <c r="O419" s="10" t="str">
        <f>TEXT(Inventory_Data[[#This Row],[Date]],"mmm")</f>
        <v>Mar</v>
      </c>
    </row>
    <row r="420" spans="1:15" x14ac:dyDescent="0.2">
      <c r="A420" s="21">
        <v>45734</v>
      </c>
      <c r="B420" s="5" t="s">
        <v>178</v>
      </c>
      <c r="C420" t="s">
        <v>179</v>
      </c>
      <c r="D420" t="s">
        <v>16</v>
      </c>
      <c r="E420" t="s">
        <v>35</v>
      </c>
      <c r="F420">
        <v>43</v>
      </c>
      <c r="G420">
        <v>26</v>
      </c>
      <c r="H420">
        <v>44</v>
      </c>
      <c r="I420">
        <f>Inventory_Data[[#This Row],[Opening_Stock]]+Inventory_Data[[#This Row],[Units_Received]]-Inventory_Data[[#This Row],[Units_Sold]]</f>
        <v>25</v>
      </c>
      <c r="J420">
        <v>0</v>
      </c>
      <c r="K420">
        <v>11</v>
      </c>
      <c r="L420" t="s">
        <v>24</v>
      </c>
      <c r="M420" s="3">
        <v>34.159999999999997</v>
      </c>
      <c r="N420" s="3">
        <v>46.22</v>
      </c>
      <c r="O420" s="10" t="str">
        <f>TEXT(Inventory_Data[[#This Row],[Date]],"mmm")</f>
        <v>Mar</v>
      </c>
    </row>
    <row r="421" spans="1:15" x14ac:dyDescent="0.2">
      <c r="A421" s="21">
        <v>45734</v>
      </c>
      <c r="B421" s="5" t="s">
        <v>114</v>
      </c>
      <c r="C421" t="s">
        <v>115</v>
      </c>
      <c r="D421" t="s">
        <v>27</v>
      </c>
      <c r="E421" t="s">
        <v>17</v>
      </c>
      <c r="F421">
        <v>202</v>
      </c>
      <c r="G421">
        <v>212</v>
      </c>
      <c r="H421">
        <v>99</v>
      </c>
      <c r="I421">
        <f>Inventory_Data[[#This Row],[Opening_Stock]]+Inventory_Data[[#This Row],[Units_Received]]-Inventory_Data[[#This Row],[Units_Sold]]</f>
        <v>315</v>
      </c>
      <c r="J421">
        <v>0</v>
      </c>
      <c r="K421">
        <v>1</v>
      </c>
      <c r="L421" t="s">
        <v>80</v>
      </c>
      <c r="M421" s="3">
        <v>17.420000000000002</v>
      </c>
      <c r="N421" s="3">
        <v>26.93</v>
      </c>
      <c r="O421" s="10" t="str">
        <f>TEXT(Inventory_Data[[#This Row],[Date]],"mmm")</f>
        <v>Mar</v>
      </c>
    </row>
    <row r="422" spans="1:15" x14ac:dyDescent="0.2">
      <c r="A422" s="21">
        <v>45735</v>
      </c>
      <c r="B422" s="5" t="s">
        <v>106</v>
      </c>
      <c r="C422" t="s">
        <v>107</v>
      </c>
      <c r="D422" t="s">
        <v>16</v>
      </c>
      <c r="E422" t="s">
        <v>28</v>
      </c>
      <c r="F422">
        <v>159</v>
      </c>
      <c r="G422">
        <v>33</v>
      </c>
      <c r="H422">
        <v>38</v>
      </c>
      <c r="I422">
        <f>Inventory_Data[[#This Row],[Opening_Stock]]+Inventory_Data[[#This Row],[Units_Received]]-Inventory_Data[[#This Row],[Units_Sold]]</f>
        <v>154</v>
      </c>
      <c r="J422">
        <v>0</v>
      </c>
      <c r="K422">
        <v>6</v>
      </c>
      <c r="L422" t="s">
        <v>45</v>
      </c>
      <c r="M422" s="3">
        <v>38.229999999999997</v>
      </c>
      <c r="N422" s="3">
        <v>46.59</v>
      </c>
      <c r="O422" s="10" t="str">
        <f>TEXT(Inventory_Data[[#This Row],[Date]],"mmm")</f>
        <v>Mar</v>
      </c>
    </row>
    <row r="423" spans="1:15" x14ac:dyDescent="0.2">
      <c r="A423" s="21">
        <v>45735</v>
      </c>
      <c r="B423" s="5" t="s">
        <v>146</v>
      </c>
      <c r="C423" t="s">
        <v>147</v>
      </c>
      <c r="D423" t="s">
        <v>48</v>
      </c>
      <c r="E423" t="s">
        <v>28</v>
      </c>
      <c r="F423">
        <v>259</v>
      </c>
      <c r="G423">
        <v>140</v>
      </c>
      <c r="H423">
        <v>12</v>
      </c>
      <c r="I423">
        <f>Inventory_Data[[#This Row],[Opening_Stock]]+Inventory_Data[[#This Row],[Units_Received]]-Inventory_Data[[#This Row],[Units_Sold]]</f>
        <v>387</v>
      </c>
      <c r="J423">
        <v>0</v>
      </c>
      <c r="K423">
        <v>5</v>
      </c>
      <c r="L423" t="s">
        <v>63</v>
      </c>
      <c r="M423" s="3">
        <v>55.76</v>
      </c>
      <c r="N423" s="3">
        <v>66.95</v>
      </c>
      <c r="O423" s="10" t="str">
        <f>TEXT(Inventory_Data[[#This Row],[Date]],"mmm")</f>
        <v>Mar</v>
      </c>
    </row>
    <row r="424" spans="1:15" x14ac:dyDescent="0.2">
      <c r="A424" s="21">
        <v>45735</v>
      </c>
      <c r="B424" s="5" t="s">
        <v>172</v>
      </c>
      <c r="C424" t="s">
        <v>173</v>
      </c>
      <c r="D424" t="s">
        <v>27</v>
      </c>
      <c r="E424" t="s">
        <v>21</v>
      </c>
      <c r="F424">
        <v>334</v>
      </c>
      <c r="G424">
        <v>59</v>
      </c>
      <c r="H424">
        <v>77</v>
      </c>
      <c r="I424">
        <f>Inventory_Data[[#This Row],[Opening_Stock]]+Inventory_Data[[#This Row],[Units_Received]]-Inventory_Data[[#This Row],[Units_Sold]]</f>
        <v>316</v>
      </c>
      <c r="J424">
        <v>0</v>
      </c>
      <c r="K424">
        <v>1</v>
      </c>
      <c r="L424" t="s">
        <v>80</v>
      </c>
      <c r="M424" s="3">
        <v>20.53</v>
      </c>
      <c r="N424" s="3">
        <v>24.24</v>
      </c>
      <c r="O424" s="10" t="str">
        <f>TEXT(Inventory_Data[[#This Row],[Date]],"mmm")</f>
        <v>Mar</v>
      </c>
    </row>
    <row r="425" spans="1:15" x14ac:dyDescent="0.2">
      <c r="A425" s="21">
        <v>45735</v>
      </c>
      <c r="B425" s="5" t="s">
        <v>50</v>
      </c>
      <c r="C425" t="s">
        <v>51</v>
      </c>
      <c r="D425" t="s">
        <v>52</v>
      </c>
      <c r="E425" t="s">
        <v>17</v>
      </c>
      <c r="F425">
        <v>25</v>
      </c>
      <c r="G425">
        <v>25</v>
      </c>
      <c r="H425">
        <v>20</v>
      </c>
      <c r="I425">
        <f>Inventory_Data[[#This Row],[Opening_Stock]]+Inventory_Data[[#This Row],[Units_Received]]-Inventory_Data[[#This Row],[Units_Sold]]</f>
        <v>30</v>
      </c>
      <c r="J425">
        <v>0</v>
      </c>
      <c r="K425">
        <v>14</v>
      </c>
      <c r="L425" t="s">
        <v>56</v>
      </c>
      <c r="M425" s="3">
        <v>145.41</v>
      </c>
      <c r="N425" s="3">
        <v>200.31</v>
      </c>
      <c r="O425" s="10" t="str">
        <f>TEXT(Inventory_Data[[#This Row],[Date]],"mmm")</f>
        <v>Mar</v>
      </c>
    </row>
    <row r="426" spans="1:15" x14ac:dyDescent="0.2">
      <c r="A426" s="21">
        <v>45735</v>
      </c>
      <c r="B426" s="5" t="s">
        <v>182</v>
      </c>
      <c r="C426" t="s">
        <v>183</v>
      </c>
      <c r="D426" t="s">
        <v>52</v>
      </c>
      <c r="E426" t="s">
        <v>21</v>
      </c>
      <c r="F426">
        <v>45</v>
      </c>
      <c r="G426">
        <v>21</v>
      </c>
      <c r="H426">
        <v>13</v>
      </c>
      <c r="I426">
        <f>Inventory_Data[[#This Row],[Opening_Stock]]+Inventory_Data[[#This Row],[Units_Received]]-Inventory_Data[[#This Row],[Units_Sold]]</f>
        <v>53</v>
      </c>
      <c r="J426">
        <v>0</v>
      </c>
      <c r="K426">
        <v>7</v>
      </c>
      <c r="L426" t="s">
        <v>56</v>
      </c>
      <c r="M426" s="3">
        <v>155.37</v>
      </c>
      <c r="N426" s="3">
        <v>237.58</v>
      </c>
      <c r="O426" s="10" t="str">
        <f>TEXT(Inventory_Data[[#This Row],[Date]],"mmm")</f>
        <v>Mar</v>
      </c>
    </row>
    <row r="427" spans="1:15" x14ac:dyDescent="0.2">
      <c r="A427" s="21">
        <v>45735</v>
      </c>
      <c r="B427" s="5" t="s">
        <v>37</v>
      </c>
      <c r="C427" t="s">
        <v>38</v>
      </c>
      <c r="D427" t="s">
        <v>34</v>
      </c>
      <c r="E427" t="s">
        <v>35</v>
      </c>
      <c r="F427">
        <v>133</v>
      </c>
      <c r="G427">
        <v>70</v>
      </c>
      <c r="H427">
        <v>91</v>
      </c>
      <c r="I427">
        <f>Inventory_Data[[#This Row],[Opening_Stock]]+Inventory_Data[[#This Row],[Units_Received]]-Inventory_Data[[#This Row],[Units_Sold]]</f>
        <v>112</v>
      </c>
      <c r="J427">
        <v>0</v>
      </c>
      <c r="K427">
        <v>4</v>
      </c>
      <c r="L427" t="s">
        <v>36</v>
      </c>
      <c r="M427" s="3">
        <v>3.76</v>
      </c>
      <c r="N427" s="3">
        <v>4.41</v>
      </c>
      <c r="O427" s="10" t="str">
        <f>TEXT(Inventory_Data[[#This Row],[Date]],"mmm")</f>
        <v>Mar</v>
      </c>
    </row>
    <row r="428" spans="1:15" x14ac:dyDescent="0.2">
      <c r="A428" s="21">
        <v>45736</v>
      </c>
      <c r="B428" s="5" t="s">
        <v>122</v>
      </c>
      <c r="C428" t="s">
        <v>123</v>
      </c>
      <c r="D428" t="s">
        <v>27</v>
      </c>
      <c r="E428" t="s">
        <v>28</v>
      </c>
      <c r="F428">
        <v>107</v>
      </c>
      <c r="G428">
        <v>103</v>
      </c>
      <c r="H428">
        <v>90</v>
      </c>
      <c r="I428">
        <f>Inventory_Data[[#This Row],[Opening_Stock]]+Inventory_Data[[#This Row],[Units_Received]]-Inventory_Data[[#This Row],[Units_Sold]]</f>
        <v>120</v>
      </c>
      <c r="J428">
        <v>0</v>
      </c>
      <c r="K428">
        <v>2</v>
      </c>
      <c r="L428" t="s">
        <v>80</v>
      </c>
      <c r="M428" s="3">
        <v>7.34</v>
      </c>
      <c r="N428" s="3">
        <v>10.27</v>
      </c>
      <c r="O428" s="10" t="str">
        <f>TEXT(Inventory_Data[[#This Row],[Date]],"mmm")</f>
        <v>Mar</v>
      </c>
    </row>
    <row r="429" spans="1:15" x14ac:dyDescent="0.2">
      <c r="A429" s="21">
        <v>45736</v>
      </c>
      <c r="B429" s="5" t="s">
        <v>88</v>
      </c>
      <c r="C429" t="s">
        <v>89</v>
      </c>
      <c r="D429" t="s">
        <v>34</v>
      </c>
      <c r="E429" t="s">
        <v>28</v>
      </c>
      <c r="F429">
        <v>343</v>
      </c>
      <c r="G429">
        <v>109</v>
      </c>
      <c r="H429">
        <v>30</v>
      </c>
      <c r="I429">
        <f>Inventory_Data[[#This Row],[Opening_Stock]]+Inventory_Data[[#This Row],[Units_Received]]-Inventory_Data[[#This Row],[Units_Sold]]</f>
        <v>422</v>
      </c>
      <c r="J429">
        <v>0</v>
      </c>
      <c r="K429">
        <v>14</v>
      </c>
      <c r="L429" t="s">
        <v>36</v>
      </c>
      <c r="M429" s="3">
        <v>21.82</v>
      </c>
      <c r="N429" s="3">
        <v>31.03</v>
      </c>
      <c r="O429" s="10" t="str">
        <f>TEXT(Inventory_Data[[#This Row],[Date]],"mmm")</f>
        <v>Mar</v>
      </c>
    </row>
    <row r="430" spans="1:15" x14ac:dyDescent="0.2">
      <c r="A430" s="21">
        <v>45737</v>
      </c>
      <c r="B430" s="5" t="s">
        <v>132</v>
      </c>
      <c r="C430" t="s">
        <v>133</v>
      </c>
      <c r="D430" t="s">
        <v>16</v>
      </c>
      <c r="E430" t="s">
        <v>28</v>
      </c>
      <c r="F430">
        <v>61</v>
      </c>
      <c r="G430">
        <v>20</v>
      </c>
      <c r="H430">
        <v>20</v>
      </c>
      <c r="I430">
        <f>Inventory_Data[[#This Row],[Opening_Stock]]+Inventory_Data[[#This Row],[Units_Received]]-Inventory_Data[[#This Row],[Units_Sold]]</f>
        <v>61</v>
      </c>
      <c r="J430">
        <v>0</v>
      </c>
      <c r="K430">
        <v>14</v>
      </c>
      <c r="L430" t="s">
        <v>24</v>
      </c>
      <c r="M430" s="3">
        <v>50.81</v>
      </c>
      <c r="N430" s="3">
        <v>65.05</v>
      </c>
      <c r="O430" s="10" t="str">
        <f>TEXT(Inventory_Data[[#This Row],[Date]],"mmm")</f>
        <v>Mar</v>
      </c>
    </row>
    <row r="431" spans="1:15" x14ac:dyDescent="0.2">
      <c r="A431" s="21">
        <v>45737</v>
      </c>
      <c r="B431" s="5" t="s">
        <v>190</v>
      </c>
      <c r="C431" t="s">
        <v>191</v>
      </c>
      <c r="D431" t="s">
        <v>48</v>
      </c>
      <c r="E431" t="s">
        <v>21</v>
      </c>
      <c r="F431">
        <v>139</v>
      </c>
      <c r="G431">
        <v>57</v>
      </c>
      <c r="H431">
        <v>133</v>
      </c>
      <c r="I431">
        <f>Inventory_Data[[#This Row],[Opening_Stock]]+Inventory_Data[[#This Row],[Units_Received]]-Inventory_Data[[#This Row],[Units_Sold]]</f>
        <v>63</v>
      </c>
      <c r="J431">
        <v>0</v>
      </c>
      <c r="K431">
        <v>6</v>
      </c>
      <c r="L431" t="s">
        <v>63</v>
      </c>
      <c r="M431" s="3">
        <v>37.93</v>
      </c>
      <c r="N431" s="3">
        <v>57.34</v>
      </c>
      <c r="O431" s="10" t="str">
        <f>TEXT(Inventory_Data[[#This Row],[Date]],"mmm")</f>
        <v>Mar</v>
      </c>
    </row>
    <row r="432" spans="1:15" x14ac:dyDescent="0.2">
      <c r="A432" s="21">
        <v>45737</v>
      </c>
      <c r="B432" s="5" t="s">
        <v>98</v>
      </c>
      <c r="C432" t="s">
        <v>99</v>
      </c>
      <c r="D432" t="s">
        <v>27</v>
      </c>
      <c r="E432" t="s">
        <v>28</v>
      </c>
      <c r="F432">
        <v>433</v>
      </c>
      <c r="G432">
        <v>135</v>
      </c>
      <c r="H432">
        <v>208</v>
      </c>
      <c r="I432">
        <f>Inventory_Data[[#This Row],[Opening_Stock]]+Inventory_Data[[#This Row],[Units_Received]]-Inventory_Data[[#This Row],[Units_Sold]]</f>
        <v>360</v>
      </c>
      <c r="J432">
        <v>0</v>
      </c>
      <c r="K432">
        <v>6</v>
      </c>
      <c r="L432" t="s">
        <v>66</v>
      </c>
      <c r="M432" s="3">
        <v>22.96</v>
      </c>
      <c r="N432" s="3">
        <v>28.44</v>
      </c>
      <c r="O432" s="10" t="str">
        <f>TEXT(Inventory_Data[[#This Row],[Date]],"mmm")</f>
        <v>Mar</v>
      </c>
    </row>
    <row r="433" spans="1:15" x14ac:dyDescent="0.2">
      <c r="A433" s="21">
        <v>45737</v>
      </c>
      <c r="B433" s="5" t="s">
        <v>116</v>
      </c>
      <c r="C433" t="s">
        <v>117</v>
      </c>
      <c r="D433" t="s">
        <v>52</v>
      </c>
      <c r="E433" t="s">
        <v>28</v>
      </c>
      <c r="F433">
        <v>36</v>
      </c>
      <c r="G433">
        <v>2</v>
      </c>
      <c r="H433">
        <v>20</v>
      </c>
      <c r="I433">
        <f>Inventory_Data[[#This Row],[Opening_Stock]]+Inventory_Data[[#This Row],[Units_Received]]-Inventory_Data[[#This Row],[Units_Sold]]</f>
        <v>18</v>
      </c>
      <c r="J433">
        <v>0</v>
      </c>
      <c r="K433">
        <v>3</v>
      </c>
      <c r="L433" t="s">
        <v>56</v>
      </c>
      <c r="M433" s="3">
        <v>348.14</v>
      </c>
      <c r="N433" s="3">
        <v>477.73</v>
      </c>
      <c r="O433" s="10" t="str">
        <f>TEXT(Inventory_Data[[#This Row],[Date]],"mmm")</f>
        <v>Mar</v>
      </c>
    </row>
    <row r="434" spans="1:15" x14ac:dyDescent="0.2">
      <c r="A434" s="21">
        <v>45738</v>
      </c>
      <c r="B434" s="5" t="s">
        <v>192</v>
      </c>
      <c r="C434" t="s">
        <v>193</v>
      </c>
      <c r="D434" t="s">
        <v>48</v>
      </c>
      <c r="E434" t="s">
        <v>21</v>
      </c>
      <c r="F434">
        <v>185</v>
      </c>
      <c r="G434">
        <v>131</v>
      </c>
      <c r="H434">
        <v>36</v>
      </c>
      <c r="I434">
        <f>Inventory_Data[[#This Row],[Opening_Stock]]+Inventory_Data[[#This Row],[Units_Received]]-Inventory_Data[[#This Row],[Units_Sold]]</f>
        <v>280</v>
      </c>
      <c r="J434">
        <v>0</v>
      </c>
      <c r="K434">
        <v>13</v>
      </c>
      <c r="L434" t="s">
        <v>63</v>
      </c>
      <c r="M434" s="3">
        <v>78.8</v>
      </c>
      <c r="N434" s="3">
        <v>95.02</v>
      </c>
      <c r="O434" s="10" t="str">
        <f>TEXT(Inventory_Data[[#This Row],[Date]],"mmm")</f>
        <v>Mar</v>
      </c>
    </row>
    <row r="435" spans="1:15" x14ac:dyDescent="0.2">
      <c r="A435" s="21">
        <v>45738</v>
      </c>
      <c r="B435" s="5" t="s">
        <v>25</v>
      </c>
      <c r="C435" t="s">
        <v>26</v>
      </c>
      <c r="D435" t="s">
        <v>27</v>
      </c>
      <c r="E435" t="s">
        <v>35</v>
      </c>
      <c r="F435">
        <v>302</v>
      </c>
      <c r="G435">
        <v>109</v>
      </c>
      <c r="H435">
        <v>75</v>
      </c>
      <c r="I435">
        <f>Inventory_Data[[#This Row],[Opening_Stock]]+Inventory_Data[[#This Row],[Units_Received]]-Inventory_Data[[#This Row],[Units_Sold]]</f>
        <v>336</v>
      </c>
      <c r="J435">
        <v>0</v>
      </c>
      <c r="K435">
        <v>3</v>
      </c>
      <c r="L435" t="s">
        <v>80</v>
      </c>
      <c r="M435" s="3">
        <v>24.92</v>
      </c>
      <c r="N435" s="3">
        <v>32.33</v>
      </c>
      <c r="O435" s="10" t="str">
        <f>TEXT(Inventory_Data[[#This Row],[Date]],"mmm")</f>
        <v>Mar</v>
      </c>
    </row>
    <row r="436" spans="1:15" x14ac:dyDescent="0.2">
      <c r="A436" s="21">
        <v>45738</v>
      </c>
      <c r="B436" s="5" t="s">
        <v>50</v>
      </c>
      <c r="C436" t="s">
        <v>51</v>
      </c>
      <c r="D436" t="s">
        <v>52</v>
      </c>
      <c r="E436" t="s">
        <v>28</v>
      </c>
      <c r="F436">
        <v>44</v>
      </c>
      <c r="G436">
        <v>17</v>
      </c>
      <c r="H436">
        <v>15</v>
      </c>
      <c r="I436">
        <f>Inventory_Data[[#This Row],[Opening_Stock]]+Inventory_Data[[#This Row],[Units_Received]]-Inventory_Data[[#This Row],[Units_Sold]]</f>
        <v>46</v>
      </c>
      <c r="J436">
        <v>0</v>
      </c>
      <c r="K436">
        <v>12</v>
      </c>
      <c r="L436" t="s">
        <v>53</v>
      </c>
      <c r="M436" s="3">
        <v>332.11</v>
      </c>
      <c r="N436" s="3">
        <v>445.93</v>
      </c>
      <c r="O436" s="10" t="str">
        <f>TEXT(Inventory_Data[[#This Row],[Date]],"mmm")</f>
        <v>Mar</v>
      </c>
    </row>
    <row r="437" spans="1:15" x14ac:dyDescent="0.2">
      <c r="A437" s="21">
        <v>45738</v>
      </c>
      <c r="B437" s="5" t="s">
        <v>124</v>
      </c>
      <c r="C437" t="s">
        <v>125</v>
      </c>
      <c r="D437" t="s">
        <v>52</v>
      </c>
      <c r="E437" t="s">
        <v>21</v>
      </c>
      <c r="F437">
        <v>77</v>
      </c>
      <c r="G437">
        <v>16</v>
      </c>
      <c r="H437">
        <v>4</v>
      </c>
      <c r="I437">
        <f>Inventory_Data[[#This Row],[Opening_Stock]]+Inventory_Data[[#This Row],[Units_Received]]-Inventory_Data[[#This Row],[Units_Sold]]</f>
        <v>89</v>
      </c>
      <c r="J437">
        <v>0</v>
      </c>
      <c r="K437">
        <v>14</v>
      </c>
      <c r="L437" t="s">
        <v>53</v>
      </c>
      <c r="M437" s="3">
        <v>203.6</v>
      </c>
      <c r="N437" s="3">
        <v>312.8</v>
      </c>
      <c r="O437" s="10" t="str">
        <f>TEXT(Inventory_Data[[#This Row],[Date]],"mmm")</f>
        <v>Mar</v>
      </c>
    </row>
    <row r="438" spans="1:15" x14ac:dyDescent="0.2">
      <c r="A438" s="21">
        <v>45738</v>
      </c>
      <c r="B438" s="5" t="s">
        <v>32</v>
      </c>
      <c r="C438" t="s">
        <v>33</v>
      </c>
      <c r="D438" t="s">
        <v>34</v>
      </c>
      <c r="E438" t="s">
        <v>28</v>
      </c>
      <c r="F438">
        <v>83</v>
      </c>
      <c r="G438">
        <v>89</v>
      </c>
      <c r="H438">
        <v>125</v>
      </c>
      <c r="I438">
        <f>Inventory_Data[[#This Row],[Opening_Stock]]+Inventory_Data[[#This Row],[Units_Received]]-Inventory_Data[[#This Row],[Units_Sold]]</f>
        <v>47</v>
      </c>
      <c r="J438">
        <v>0</v>
      </c>
      <c r="K438">
        <v>3</v>
      </c>
      <c r="L438" t="s">
        <v>42</v>
      </c>
      <c r="M438" s="3">
        <v>24.36</v>
      </c>
      <c r="N438" s="3">
        <v>35.72</v>
      </c>
      <c r="O438" s="10" t="str">
        <f>TEXT(Inventory_Data[[#This Row],[Date]],"mmm")</f>
        <v>Mar</v>
      </c>
    </row>
    <row r="439" spans="1:15" x14ac:dyDescent="0.2">
      <c r="A439" s="21">
        <v>45738</v>
      </c>
      <c r="B439" s="5" t="s">
        <v>168</v>
      </c>
      <c r="C439" t="s">
        <v>169</v>
      </c>
      <c r="D439" t="s">
        <v>34</v>
      </c>
      <c r="E439" t="s">
        <v>17</v>
      </c>
      <c r="F439">
        <v>74</v>
      </c>
      <c r="G439">
        <v>98</v>
      </c>
      <c r="H439">
        <v>90</v>
      </c>
      <c r="I439">
        <f>Inventory_Data[[#This Row],[Opening_Stock]]+Inventory_Data[[#This Row],[Units_Received]]-Inventory_Data[[#This Row],[Units_Sold]]</f>
        <v>82</v>
      </c>
      <c r="J439">
        <v>0</v>
      </c>
      <c r="K439">
        <v>8</v>
      </c>
      <c r="L439" t="s">
        <v>39</v>
      </c>
      <c r="M439" s="3">
        <v>5.55</v>
      </c>
      <c r="N439" s="3">
        <v>7.33</v>
      </c>
      <c r="O439" s="10" t="str">
        <f>TEXT(Inventory_Data[[#This Row],[Date]],"mmm")</f>
        <v>Mar</v>
      </c>
    </row>
    <row r="440" spans="1:15" x14ac:dyDescent="0.2">
      <c r="A440" s="21">
        <v>45738</v>
      </c>
      <c r="B440" s="5" t="s">
        <v>196</v>
      </c>
      <c r="C440" t="s">
        <v>197</v>
      </c>
      <c r="D440" t="s">
        <v>34</v>
      </c>
      <c r="E440" t="s">
        <v>17</v>
      </c>
      <c r="F440">
        <v>185</v>
      </c>
      <c r="G440">
        <v>168</v>
      </c>
      <c r="H440">
        <v>63</v>
      </c>
      <c r="I440">
        <f>Inventory_Data[[#This Row],[Opening_Stock]]+Inventory_Data[[#This Row],[Units_Received]]-Inventory_Data[[#This Row],[Units_Sold]]</f>
        <v>290</v>
      </c>
      <c r="J440">
        <v>0</v>
      </c>
      <c r="K440">
        <v>2</v>
      </c>
      <c r="L440" t="s">
        <v>39</v>
      </c>
      <c r="M440" s="3">
        <v>20.64</v>
      </c>
      <c r="N440" s="3">
        <v>28.74</v>
      </c>
      <c r="O440" s="10" t="str">
        <f>TEXT(Inventory_Data[[#This Row],[Date]],"mmm")</f>
        <v>Mar</v>
      </c>
    </row>
    <row r="441" spans="1:15" x14ac:dyDescent="0.2">
      <c r="A441" s="21">
        <v>45739</v>
      </c>
      <c r="B441" s="5" t="s">
        <v>144</v>
      </c>
      <c r="C441" t="s">
        <v>145</v>
      </c>
      <c r="D441" t="s">
        <v>48</v>
      </c>
      <c r="E441" t="s">
        <v>28</v>
      </c>
      <c r="F441">
        <v>265</v>
      </c>
      <c r="G441">
        <v>44</v>
      </c>
      <c r="H441">
        <v>125</v>
      </c>
      <c r="I441">
        <f>Inventory_Data[[#This Row],[Opening_Stock]]+Inventory_Data[[#This Row],[Units_Received]]-Inventory_Data[[#This Row],[Units_Sold]]</f>
        <v>184</v>
      </c>
      <c r="J441">
        <v>0</v>
      </c>
      <c r="K441">
        <v>8</v>
      </c>
      <c r="L441" t="s">
        <v>77</v>
      </c>
      <c r="M441" s="3">
        <v>40.369999999999997</v>
      </c>
      <c r="N441" s="3">
        <v>61.82</v>
      </c>
      <c r="O441" s="10" t="str">
        <f>TEXT(Inventory_Data[[#This Row],[Date]],"mmm")</f>
        <v>Mar</v>
      </c>
    </row>
    <row r="442" spans="1:15" x14ac:dyDescent="0.2">
      <c r="A442" s="21">
        <v>45739</v>
      </c>
      <c r="B442" s="5" t="s">
        <v>75</v>
      </c>
      <c r="C442" t="s">
        <v>76</v>
      </c>
      <c r="D442" t="s">
        <v>48</v>
      </c>
      <c r="E442" t="s">
        <v>28</v>
      </c>
      <c r="F442">
        <v>229</v>
      </c>
      <c r="G442">
        <v>103</v>
      </c>
      <c r="H442">
        <v>106</v>
      </c>
      <c r="I442">
        <f>Inventory_Data[[#This Row],[Opening_Stock]]+Inventory_Data[[#This Row],[Units_Received]]-Inventory_Data[[#This Row],[Units_Sold]]</f>
        <v>226</v>
      </c>
      <c r="J442">
        <v>0</v>
      </c>
      <c r="K442">
        <v>11</v>
      </c>
      <c r="L442" t="s">
        <v>49</v>
      </c>
      <c r="M442" s="3">
        <v>69.67</v>
      </c>
      <c r="N442" s="3">
        <v>82.33</v>
      </c>
      <c r="O442" s="10" t="str">
        <f>TEXT(Inventory_Data[[#This Row],[Date]],"mmm")</f>
        <v>Mar</v>
      </c>
    </row>
    <row r="443" spans="1:15" x14ac:dyDescent="0.2">
      <c r="A443" s="21">
        <v>45739</v>
      </c>
      <c r="B443" s="5" t="s">
        <v>25</v>
      </c>
      <c r="C443" t="s">
        <v>26</v>
      </c>
      <c r="D443" t="s">
        <v>27</v>
      </c>
      <c r="E443" t="s">
        <v>21</v>
      </c>
      <c r="F443">
        <v>251</v>
      </c>
      <c r="G443">
        <v>99</v>
      </c>
      <c r="H443">
        <v>194</v>
      </c>
      <c r="I443">
        <f>Inventory_Data[[#This Row],[Opening_Stock]]+Inventory_Data[[#This Row],[Units_Received]]-Inventory_Data[[#This Row],[Units_Sold]]</f>
        <v>156</v>
      </c>
      <c r="J443">
        <v>0</v>
      </c>
      <c r="K443">
        <v>7</v>
      </c>
      <c r="L443" t="s">
        <v>80</v>
      </c>
      <c r="M443" s="3">
        <v>13.25</v>
      </c>
      <c r="N443" s="3">
        <v>17.05</v>
      </c>
      <c r="O443" s="10" t="str">
        <f>TEXT(Inventory_Data[[#This Row],[Date]],"mmm")</f>
        <v>Mar</v>
      </c>
    </row>
    <row r="444" spans="1:15" x14ac:dyDescent="0.2">
      <c r="A444" s="21">
        <v>45739</v>
      </c>
      <c r="B444" s="5" t="s">
        <v>81</v>
      </c>
      <c r="C444" t="s">
        <v>82</v>
      </c>
      <c r="D444" t="s">
        <v>52</v>
      </c>
      <c r="E444" t="s">
        <v>21</v>
      </c>
      <c r="F444">
        <v>30</v>
      </c>
      <c r="G444">
        <v>16</v>
      </c>
      <c r="H444">
        <v>19</v>
      </c>
      <c r="I444">
        <f>Inventory_Data[[#This Row],[Opening_Stock]]+Inventory_Data[[#This Row],[Units_Received]]-Inventory_Data[[#This Row],[Units_Sold]]</f>
        <v>27</v>
      </c>
      <c r="J444">
        <v>0</v>
      </c>
      <c r="K444">
        <v>10</v>
      </c>
      <c r="L444" t="s">
        <v>56</v>
      </c>
      <c r="M444" s="3">
        <v>266.02</v>
      </c>
      <c r="N444" s="3">
        <v>347.04</v>
      </c>
      <c r="O444" s="10" t="str">
        <f>TEXT(Inventory_Data[[#This Row],[Date]],"mmm")</f>
        <v>Mar</v>
      </c>
    </row>
    <row r="445" spans="1:15" x14ac:dyDescent="0.2">
      <c r="A445" s="21">
        <v>45739</v>
      </c>
      <c r="B445" s="5" t="s">
        <v>126</v>
      </c>
      <c r="C445" t="s">
        <v>127</v>
      </c>
      <c r="D445" t="s">
        <v>34</v>
      </c>
      <c r="E445" t="s">
        <v>21</v>
      </c>
      <c r="F445">
        <v>104</v>
      </c>
      <c r="G445">
        <v>111</v>
      </c>
      <c r="H445">
        <v>31</v>
      </c>
      <c r="I445">
        <f>Inventory_Data[[#This Row],[Opening_Stock]]+Inventory_Data[[#This Row],[Units_Received]]-Inventory_Data[[#This Row],[Units_Sold]]</f>
        <v>184</v>
      </c>
      <c r="J445">
        <v>0</v>
      </c>
      <c r="K445">
        <v>10</v>
      </c>
      <c r="L445" t="s">
        <v>36</v>
      </c>
      <c r="M445" s="3">
        <v>26.82</v>
      </c>
      <c r="N445" s="3">
        <v>32.08</v>
      </c>
      <c r="O445" s="10" t="str">
        <f>TEXT(Inventory_Data[[#This Row],[Date]],"mmm")</f>
        <v>Mar</v>
      </c>
    </row>
    <row r="446" spans="1:15" x14ac:dyDescent="0.2">
      <c r="A446" s="21">
        <v>45740</v>
      </c>
      <c r="B446" s="5" t="s">
        <v>81</v>
      </c>
      <c r="C446" t="s">
        <v>82</v>
      </c>
      <c r="D446" t="s">
        <v>52</v>
      </c>
      <c r="E446" t="s">
        <v>17</v>
      </c>
      <c r="F446">
        <v>61</v>
      </c>
      <c r="G446">
        <v>18</v>
      </c>
      <c r="H446">
        <v>11</v>
      </c>
      <c r="I446">
        <f>Inventory_Data[[#This Row],[Opening_Stock]]+Inventory_Data[[#This Row],[Units_Received]]-Inventory_Data[[#This Row],[Units_Sold]]</f>
        <v>68</v>
      </c>
      <c r="J446">
        <v>0</v>
      </c>
      <c r="K446">
        <v>3</v>
      </c>
      <c r="L446" t="s">
        <v>83</v>
      </c>
      <c r="M446" s="3">
        <v>340.27</v>
      </c>
      <c r="N446" s="3">
        <v>509.05</v>
      </c>
      <c r="O446" s="10" t="str">
        <f>TEXT(Inventory_Data[[#This Row],[Date]],"mmm")</f>
        <v>Mar</v>
      </c>
    </row>
    <row r="447" spans="1:15" x14ac:dyDescent="0.2">
      <c r="A447" s="21">
        <v>45740</v>
      </c>
      <c r="B447" s="5" t="s">
        <v>102</v>
      </c>
      <c r="C447" t="s">
        <v>103</v>
      </c>
      <c r="D447" t="s">
        <v>52</v>
      </c>
      <c r="E447" t="s">
        <v>28</v>
      </c>
      <c r="F447">
        <v>14</v>
      </c>
      <c r="G447">
        <v>14</v>
      </c>
      <c r="H447">
        <v>19</v>
      </c>
      <c r="I447">
        <f>Inventory_Data[[#This Row],[Opening_Stock]]+Inventory_Data[[#This Row],[Units_Received]]-Inventory_Data[[#This Row],[Units_Sold]]</f>
        <v>9</v>
      </c>
      <c r="J447">
        <v>0</v>
      </c>
      <c r="K447">
        <v>13</v>
      </c>
      <c r="L447" t="s">
        <v>53</v>
      </c>
      <c r="M447" s="3">
        <v>222.53</v>
      </c>
      <c r="N447" s="3">
        <v>263.37</v>
      </c>
      <c r="O447" s="10" t="str">
        <f>TEXT(Inventory_Data[[#This Row],[Date]],"mmm")</f>
        <v>Mar</v>
      </c>
    </row>
    <row r="448" spans="1:15" x14ac:dyDescent="0.2">
      <c r="A448" s="21">
        <v>45741</v>
      </c>
      <c r="B448" s="5" t="s">
        <v>132</v>
      </c>
      <c r="C448" t="s">
        <v>133</v>
      </c>
      <c r="D448" t="s">
        <v>16</v>
      </c>
      <c r="E448" t="s">
        <v>17</v>
      </c>
      <c r="F448">
        <v>88</v>
      </c>
      <c r="G448">
        <v>84</v>
      </c>
      <c r="H448">
        <v>78</v>
      </c>
      <c r="I448">
        <f>Inventory_Data[[#This Row],[Opening_Stock]]+Inventory_Data[[#This Row],[Units_Received]]-Inventory_Data[[#This Row],[Units_Sold]]</f>
        <v>94</v>
      </c>
      <c r="J448">
        <v>0</v>
      </c>
      <c r="K448">
        <v>12</v>
      </c>
      <c r="L448" t="s">
        <v>45</v>
      </c>
      <c r="M448" s="3">
        <v>185.48</v>
      </c>
      <c r="N448" s="3">
        <v>282.49</v>
      </c>
      <c r="O448" s="10" t="str">
        <f>TEXT(Inventory_Data[[#This Row],[Date]],"mmm")</f>
        <v>Mar</v>
      </c>
    </row>
    <row r="449" spans="1:15" x14ac:dyDescent="0.2">
      <c r="A449" s="21">
        <v>45741</v>
      </c>
      <c r="B449" s="5" t="s">
        <v>184</v>
      </c>
      <c r="C449" t="s">
        <v>185</v>
      </c>
      <c r="D449" t="s">
        <v>16</v>
      </c>
      <c r="E449" t="s">
        <v>28</v>
      </c>
      <c r="F449">
        <v>100</v>
      </c>
      <c r="G449">
        <v>51</v>
      </c>
      <c r="H449">
        <v>80</v>
      </c>
      <c r="I449">
        <f>Inventory_Data[[#This Row],[Opening_Stock]]+Inventory_Data[[#This Row],[Units_Received]]-Inventory_Data[[#This Row],[Units_Sold]]</f>
        <v>71</v>
      </c>
      <c r="J449">
        <v>0</v>
      </c>
      <c r="K449">
        <v>12</v>
      </c>
      <c r="L449" t="s">
        <v>18</v>
      </c>
      <c r="M449" s="3">
        <v>82.55</v>
      </c>
      <c r="N449" s="3">
        <v>109.48</v>
      </c>
      <c r="O449" s="10" t="str">
        <f>TEXT(Inventory_Data[[#This Row],[Date]],"mmm")</f>
        <v>Mar</v>
      </c>
    </row>
    <row r="450" spans="1:15" x14ac:dyDescent="0.2">
      <c r="A450" s="21">
        <v>45741</v>
      </c>
      <c r="B450" s="5" t="s">
        <v>84</v>
      </c>
      <c r="C450" t="s">
        <v>85</v>
      </c>
      <c r="D450" t="s">
        <v>48</v>
      </c>
      <c r="E450" t="s">
        <v>21</v>
      </c>
      <c r="F450">
        <v>74</v>
      </c>
      <c r="G450">
        <v>99</v>
      </c>
      <c r="H450">
        <v>89</v>
      </c>
      <c r="I450">
        <f>Inventory_Data[[#This Row],[Opening_Stock]]+Inventory_Data[[#This Row],[Units_Received]]-Inventory_Data[[#This Row],[Units_Sold]]</f>
        <v>84</v>
      </c>
      <c r="J450">
        <v>0</v>
      </c>
      <c r="K450">
        <v>6</v>
      </c>
      <c r="L450" t="s">
        <v>63</v>
      </c>
      <c r="M450" s="3">
        <v>21.81</v>
      </c>
      <c r="N450" s="3">
        <v>31.72</v>
      </c>
      <c r="O450" s="10" t="str">
        <f>TEXT(Inventory_Data[[#This Row],[Date]],"mmm")</f>
        <v>Mar</v>
      </c>
    </row>
    <row r="451" spans="1:15" x14ac:dyDescent="0.2">
      <c r="A451" s="21">
        <v>45741</v>
      </c>
      <c r="B451" s="5" t="s">
        <v>30</v>
      </c>
      <c r="C451" t="s">
        <v>31</v>
      </c>
      <c r="D451" t="s">
        <v>27</v>
      </c>
      <c r="E451" t="s">
        <v>35</v>
      </c>
      <c r="F451">
        <v>419</v>
      </c>
      <c r="G451">
        <v>109</v>
      </c>
      <c r="H451">
        <v>27</v>
      </c>
      <c r="I451">
        <f>Inventory_Data[[#This Row],[Opening_Stock]]+Inventory_Data[[#This Row],[Units_Received]]-Inventory_Data[[#This Row],[Units_Sold]]</f>
        <v>501</v>
      </c>
      <c r="J451">
        <v>0</v>
      </c>
      <c r="K451">
        <v>5</v>
      </c>
      <c r="L451" t="s">
        <v>66</v>
      </c>
      <c r="M451" s="3">
        <v>17.98</v>
      </c>
      <c r="N451" s="3">
        <v>23.3</v>
      </c>
      <c r="O451" s="10" t="str">
        <f>TEXT(Inventory_Data[[#This Row],[Date]],"mmm")</f>
        <v>Mar</v>
      </c>
    </row>
    <row r="452" spans="1:15" x14ac:dyDescent="0.2">
      <c r="A452" s="21">
        <v>45741</v>
      </c>
      <c r="B452" s="5" t="s">
        <v>134</v>
      </c>
      <c r="C452" t="s">
        <v>135</v>
      </c>
      <c r="D452" t="s">
        <v>27</v>
      </c>
      <c r="E452" t="s">
        <v>35</v>
      </c>
      <c r="F452">
        <v>163</v>
      </c>
      <c r="G452">
        <v>70</v>
      </c>
      <c r="H452">
        <v>180</v>
      </c>
      <c r="I452">
        <f>Inventory_Data[[#This Row],[Opening_Stock]]+Inventory_Data[[#This Row],[Units_Received]]-Inventory_Data[[#This Row],[Units_Sold]]</f>
        <v>53</v>
      </c>
      <c r="J452">
        <v>0</v>
      </c>
      <c r="K452">
        <v>4</v>
      </c>
      <c r="L452" t="s">
        <v>80</v>
      </c>
      <c r="M452" s="3">
        <v>24.79</v>
      </c>
      <c r="N452" s="3">
        <v>33.19</v>
      </c>
      <c r="O452" s="10" t="str">
        <f>TEXT(Inventory_Data[[#This Row],[Date]],"mmm")</f>
        <v>Mar</v>
      </c>
    </row>
    <row r="453" spans="1:15" x14ac:dyDescent="0.2">
      <c r="A453" s="21">
        <v>45741</v>
      </c>
      <c r="B453" s="5" t="s">
        <v>102</v>
      </c>
      <c r="C453" t="s">
        <v>103</v>
      </c>
      <c r="D453" t="s">
        <v>52</v>
      </c>
      <c r="E453" t="s">
        <v>35</v>
      </c>
      <c r="F453">
        <v>65</v>
      </c>
      <c r="G453">
        <v>7</v>
      </c>
      <c r="H453">
        <v>14</v>
      </c>
      <c r="I453">
        <f>Inventory_Data[[#This Row],[Opening_Stock]]+Inventory_Data[[#This Row],[Units_Received]]-Inventory_Data[[#This Row],[Units_Sold]]</f>
        <v>58</v>
      </c>
      <c r="J453">
        <v>0</v>
      </c>
      <c r="K453">
        <v>11</v>
      </c>
      <c r="L453" t="s">
        <v>83</v>
      </c>
      <c r="M453" s="3">
        <v>82.54</v>
      </c>
      <c r="N453" s="3">
        <v>95.86</v>
      </c>
      <c r="O453" s="10" t="str">
        <f>TEXT(Inventory_Data[[#This Row],[Date]],"mmm")</f>
        <v>Mar</v>
      </c>
    </row>
    <row r="454" spans="1:15" x14ac:dyDescent="0.2">
      <c r="A454" s="21">
        <v>45741</v>
      </c>
      <c r="B454" s="5" t="s">
        <v>176</v>
      </c>
      <c r="C454" t="s">
        <v>177</v>
      </c>
      <c r="D454" t="s">
        <v>34</v>
      </c>
      <c r="E454" t="s">
        <v>35</v>
      </c>
      <c r="F454">
        <v>252</v>
      </c>
      <c r="G454">
        <v>106</v>
      </c>
      <c r="H454">
        <v>64</v>
      </c>
      <c r="I454">
        <f>Inventory_Data[[#This Row],[Opening_Stock]]+Inventory_Data[[#This Row],[Units_Received]]-Inventory_Data[[#This Row],[Units_Sold]]</f>
        <v>294</v>
      </c>
      <c r="J454">
        <v>0</v>
      </c>
      <c r="K454">
        <v>3</v>
      </c>
      <c r="L454" t="s">
        <v>42</v>
      </c>
      <c r="M454" s="3">
        <v>13.1</v>
      </c>
      <c r="N454" s="3">
        <v>20.11</v>
      </c>
      <c r="O454" s="10" t="str">
        <f>TEXT(Inventory_Data[[#This Row],[Date]],"mmm")</f>
        <v>Mar</v>
      </c>
    </row>
    <row r="455" spans="1:15" x14ac:dyDescent="0.2">
      <c r="A455" s="21">
        <v>45741</v>
      </c>
      <c r="B455" s="5" t="s">
        <v>37</v>
      </c>
      <c r="C455" t="s">
        <v>38</v>
      </c>
      <c r="D455" t="s">
        <v>34</v>
      </c>
      <c r="E455" t="s">
        <v>28</v>
      </c>
      <c r="F455">
        <v>266</v>
      </c>
      <c r="G455">
        <v>203</v>
      </c>
      <c r="H455">
        <v>23</v>
      </c>
      <c r="I455">
        <f>Inventory_Data[[#This Row],[Opening_Stock]]+Inventory_Data[[#This Row],[Units_Received]]-Inventory_Data[[#This Row],[Units_Sold]]</f>
        <v>446</v>
      </c>
      <c r="J455">
        <v>0</v>
      </c>
      <c r="K455">
        <v>14</v>
      </c>
      <c r="L455" t="s">
        <v>39</v>
      </c>
      <c r="M455" s="3">
        <v>21.83</v>
      </c>
      <c r="N455" s="3">
        <v>28.53</v>
      </c>
      <c r="O455" s="10" t="str">
        <f>TEXT(Inventory_Data[[#This Row],[Date]],"mmm")</f>
        <v>Mar</v>
      </c>
    </row>
    <row r="456" spans="1:15" x14ac:dyDescent="0.2">
      <c r="A456" s="21">
        <v>45742</v>
      </c>
      <c r="B456" s="5" t="s">
        <v>92</v>
      </c>
      <c r="C456" t="s">
        <v>93</v>
      </c>
      <c r="D456" t="s">
        <v>27</v>
      </c>
      <c r="E456" t="s">
        <v>17</v>
      </c>
      <c r="F456">
        <v>97</v>
      </c>
      <c r="G456">
        <v>109</v>
      </c>
      <c r="H456">
        <v>101</v>
      </c>
      <c r="I456">
        <f>Inventory_Data[[#This Row],[Opening_Stock]]+Inventory_Data[[#This Row],[Units_Received]]-Inventory_Data[[#This Row],[Units_Sold]]</f>
        <v>105</v>
      </c>
      <c r="J456">
        <v>0</v>
      </c>
      <c r="K456">
        <v>4</v>
      </c>
      <c r="L456" t="s">
        <v>66</v>
      </c>
      <c r="M456" s="3">
        <v>2.33</v>
      </c>
      <c r="N456" s="3">
        <v>2.75</v>
      </c>
      <c r="O456" s="10" t="str">
        <f>TEXT(Inventory_Data[[#This Row],[Date]],"mmm")</f>
        <v>Mar</v>
      </c>
    </row>
    <row r="457" spans="1:15" x14ac:dyDescent="0.2">
      <c r="A457" s="21">
        <v>45742</v>
      </c>
      <c r="B457" s="5" t="s">
        <v>188</v>
      </c>
      <c r="C457" t="s">
        <v>189</v>
      </c>
      <c r="D457" t="s">
        <v>27</v>
      </c>
      <c r="E457" t="s">
        <v>17</v>
      </c>
      <c r="F457">
        <v>429</v>
      </c>
      <c r="G457">
        <v>58</v>
      </c>
      <c r="H457">
        <v>205</v>
      </c>
      <c r="I457">
        <f>Inventory_Data[[#This Row],[Opening_Stock]]+Inventory_Data[[#This Row],[Units_Received]]-Inventory_Data[[#This Row],[Units_Sold]]</f>
        <v>282</v>
      </c>
      <c r="J457">
        <v>0</v>
      </c>
      <c r="K457">
        <v>7</v>
      </c>
      <c r="L457" t="s">
        <v>29</v>
      </c>
      <c r="M457" s="3">
        <v>8.1</v>
      </c>
      <c r="N457" s="3">
        <v>9.8699999999999992</v>
      </c>
      <c r="O457" s="10" t="str">
        <f>TEXT(Inventory_Data[[#This Row],[Date]],"mmm")</f>
        <v>Mar</v>
      </c>
    </row>
    <row r="458" spans="1:15" x14ac:dyDescent="0.2">
      <c r="A458" s="21">
        <v>45743</v>
      </c>
      <c r="B458" s="5" t="s">
        <v>94</v>
      </c>
      <c r="C458" t="s">
        <v>95</v>
      </c>
      <c r="D458" t="s">
        <v>16</v>
      </c>
      <c r="E458" t="s">
        <v>28</v>
      </c>
      <c r="F458">
        <v>33</v>
      </c>
      <c r="G458">
        <v>75</v>
      </c>
      <c r="H458">
        <v>33</v>
      </c>
      <c r="I458">
        <f>Inventory_Data[[#This Row],[Opening_Stock]]+Inventory_Data[[#This Row],[Units_Received]]-Inventory_Data[[#This Row],[Units_Sold]]</f>
        <v>75</v>
      </c>
      <c r="J458">
        <v>0</v>
      </c>
      <c r="K458">
        <v>5</v>
      </c>
      <c r="L458" t="s">
        <v>45</v>
      </c>
      <c r="M458" s="3">
        <v>181.87</v>
      </c>
      <c r="N458" s="3">
        <v>265.67</v>
      </c>
      <c r="O458" s="10" t="str">
        <f>TEXT(Inventory_Data[[#This Row],[Date]],"mmm")</f>
        <v>Mar</v>
      </c>
    </row>
    <row r="459" spans="1:15" x14ac:dyDescent="0.2">
      <c r="A459" s="21">
        <v>45743</v>
      </c>
      <c r="B459" s="5" t="s">
        <v>146</v>
      </c>
      <c r="C459" t="s">
        <v>147</v>
      </c>
      <c r="D459" t="s">
        <v>48</v>
      </c>
      <c r="E459" t="s">
        <v>35</v>
      </c>
      <c r="F459">
        <v>231</v>
      </c>
      <c r="G459">
        <v>73</v>
      </c>
      <c r="H459">
        <v>124</v>
      </c>
      <c r="I459">
        <f>Inventory_Data[[#This Row],[Opening_Stock]]+Inventory_Data[[#This Row],[Units_Received]]-Inventory_Data[[#This Row],[Units_Sold]]</f>
        <v>180</v>
      </c>
      <c r="J459">
        <v>0</v>
      </c>
      <c r="K459">
        <v>12</v>
      </c>
      <c r="L459" t="s">
        <v>49</v>
      </c>
      <c r="M459" s="3">
        <v>31.99</v>
      </c>
      <c r="N459" s="3">
        <v>41.04</v>
      </c>
      <c r="O459" s="10" t="str">
        <f>TEXT(Inventory_Data[[#This Row],[Date]],"mmm")</f>
        <v>Mar</v>
      </c>
    </row>
    <row r="460" spans="1:15" x14ac:dyDescent="0.2">
      <c r="A460" s="21">
        <v>45743</v>
      </c>
      <c r="B460" s="5" t="s">
        <v>96</v>
      </c>
      <c r="C460" t="s">
        <v>97</v>
      </c>
      <c r="D460" t="s">
        <v>48</v>
      </c>
      <c r="E460" t="s">
        <v>35</v>
      </c>
      <c r="F460">
        <v>69</v>
      </c>
      <c r="G460">
        <v>29</v>
      </c>
      <c r="H460">
        <v>81</v>
      </c>
      <c r="I460">
        <f>Inventory_Data[[#This Row],[Opening_Stock]]+Inventory_Data[[#This Row],[Units_Received]]-Inventory_Data[[#This Row],[Units_Sold]]</f>
        <v>17</v>
      </c>
      <c r="J460">
        <v>0</v>
      </c>
      <c r="K460">
        <v>13</v>
      </c>
      <c r="L460" t="s">
        <v>77</v>
      </c>
      <c r="M460" s="3">
        <v>47.99</v>
      </c>
      <c r="N460" s="3">
        <v>67.290000000000006</v>
      </c>
      <c r="O460" s="10" t="str">
        <f>TEXT(Inventory_Data[[#This Row],[Date]],"mmm")</f>
        <v>Mar</v>
      </c>
    </row>
    <row r="461" spans="1:15" x14ac:dyDescent="0.2">
      <c r="A461" s="21">
        <v>45743</v>
      </c>
      <c r="B461" s="5" t="s">
        <v>182</v>
      </c>
      <c r="C461" t="s">
        <v>183</v>
      </c>
      <c r="D461" t="s">
        <v>52</v>
      </c>
      <c r="E461" t="s">
        <v>21</v>
      </c>
      <c r="F461">
        <v>48</v>
      </c>
      <c r="G461">
        <v>22</v>
      </c>
      <c r="H461">
        <v>1</v>
      </c>
      <c r="I461">
        <f>Inventory_Data[[#This Row],[Opening_Stock]]+Inventory_Data[[#This Row],[Units_Received]]-Inventory_Data[[#This Row],[Units_Sold]]</f>
        <v>69</v>
      </c>
      <c r="J461">
        <v>0</v>
      </c>
      <c r="K461">
        <v>5</v>
      </c>
      <c r="L461" t="s">
        <v>53</v>
      </c>
      <c r="M461" s="3">
        <v>114.18</v>
      </c>
      <c r="N461" s="3">
        <v>149.58000000000001</v>
      </c>
      <c r="O461" s="10" t="str">
        <f>TEXT(Inventory_Data[[#This Row],[Date]],"mmm")</f>
        <v>Mar</v>
      </c>
    </row>
    <row r="462" spans="1:15" x14ac:dyDescent="0.2">
      <c r="A462" s="21">
        <v>45743</v>
      </c>
      <c r="B462" s="5" t="s">
        <v>100</v>
      </c>
      <c r="C462" t="s">
        <v>101</v>
      </c>
      <c r="D462" t="s">
        <v>52</v>
      </c>
      <c r="E462" t="s">
        <v>21</v>
      </c>
      <c r="F462">
        <v>59</v>
      </c>
      <c r="G462">
        <v>14</v>
      </c>
      <c r="H462">
        <v>9</v>
      </c>
      <c r="I462">
        <f>Inventory_Data[[#This Row],[Opening_Stock]]+Inventory_Data[[#This Row],[Units_Received]]-Inventory_Data[[#This Row],[Units_Sold]]</f>
        <v>64</v>
      </c>
      <c r="J462">
        <v>0</v>
      </c>
      <c r="K462">
        <v>11</v>
      </c>
      <c r="L462" t="s">
        <v>53</v>
      </c>
      <c r="M462" s="3">
        <v>277.85000000000002</v>
      </c>
      <c r="N462" s="3">
        <v>344.03</v>
      </c>
      <c r="O462" s="10" t="str">
        <f>TEXT(Inventory_Data[[#This Row],[Date]],"mmm")</f>
        <v>Mar</v>
      </c>
    </row>
    <row r="463" spans="1:15" x14ac:dyDescent="0.2">
      <c r="A463" s="21">
        <v>45743</v>
      </c>
      <c r="B463" s="5" t="s">
        <v>59</v>
      </c>
      <c r="C463" t="s">
        <v>60</v>
      </c>
      <c r="D463" t="s">
        <v>34</v>
      </c>
      <c r="E463" t="s">
        <v>28</v>
      </c>
      <c r="F463">
        <v>348</v>
      </c>
      <c r="G463">
        <v>154</v>
      </c>
      <c r="H463">
        <v>30</v>
      </c>
      <c r="I463">
        <f>Inventory_Data[[#This Row],[Opening_Stock]]+Inventory_Data[[#This Row],[Units_Received]]-Inventory_Data[[#This Row],[Units_Sold]]</f>
        <v>472</v>
      </c>
      <c r="J463">
        <v>0</v>
      </c>
      <c r="K463">
        <v>3</v>
      </c>
      <c r="L463" t="s">
        <v>36</v>
      </c>
      <c r="M463" s="3">
        <v>10.43</v>
      </c>
      <c r="N463" s="3">
        <v>14.86</v>
      </c>
      <c r="O463" s="10" t="str">
        <f>TEXT(Inventory_Data[[#This Row],[Date]],"mmm")</f>
        <v>Mar</v>
      </c>
    </row>
    <row r="464" spans="1:15" x14ac:dyDescent="0.2">
      <c r="A464" s="21">
        <v>45744</v>
      </c>
      <c r="B464" s="5" t="s">
        <v>75</v>
      </c>
      <c r="C464" t="s">
        <v>76</v>
      </c>
      <c r="D464" t="s">
        <v>48</v>
      </c>
      <c r="E464" t="s">
        <v>17</v>
      </c>
      <c r="F464">
        <v>219</v>
      </c>
      <c r="G464">
        <v>71</v>
      </c>
      <c r="H464">
        <v>33</v>
      </c>
      <c r="I464">
        <f>Inventory_Data[[#This Row],[Opening_Stock]]+Inventory_Data[[#This Row],[Units_Received]]-Inventory_Data[[#This Row],[Units_Sold]]</f>
        <v>257</v>
      </c>
      <c r="J464">
        <v>0</v>
      </c>
      <c r="K464">
        <v>11</v>
      </c>
      <c r="L464" t="s">
        <v>77</v>
      </c>
      <c r="M464" s="3">
        <v>67.91</v>
      </c>
      <c r="N464" s="3">
        <v>100.71</v>
      </c>
      <c r="O464" s="10" t="str">
        <f>TEXT(Inventory_Data[[#This Row],[Date]],"mmm")</f>
        <v>Mar</v>
      </c>
    </row>
    <row r="465" spans="1:15" x14ac:dyDescent="0.2">
      <c r="A465" s="21">
        <v>45744</v>
      </c>
      <c r="B465" s="5" t="s">
        <v>61</v>
      </c>
      <c r="C465" t="s">
        <v>62</v>
      </c>
      <c r="D465" t="s">
        <v>48</v>
      </c>
      <c r="E465" t="s">
        <v>28</v>
      </c>
      <c r="F465">
        <v>70</v>
      </c>
      <c r="G465">
        <v>144</v>
      </c>
      <c r="H465">
        <v>21</v>
      </c>
      <c r="I465">
        <f>Inventory_Data[[#This Row],[Opening_Stock]]+Inventory_Data[[#This Row],[Units_Received]]-Inventory_Data[[#This Row],[Units_Sold]]</f>
        <v>193</v>
      </c>
      <c r="J465">
        <v>0</v>
      </c>
      <c r="K465">
        <v>12</v>
      </c>
      <c r="L465" t="s">
        <v>77</v>
      </c>
      <c r="M465" s="3">
        <v>83.43</v>
      </c>
      <c r="N465" s="3">
        <v>97.79</v>
      </c>
      <c r="O465" s="10" t="str">
        <f>TEXT(Inventory_Data[[#This Row],[Date]],"mmm")</f>
        <v>Mar</v>
      </c>
    </row>
    <row r="466" spans="1:15" x14ac:dyDescent="0.2">
      <c r="A466" s="21">
        <v>45744</v>
      </c>
      <c r="B466" s="5" t="s">
        <v>160</v>
      </c>
      <c r="C466" t="s">
        <v>161</v>
      </c>
      <c r="D466" t="s">
        <v>27</v>
      </c>
      <c r="E466" t="s">
        <v>35</v>
      </c>
      <c r="F466">
        <v>345</v>
      </c>
      <c r="G466">
        <v>52</v>
      </c>
      <c r="H466">
        <v>66</v>
      </c>
      <c r="I466">
        <f>Inventory_Data[[#This Row],[Opening_Stock]]+Inventory_Data[[#This Row],[Units_Received]]-Inventory_Data[[#This Row],[Units_Sold]]</f>
        <v>331</v>
      </c>
      <c r="J466">
        <v>0</v>
      </c>
      <c r="K466">
        <v>7</v>
      </c>
      <c r="L466" t="s">
        <v>66</v>
      </c>
      <c r="M466" s="3">
        <v>18.16</v>
      </c>
      <c r="N466" s="3">
        <v>21.19</v>
      </c>
      <c r="O466" s="10" t="str">
        <f>TEXT(Inventory_Data[[#This Row],[Date]],"mmm")</f>
        <v>Mar</v>
      </c>
    </row>
    <row r="467" spans="1:15" x14ac:dyDescent="0.2">
      <c r="A467" s="21">
        <v>45744</v>
      </c>
      <c r="B467" s="5" t="s">
        <v>110</v>
      </c>
      <c r="C467" t="s">
        <v>111</v>
      </c>
      <c r="D467" t="s">
        <v>52</v>
      </c>
      <c r="E467" t="s">
        <v>21</v>
      </c>
      <c r="F467">
        <v>31</v>
      </c>
      <c r="G467">
        <v>14</v>
      </c>
      <c r="H467">
        <v>16</v>
      </c>
      <c r="I467">
        <f>Inventory_Data[[#This Row],[Opening_Stock]]+Inventory_Data[[#This Row],[Units_Received]]-Inventory_Data[[#This Row],[Units_Sold]]</f>
        <v>29</v>
      </c>
      <c r="J467">
        <v>0</v>
      </c>
      <c r="K467">
        <v>5</v>
      </c>
      <c r="L467" t="s">
        <v>83</v>
      </c>
      <c r="M467" s="3">
        <v>215.41</v>
      </c>
      <c r="N467" s="3">
        <v>331.82</v>
      </c>
      <c r="O467" s="10" t="str">
        <f>TEXT(Inventory_Data[[#This Row],[Date]],"mmm")</f>
        <v>Mar</v>
      </c>
    </row>
    <row r="468" spans="1:15" x14ac:dyDescent="0.2">
      <c r="A468" s="21">
        <v>45745</v>
      </c>
      <c r="B468" s="5" t="s">
        <v>71</v>
      </c>
      <c r="C468" t="s">
        <v>72</v>
      </c>
      <c r="D468" t="s">
        <v>16</v>
      </c>
      <c r="E468" t="s">
        <v>21</v>
      </c>
      <c r="F468">
        <v>72</v>
      </c>
      <c r="G468">
        <v>57</v>
      </c>
      <c r="H468">
        <v>73</v>
      </c>
      <c r="I468">
        <f>Inventory_Data[[#This Row],[Opening_Stock]]+Inventory_Data[[#This Row],[Units_Received]]-Inventory_Data[[#This Row],[Units_Sold]]</f>
        <v>56</v>
      </c>
      <c r="J468">
        <v>0</v>
      </c>
      <c r="K468">
        <v>10</v>
      </c>
      <c r="L468" t="s">
        <v>45</v>
      </c>
      <c r="M468" s="3">
        <v>36.85</v>
      </c>
      <c r="N468" s="3">
        <v>52.07</v>
      </c>
      <c r="O468" s="10" t="str">
        <f>TEXT(Inventory_Data[[#This Row],[Date]],"mmm")</f>
        <v>Mar</v>
      </c>
    </row>
    <row r="469" spans="1:15" x14ac:dyDescent="0.2">
      <c r="A469" s="21">
        <v>45745</v>
      </c>
      <c r="B469" s="5" t="s">
        <v>190</v>
      </c>
      <c r="C469" t="s">
        <v>191</v>
      </c>
      <c r="D469" t="s">
        <v>48</v>
      </c>
      <c r="E469" t="s">
        <v>17</v>
      </c>
      <c r="F469">
        <v>170</v>
      </c>
      <c r="G469">
        <v>86</v>
      </c>
      <c r="H469">
        <v>24</v>
      </c>
      <c r="I469">
        <f>Inventory_Data[[#This Row],[Opening_Stock]]+Inventory_Data[[#This Row],[Units_Received]]-Inventory_Data[[#This Row],[Units_Sold]]</f>
        <v>232</v>
      </c>
      <c r="J469">
        <v>0</v>
      </c>
      <c r="K469">
        <v>9</v>
      </c>
      <c r="L469" t="s">
        <v>77</v>
      </c>
      <c r="M469" s="3">
        <v>68.650000000000006</v>
      </c>
      <c r="N469" s="3">
        <v>92.66</v>
      </c>
      <c r="O469" s="10" t="str">
        <f>TEXT(Inventory_Data[[#This Row],[Date]],"mmm")</f>
        <v>Mar</v>
      </c>
    </row>
    <row r="470" spans="1:15" x14ac:dyDescent="0.2">
      <c r="A470" s="21">
        <v>45745</v>
      </c>
      <c r="B470" s="5" t="s">
        <v>136</v>
      </c>
      <c r="C470" t="s">
        <v>137</v>
      </c>
      <c r="D470" t="s">
        <v>27</v>
      </c>
      <c r="E470" t="s">
        <v>17</v>
      </c>
      <c r="F470">
        <v>177</v>
      </c>
      <c r="G470">
        <v>55</v>
      </c>
      <c r="H470">
        <v>107</v>
      </c>
      <c r="I470">
        <f>Inventory_Data[[#This Row],[Opening_Stock]]+Inventory_Data[[#This Row],[Units_Received]]-Inventory_Data[[#This Row],[Units_Sold]]</f>
        <v>125</v>
      </c>
      <c r="J470">
        <v>0</v>
      </c>
      <c r="K470">
        <v>6</v>
      </c>
      <c r="L470" t="s">
        <v>66</v>
      </c>
      <c r="M470" s="3">
        <v>23.33</v>
      </c>
      <c r="N470" s="3">
        <v>31.69</v>
      </c>
      <c r="O470" s="10" t="str">
        <f>TEXT(Inventory_Data[[#This Row],[Date]],"mmm")</f>
        <v>Mar</v>
      </c>
    </row>
    <row r="471" spans="1:15" x14ac:dyDescent="0.2">
      <c r="A471" s="21">
        <v>45746</v>
      </c>
      <c r="B471" s="5" t="s">
        <v>22</v>
      </c>
      <c r="C471" t="s">
        <v>23</v>
      </c>
      <c r="D471" t="s">
        <v>16</v>
      </c>
      <c r="E471" t="s">
        <v>35</v>
      </c>
      <c r="F471">
        <v>71</v>
      </c>
      <c r="G471">
        <v>24</v>
      </c>
      <c r="H471">
        <v>50</v>
      </c>
      <c r="I471">
        <f>Inventory_Data[[#This Row],[Opening_Stock]]+Inventory_Data[[#This Row],[Units_Received]]-Inventory_Data[[#This Row],[Units_Sold]]</f>
        <v>45</v>
      </c>
      <c r="J471">
        <v>0</v>
      </c>
      <c r="K471">
        <v>8</v>
      </c>
      <c r="L471" t="s">
        <v>24</v>
      </c>
      <c r="M471" s="3">
        <v>94.56</v>
      </c>
      <c r="N471" s="3">
        <v>112.36</v>
      </c>
      <c r="O471" s="10" t="str">
        <f>TEXT(Inventory_Data[[#This Row],[Date]],"mmm")</f>
        <v>Mar</v>
      </c>
    </row>
    <row r="472" spans="1:15" x14ac:dyDescent="0.2">
      <c r="A472" s="21">
        <v>45746</v>
      </c>
      <c r="B472" s="5" t="s">
        <v>84</v>
      </c>
      <c r="C472" t="s">
        <v>85</v>
      </c>
      <c r="D472" t="s">
        <v>48</v>
      </c>
      <c r="E472" t="s">
        <v>35</v>
      </c>
      <c r="F472">
        <v>191</v>
      </c>
      <c r="G472">
        <v>86</v>
      </c>
      <c r="H472">
        <v>124</v>
      </c>
      <c r="I472">
        <f>Inventory_Data[[#This Row],[Opening_Stock]]+Inventory_Data[[#This Row],[Units_Received]]-Inventory_Data[[#This Row],[Units_Sold]]</f>
        <v>153</v>
      </c>
      <c r="J472">
        <v>0</v>
      </c>
      <c r="K472">
        <v>2</v>
      </c>
      <c r="L472" t="s">
        <v>49</v>
      </c>
      <c r="M472" s="3">
        <v>69.42</v>
      </c>
      <c r="N472" s="3">
        <v>87.39</v>
      </c>
      <c r="O472" s="10" t="str">
        <f>TEXT(Inventory_Data[[#This Row],[Date]],"mmm")</f>
        <v>Mar</v>
      </c>
    </row>
    <row r="473" spans="1:15" x14ac:dyDescent="0.2">
      <c r="A473" s="21">
        <v>45746</v>
      </c>
      <c r="B473" s="5" t="s">
        <v>50</v>
      </c>
      <c r="C473" t="s">
        <v>51</v>
      </c>
      <c r="D473" t="s">
        <v>52</v>
      </c>
      <c r="E473" t="s">
        <v>35</v>
      </c>
      <c r="F473">
        <v>52</v>
      </c>
      <c r="G473">
        <v>24</v>
      </c>
      <c r="H473">
        <v>13</v>
      </c>
      <c r="I473">
        <f>Inventory_Data[[#This Row],[Opening_Stock]]+Inventory_Data[[#This Row],[Units_Received]]-Inventory_Data[[#This Row],[Units_Sold]]</f>
        <v>63</v>
      </c>
      <c r="J473">
        <v>0</v>
      </c>
      <c r="K473">
        <v>6</v>
      </c>
      <c r="L473" t="s">
        <v>53</v>
      </c>
      <c r="M473" s="3">
        <v>36.81</v>
      </c>
      <c r="N473" s="3">
        <v>43.83</v>
      </c>
      <c r="O473" s="10" t="str">
        <f>TEXT(Inventory_Data[[#This Row],[Date]],"mmm")</f>
        <v>Mar</v>
      </c>
    </row>
    <row r="474" spans="1:15" x14ac:dyDescent="0.2">
      <c r="A474" s="21">
        <v>45746</v>
      </c>
      <c r="B474" s="5" t="s">
        <v>100</v>
      </c>
      <c r="C474" t="s">
        <v>101</v>
      </c>
      <c r="D474" t="s">
        <v>52</v>
      </c>
      <c r="E474" t="s">
        <v>35</v>
      </c>
      <c r="F474">
        <v>79</v>
      </c>
      <c r="G474">
        <v>9</v>
      </c>
      <c r="H474">
        <v>13</v>
      </c>
      <c r="I474">
        <f>Inventory_Data[[#This Row],[Opening_Stock]]+Inventory_Data[[#This Row],[Units_Received]]-Inventory_Data[[#This Row],[Units_Sold]]</f>
        <v>75</v>
      </c>
      <c r="J474">
        <v>0</v>
      </c>
      <c r="K474">
        <v>13</v>
      </c>
      <c r="L474" t="s">
        <v>83</v>
      </c>
      <c r="M474" s="3">
        <v>55.23</v>
      </c>
      <c r="N474" s="3">
        <v>76.53</v>
      </c>
      <c r="O474" s="10" t="str">
        <f>TEXT(Inventory_Data[[#This Row],[Date]],"mmm")</f>
        <v>Mar</v>
      </c>
    </row>
    <row r="475" spans="1:15" x14ac:dyDescent="0.2">
      <c r="A475" s="21">
        <v>45746</v>
      </c>
      <c r="B475" s="5" t="s">
        <v>67</v>
      </c>
      <c r="C475" t="s">
        <v>68</v>
      </c>
      <c r="D475" t="s">
        <v>52</v>
      </c>
      <c r="E475" t="s">
        <v>21</v>
      </c>
      <c r="F475">
        <v>14</v>
      </c>
      <c r="G475">
        <v>21</v>
      </c>
      <c r="H475">
        <v>8</v>
      </c>
      <c r="I475">
        <f>Inventory_Data[[#This Row],[Opening_Stock]]+Inventory_Data[[#This Row],[Units_Received]]-Inventory_Data[[#This Row],[Units_Sold]]</f>
        <v>27</v>
      </c>
      <c r="J475">
        <v>0</v>
      </c>
      <c r="K475">
        <v>9</v>
      </c>
      <c r="L475" t="s">
        <v>56</v>
      </c>
      <c r="M475" s="3">
        <v>200.49</v>
      </c>
      <c r="N475" s="3">
        <v>298.08999999999997</v>
      </c>
      <c r="O475" s="10" t="str">
        <f>TEXT(Inventory_Data[[#This Row],[Date]],"mmm")</f>
        <v>Mar</v>
      </c>
    </row>
    <row r="476" spans="1:15" x14ac:dyDescent="0.2">
      <c r="A476" s="21">
        <v>45746</v>
      </c>
      <c r="B476" s="5" t="s">
        <v>37</v>
      </c>
      <c r="C476" t="s">
        <v>38</v>
      </c>
      <c r="D476" t="s">
        <v>34</v>
      </c>
      <c r="E476" t="s">
        <v>21</v>
      </c>
      <c r="F476">
        <v>173</v>
      </c>
      <c r="G476">
        <v>206</v>
      </c>
      <c r="H476">
        <v>34</v>
      </c>
      <c r="I476">
        <f>Inventory_Data[[#This Row],[Opening_Stock]]+Inventory_Data[[#This Row],[Units_Received]]-Inventory_Data[[#This Row],[Units_Sold]]</f>
        <v>345</v>
      </c>
      <c r="J476">
        <v>0</v>
      </c>
      <c r="K476">
        <v>5</v>
      </c>
      <c r="L476" t="s">
        <v>36</v>
      </c>
      <c r="M476" s="3">
        <v>22.76</v>
      </c>
      <c r="N476" s="3">
        <v>27.56</v>
      </c>
      <c r="O476" s="10" t="str">
        <f>TEXT(Inventory_Data[[#This Row],[Date]],"mmm")</f>
        <v>Mar</v>
      </c>
    </row>
    <row r="477" spans="1:15" x14ac:dyDescent="0.2">
      <c r="A477" s="21">
        <v>45747</v>
      </c>
      <c r="B477" s="5" t="s">
        <v>162</v>
      </c>
      <c r="C477" t="s">
        <v>163</v>
      </c>
      <c r="D477" t="s">
        <v>16</v>
      </c>
      <c r="E477" t="s">
        <v>21</v>
      </c>
      <c r="F477">
        <v>167</v>
      </c>
      <c r="G477">
        <v>34</v>
      </c>
      <c r="H477">
        <v>74</v>
      </c>
      <c r="I477">
        <f>Inventory_Data[[#This Row],[Opening_Stock]]+Inventory_Data[[#This Row],[Units_Received]]-Inventory_Data[[#This Row],[Units_Sold]]</f>
        <v>127</v>
      </c>
      <c r="J477">
        <v>0</v>
      </c>
      <c r="K477">
        <v>5</v>
      </c>
      <c r="L477" t="s">
        <v>24</v>
      </c>
      <c r="M477" s="3">
        <v>98.58</v>
      </c>
      <c r="N477" s="3">
        <v>118.32</v>
      </c>
      <c r="O477" s="10" t="str">
        <f>TEXT(Inventory_Data[[#This Row],[Date]],"mmm")</f>
        <v>Mar</v>
      </c>
    </row>
    <row r="478" spans="1:15" x14ac:dyDescent="0.2">
      <c r="A478" s="21">
        <v>45747</v>
      </c>
      <c r="B478" s="5" t="s">
        <v>184</v>
      </c>
      <c r="C478" t="s">
        <v>185</v>
      </c>
      <c r="D478" t="s">
        <v>16</v>
      </c>
      <c r="E478" t="s">
        <v>21</v>
      </c>
      <c r="F478">
        <v>151</v>
      </c>
      <c r="G478">
        <v>65</v>
      </c>
      <c r="H478">
        <v>63</v>
      </c>
      <c r="I478">
        <f>Inventory_Data[[#This Row],[Opening_Stock]]+Inventory_Data[[#This Row],[Units_Received]]-Inventory_Data[[#This Row],[Units_Sold]]</f>
        <v>153</v>
      </c>
      <c r="J478">
        <v>0</v>
      </c>
      <c r="K478">
        <v>10</v>
      </c>
      <c r="L478" t="s">
        <v>45</v>
      </c>
      <c r="M478" s="3">
        <v>111.78</v>
      </c>
      <c r="N478" s="3">
        <v>145.66999999999999</v>
      </c>
      <c r="O478" s="10" t="str">
        <f>TEXT(Inventory_Data[[#This Row],[Date]],"mmm")</f>
        <v>Mar</v>
      </c>
    </row>
    <row r="479" spans="1:15" x14ac:dyDescent="0.2">
      <c r="A479" s="21">
        <v>45747</v>
      </c>
      <c r="B479" s="5" t="s">
        <v>30</v>
      </c>
      <c r="C479" t="s">
        <v>31</v>
      </c>
      <c r="D479" t="s">
        <v>27</v>
      </c>
      <c r="E479" t="s">
        <v>21</v>
      </c>
      <c r="F479">
        <v>408</v>
      </c>
      <c r="G479">
        <v>186</v>
      </c>
      <c r="H479">
        <v>57</v>
      </c>
      <c r="I479">
        <f>Inventory_Data[[#This Row],[Opening_Stock]]+Inventory_Data[[#This Row],[Units_Received]]-Inventory_Data[[#This Row],[Units_Sold]]</f>
        <v>537</v>
      </c>
      <c r="J479">
        <v>0</v>
      </c>
      <c r="K479">
        <v>6</v>
      </c>
      <c r="L479" t="s">
        <v>80</v>
      </c>
      <c r="M479" s="3">
        <v>22.13</v>
      </c>
      <c r="N479" s="3">
        <v>32.450000000000003</v>
      </c>
      <c r="O479" s="10" t="str">
        <f>TEXT(Inventory_Data[[#This Row],[Date]],"mmm")</f>
        <v>Mar</v>
      </c>
    </row>
    <row r="480" spans="1:15" x14ac:dyDescent="0.2">
      <c r="A480" s="21">
        <v>45747</v>
      </c>
      <c r="B480" s="5" t="s">
        <v>30</v>
      </c>
      <c r="C480" t="s">
        <v>31</v>
      </c>
      <c r="D480" t="s">
        <v>27</v>
      </c>
      <c r="E480" t="s">
        <v>35</v>
      </c>
      <c r="F480">
        <v>157</v>
      </c>
      <c r="G480">
        <v>55</v>
      </c>
      <c r="H480">
        <v>90</v>
      </c>
      <c r="I480">
        <f>Inventory_Data[[#This Row],[Opening_Stock]]+Inventory_Data[[#This Row],[Units_Received]]-Inventory_Data[[#This Row],[Units_Sold]]</f>
        <v>122</v>
      </c>
      <c r="J480">
        <v>0</v>
      </c>
      <c r="K480">
        <v>3</v>
      </c>
      <c r="L480" t="s">
        <v>80</v>
      </c>
      <c r="M480" s="3">
        <v>18.12</v>
      </c>
      <c r="N480" s="3">
        <v>22.25</v>
      </c>
      <c r="O480" s="10" t="str">
        <f>TEXT(Inventory_Data[[#This Row],[Date]],"mmm")</f>
        <v>Mar</v>
      </c>
    </row>
    <row r="481" spans="1:15" x14ac:dyDescent="0.2">
      <c r="A481" s="21">
        <v>45747</v>
      </c>
      <c r="B481" s="5" t="s">
        <v>136</v>
      </c>
      <c r="C481" t="s">
        <v>137</v>
      </c>
      <c r="D481" t="s">
        <v>27</v>
      </c>
      <c r="E481" t="s">
        <v>35</v>
      </c>
      <c r="F481">
        <v>152</v>
      </c>
      <c r="G481">
        <v>43</v>
      </c>
      <c r="H481">
        <v>132</v>
      </c>
      <c r="I481">
        <f>Inventory_Data[[#This Row],[Opening_Stock]]+Inventory_Data[[#This Row],[Units_Received]]-Inventory_Data[[#This Row],[Units_Sold]]</f>
        <v>63</v>
      </c>
      <c r="J481">
        <v>0</v>
      </c>
      <c r="K481">
        <v>6</v>
      </c>
      <c r="L481" t="s">
        <v>80</v>
      </c>
      <c r="M481" s="3">
        <v>9.89</v>
      </c>
      <c r="N481" s="3">
        <v>13.6</v>
      </c>
      <c r="O481" s="10" t="str">
        <f>TEXT(Inventory_Data[[#This Row],[Date]],"mmm")</f>
        <v>Mar</v>
      </c>
    </row>
    <row r="482" spans="1:15" x14ac:dyDescent="0.2">
      <c r="A482" s="21">
        <v>45747</v>
      </c>
      <c r="B482" s="5" t="s">
        <v>100</v>
      </c>
      <c r="C482" t="s">
        <v>101</v>
      </c>
      <c r="D482" t="s">
        <v>52</v>
      </c>
      <c r="E482" t="s">
        <v>21</v>
      </c>
      <c r="F482">
        <v>44</v>
      </c>
      <c r="G482">
        <v>18</v>
      </c>
      <c r="H482">
        <v>14</v>
      </c>
      <c r="I482">
        <f>Inventory_Data[[#This Row],[Opening_Stock]]+Inventory_Data[[#This Row],[Units_Received]]-Inventory_Data[[#This Row],[Units_Sold]]</f>
        <v>48</v>
      </c>
      <c r="J482">
        <v>0</v>
      </c>
      <c r="K482">
        <v>7</v>
      </c>
      <c r="L482" t="s">
        <v>53</v>
      </c>
      <c r="M482" s="3">
        <v>208.82</v>
      </c>
      <c r="N482" s="3">
        <v>282.23</v>
      </c>
      <c r="O482" s="10" t="str">
        <f>TEXT(Inventory_Data[[#This Row],[Date]],"mmm")</f>
        <v>Mar</v>
      </c>
    </row>
    <row r="483" spans="1:15" x14ac:dyDescent="0.2">
      <c r="A483" s="21">
        <v>45747</v>
      </c>
      <c r="B483" s="5" t="s">
        <v>104</v>
      </c>
      <c r="C483" t="s">
        <v>105</v>
      </c>
      <c r="D483" t="s">
        <v>34</v>
      </c>
      <c r="E483" t="s">
        <v>21</v>
      </c>
      <c r="F483">
        <v>234</v>
      </c>
      <c r="G483">
        <v>75</v>
      </c>
      <c r="H483">
        <v>97</v>
      </c>
      <c r="I483">
        <f>Inventory_Data[[#This Row],[Opening_Stock]]+Inventory_Data[[#This Row],[Units_Received]]-Inventory_Data[[#This Row],[Units_Sold]]</f>
        <v>212</v>
      </c>
      <c r="J483">
        <v>0</v>
      </c>
      <c r="K483">
        <v>4</v>
      </c>
      <c r="L483" t="s">
        <v>42</v>
      </c>
      <c r="M483" s="3">
        <v>14.39</v>
      </c>
      <c r="N483" s="3">
        <v>21.79</v>
      </c>
      <c r="O483" s="10" t="str">
        <f>TEXT(Inventory_Data[[#This Row],[Date]],"mmm")</f>
        <v>Mar</v>
      </c>
    </row>
    <row r="484" spans="1:15" x14ac:dyDescent="0.2">
      <c r="A484" s="21">
        <v>45748</v>
      </c>
      <c r="B484" s="5" t="s">
        <v>90</v>
      </c>
      <c r="C484" t="s">
        <v>91</v>
      </c>
      <c r="D484" t="s">
        <v>48</v>
      </c>
      <c r="E484" t="s">
        <v>35</v>
      </c>
      <c r="F484">
        <v>54</v>
      </c>
      <c r="G484">
        <v>23</v>
      </c>
      <c r="H484">
        <v>18</v>
      </c>
      <c r="I484">
        <f>Inventory_Data[[#This Row],[Opening_Stock]]+Inventory_Data[[#This Row],[Units_Received]]-Inventory_Data[[#This Row],[Units_Sold]]</f>
        <v>59</v>
      </c>
      <c r="J484">
        <v>0</v>
      </c>
      <c r="K484">
        <v>14</v>
      </c>
      <c r="L484" t="s">
        <v>49</v>
      </c>
      <c r="M484" s="3">
        <v>73.489999999999995</v>
      </c>
      <c r="N484" s="3">
        <v>111.93</v>
      </c>
      <c r="O484" s="10" t="str">
        <f>TEXT(Inventory_Data[[#This Row],[Date]],"mmm")</f>
        <v>Apr</v>
      </c>
    </row>
    <row r="485" spans="1:15" x14ac:dyDescent="0.2">
      <c r="A485" s="21">
        <v>45749</v>
      </c>
      <c r="B485" s="5" t="s">
        <v>106</v>
      </c>
      <c r="C485" t="s">
        <v>107</v>
      </c>
      <c r="D485" t="s">
        <v>16</v>
      </c>
      <c r="E485" t="s">
        <v>28</v>
      </c>
      <c r="F485">
        <v>81</v>
      </c>
      <c r="G485">
        <v>13</v>
      </c>
      <c r="H485">
        <v>64</v>
      </c>
      <c r="I485">
        <f>Inventory_Data[[#This Row],[Opening_Stock]]+Inventory_Data[[#This Row],[Units_Received]]-Inventory_Data[[#This Row],[Units_Sold]]</f>
        <v>30</v>
      </c>
      <c r="J485">
        <v>0</v>
      </c>
      <c r="K485">
        <v>5</v>
      </c>
      <c r="L485" t="s">
        <v>45</v>
      </c>
      <c r="M485" s="3">
        <v>24.29</v>
      </c>
      <c r="N485" s="3">
        <v>31.33</v>
      </c>
      <c r="O485" s="10" t="str">
        <f>TEXT(Inventory_Data[[#This Row],[Date]],"mmm")</f>
        <v>Apr</v>
      </c>
    </row>
    <row r="486" spans="1:15" x14ac:dyDescent="0.2">
      <c r="A486" s="21">
        <v>45749</v>
      </c>
      <c r="B486" s="5" t="s">
        <v>152</v>
      </c>
      <c r="C486" t="s">
        <v>153</v>
      </c>
      <c r="D486" t="s">
        <v>16</v>
      </c>
      <c r="E486" t="s">
        <v>21</v>
      </c>
      <c r="F486">
        <v>107</v>
      </c>
      <c r="G486">
        <v>20</v>
      </c>
      <c r="H486">
        <v>63</v>
      </c>
      <c r="I486">
        <f>Inventory_Data[[#This Row],[Opening_Stock]]+Inventory_Data[[#This Row],[Units_Received]]-Inventory_Data[[#This Row],[Units_Sold]]</f>
        <v>64</v>
      </c>
      <c r="J486">
        <v>0</v>
      </c>
      <c r="K486">
        <v>7</v>
      </c>
      <c r="L486" t="s">
        <v>45</v>
      </c>
      <c r="M486" s="3">
        <v>78.52</v>
      </c>
      <c r="N486" s="3">
        <v>92.99</v>
      </c>
      <c r="O486" s="10" t="str">
        <f>TEXT(Inventory_Data[[#This Row],[Date]],"mmm")</f>
        <v>Apr</v>
      </c>
    </row>
    <row r="487" spans="1:15" x14ac:dyDescent="0.2">
      <c r="A487" s="21">
        <v>45749</v>
      </c>
      <c r="B487" s="5" t="s">
        <v>120</v>
      </c>
      <c r="C487" t="s">
        <v>121</v>
      </c>
      <c r="D487" t="s">
        <v>16</v>
      </c>
      <c r="E487" t="s">
        <v>21</v>
      </c>
      <c r="F487">
        <v>101</v>
      </c>
      <c r="G487">
        <v>74</v>
      </c>
      <c r="H487">
        <v>67</v>
      </c>
      <c r="I487">
        <f>Inventory_Data[[#This Row],[Opening_Stock]]+Inventory_Data[[#This Row],[Units_Received]]-Inventory_Data[[#This Row],[Units_Sold]]</f>
        <v>108</v>
      </c>
      <c r="J487">
        <v>0</v>
      </c>
      <c r="K487">
        <v>4</v>
      </c>
      <c r="L487" t="s">
        <v>24</v>
      </c>
      <c r="M487" s="3">
        <v>125.53</v>
      </c>
      <c r="N487" s="3">
        <v>157.16999999999999</v>
      </c>
      <c r="O487" s="10" t="str">
        <f>TEXT(Inventory_Data[[#This Row],[Date]],"mmm")</f>
        <v>Apr</v>
      </c>
    </row>
    <row r="488" spans="1:15" x14ac:dyDescent="0.2">
      <c r="A488" s="21">
        <v>45749</v>
      </c>
      <c r="B488" s="5" t="s">
        <v>130</v>
      </c>
      <c r="C488" t="s">
        <v>131</v>
      </c>
      <c r="D488" t="s">
        <v>48</v>
      </c>
      <c r="E488" t="s">
        <v>21</v>
      </c>
      <c r="F488">
        <v>293</v>
      </c>
      <c r="G488">
        <v>26</v>
      </c>
      <c r="H488">
        <v>78</v>
      </c>
      <c r="I488">
        <f>Inventory_Data[[#This Row],[Opening_Stock]]+Inventory_Data[[#This Row],[Units_Received]]-Inventory_Data[[#This Row],[Units_Sold]]</f>
        <v>241</v>
      </c>
      <c r="J488">
        <v>0</v>
      </c>
      <c r="K488">
        <v>6</v>
      </c>
      <c r="L488" t="s">
        <v>63</v>
      </c>
      <c r="M488" s="3">
        <v>49.03</v>
      </c>
      <c r="N488" s="3">
        <v>63.4</v>
      </c>
      <c r="O488" s="10" t="str">
        <f>TEXT(Inventory_Data[[#This Row],[Date]],"mmm")</f>
        <v>Apr</v>
      </c>
    </row>
    <row r="489" spans="1:15" x14ac:dyDescent="0.2">
      <c r="A489" s="21">
        <v>45749</v>
      </c>
      <c r="B489" s="5" t="s">
        <v>114</v>
      </c>
      <c r="C489" t="s">
        <v>115</v>
      </c>
      <c r="D489" t="s">
        <v>27</v>
      </c>
      <c r="E489" t="s">
        <v>28</v>
      </c>
      <c r="F489">
        <v>287</v>
      </c>
      <c r="G489">
        <v>172</v>
      </c>
      <c r="H489">
        <v>26</v>
      </c>
      <c r="I489">
        <f>Inventory_Data[[#This Row],[Opening_Stock]]+Inventory_Data[[#This Row],[Units_Received]]-Inventory_Data[[#This Row],[Units_Sold]]</f>
        <v>433</v>
      </c>
      <c r="J489">
        <v>0</v>
      </c>
      <c r="K489">
        <v>3</v>
      </c>
      <c r="L489" t="s">
        <v>66</v>
      </c>
      <c r="M489" s="3">
        <v>3.79</v>
      </c>
      <c r="N489" s="3">
        <v>4.92</v>
      </c>
      <c r="O489" s="10" t="str">
        <f>TEXT(Inventory_Data[[#This Row],[Date]],"mmm")</f>
        <v>Apr</v>
      </c>
    </row>
    <row r="490" spans="1:15" x14ac:dyDescent="0.2">
      <c r="A490" s="21">
        <v>45749</v>
      </c>
      <c r="B490" s="5" t="s">
        <v>78</v>
      </c>
      <c r="C490" t="s">
        <v>79</v>
      </c>
      <c r="D490" t="s">
        <v>27</v>
      </c>
      <c r="E490" t="s">
        <v>17</v>
      </c>
      <c r="F490">
        <v>392</v>
      </c>
      <c r="G490">
        <v>228</v>
      </c>
      <c r="H490">
        <v>123</v>
      </c>
      <c r="I490">
        <f>Inventory_Data[[#This Row],[Opening_Stock]]+Inventory_Data[[#This Row],[Units_Received]]-Inventory_Data[[#This Row],[Units_Sold]]</f>
        <v>497</v>
      </c>
      <c r="J490">
        <v>0</v>
      </c>
      <c r="K490">
        <v>7</v>
      </c>
      <c r="L490" t="s">
        <v>80</v>
      </c>
      <c r="M490" s="3">
        <v>10.59</v>
      </c>
      <c r="N490" s="3">
        <v>13.59</v>
      </c>
      <c r="O490" s="10" t="str">
        <f>TEXT(Inventory_Data[[#This Row],[Date]],"mmm")</f>
        <v>Apr</v>
      </c>
    </row>
    <row r="491" spans="1:15" x14ac:dyDescent="0.2">
      <c r="A491" s="21">
        <v>45749</v>
      </c>
      <c r="B491" s="5" t="s">
        <v>182</v>
      </c>
      <c r="C491" t="s">
        <v>183</v>
      </c>
      <c r="D491" t="s">
        <v>52</v>
      </c>
      <c r="E491" t="s">
        <v>21</v>
      </c>
      <c r="F491">
        <v>24</v>
      </c>
      <c r="G491">
        <v>22</v>
      </c>
      <c r="H491">
        <v>3</v>
      </c>
      <c r="I491">
        <f>Inventory_Data[[#This Row],[Opening_Stock]]+Inventory_Data[[#This Row],[Units_Received]]-Inventory_Data[[#This Row],[Units_Sold]]</f>
        <v>43</v>
      </c>
      <c r="J491">
        <v>0</v>
      </c>
      <c r="K491">
        <v>3</v>
      </c>
      <c r="L491" t="s">
        <v>56</v>
      </c>
      <c r="M491" s="3">
        <v>74.98</v>
      </c>
      <c r="N491" s="3">
        <v>92.93</v>
      </c>
      <c r="O491" s="10" t="str">
        <f>TEXT(Inventory_Data[[#This Row],[Date]],"mmm")</f>
        <v>Apr</v>
      </c>
    </row>
    <row r="492" spans="1:15" x14ac:dyDescent="0.2">
      <c r="A492" s="21">
        <v>45749</v>
      </c>
      <c r="B492" s="5" t="s">
        <v>100</v>
      </c>
      <c r="C492" t="s">
        <v>101</v>
      </c>
      <c r="D492" t="s">
        <v>52</v>
      </c>
      <c r="E492" t="s">
        <v>17</v>
      </c>
      <c r="F492">
        <v>22</v>
      </c>
      <c r="G492">
        <v>5</v>
      </c>
      <c r="H492">
        <v>5</v>
      </c>
      <c r="I492">
        <f>Inventory_Data[[#This Row],[Opening_Stock]]+Inventory_Data[[#This Row],[Units_Received]]-Inventory_Data[[#This Row],[Units_Sold]]</f>
        <v>22</v>
      </c>
      <c r="J492">
        <v>0</v>
      </c>
      <c r="K492">
        <v>11</v>
      </c>
      <c r="L492" t="s">
        <v>53</v>
      </c>
      <c r="M492" s="3">
        <v>287.93</v>
      </c>
      <c r="N492" s="3">
        <v>348.04</v>
      </c>
      <c r="O492" s="10" t="str">
        <f>TEXT(Inventory_Data[[#This Row],[Date]],"mmm")</f>
        <v>Apr</v>
      </c>
    </row>
    <row r="493" spans="1:15" x14ac:dyDescent="0.2">
      <c r="A493" s="21">
        <v>45749</v>
      </c>
      <c r="B493" s="5" t="s">
        <v>116</v>
      </c>
      <c r="C493" t="s">
        <v>117</v>
      </c>
      <c r="D493" t="s">
        <v>52</v>
      </c>
      <c r="E493" t="s">
        <v>35</v>
      </c>
      <c r="F493">
        <v>26</v>
      </c>
      <c r="G493">
        <v>4</v>
      </c>
      <c r="H493">
        <v>10</v>
      </c>
      <c r="I493">
        <f>Inventory_Data[[#This Row],[Opening_Stock]]+Inventory_Data[[#This Row],[Units_Received]]-Inventory_Data[[#This Row],[Units_Sold]]</f>
        <v>20</v>
      </c>
      <c r="J493">
        <v>0</v>
      </c>
      <c r="K493">
        <v>7</v>
      </c>
      <c r="L493" t="s">
        <v>56</v>
      </c>
      <c r="M493" s="3">
        <v>305.18</v>
      </c>
      <c r="N493" s="3">
        <v>460.02</v>
      </c>
      <c r="O493" s="10" t="str">
        <f>TEXT(Inventory_Data[[#This Row],[Date]],"mmm")</f>
        <v>Apr</v>
      </c>
    </row>
    <row r="494" spans="1:15" x14ac:dyDescent="0.2">
      <c r="A494" s="21">
        <v>45750</v>
      </c>
      <c r="B494" s="5" t="s">
        <v>61</v>
      </c>
      <c r="C494" t="s">
        <v>62</v>
      </c>
      <c r="D494" t="s">
        <v>48</v>
      </c>
      <c r="E494" t="s">
        <v>35</v>
      </c>
      <c r="F494">
        <v>186</v>
      </c>
      <c r="G494">
        <v>106</v>
      </c>
      <c r="H494">
        <v>24</v>
      </c>
      <c r="I494">
        <f>Inventory_Data[[#This Row],[Opening_Stock]]+Inventory_Data[[#This Row],[Units_Received]]-Inventory_Data[[#This Row],[Units_Sold]]</f>
        <v>268</v>
      </c>
      <c r="J494">
        <v>0</v>
      </c>
      <c r="K494">
        <v>12</v>
      </c>
      <c r="L494" t="s">
        <v>77</v>
      </c>
      <c r="M494" s="3">
        <v>59.25</v>
      </c>
      <c r="N494" s="3">
        <v>74.12</v>
      </c>
      <c r="O494" s="10" t="str">
        <f>TEXT(Inventory_Data[[#This Row],[Date]],"mmm")</f>
        <v>Apr</v>
      </c>
    </row>
    <row r="495" spans="1:15" x14ac:dyDescent="0.2">
      <c r="A495" s="21">
        <v>45750</v>
      </c>
      <c r="B495" s="5" t="s">
        <v>156</v>
      </c>
      <c r="C495" t="s">
        <v>157</v>
      </c>
      <c r="D495" t="s">
        <v>27</v>
      </c>
      <c r="E495" t="s">
        <v>35</v>
      </c>
      <c r="F495">
        <v>397</v>
      </c>
      <c r="G495">
        <v>157</v>
      </c>
      <c r="H495">
        <v>119</v>
      </c>
      <c r="I495">
        <f>Inventory_Data[[#This Row],[Opening_Stock]]+Inventory_Data[[#This Row],[Units_Received]]-Inventory_Data[[#This Row],[Units_Sold]]</f>
        <v>435</v>
      </c>
      <c r="J495">
        <v>0</v>
      </c>
      <c r="K495">
        <v>6</v>
      </c>
      <c r="L495" t="s">
        <v>80</v>
      </c>
      <c r="M495" s="3">
        <v>9.76</v>
      </c>
      <c r="N495" s="3">
        <v>12.44</v>
      </c>
      <c r="O495" s="10" t="str">
        <f>TEXT(Inventory_Data[[#This Row],[Date]],"mmm")</f>
        <v>Apr</v>
      </c>
    </row>
    <row r="496" spans="1:15" x14ac:dyDescent="0.2">
      <c r="A496" s="21">
        <v>45750</v>
      </c>
      <c r="B496" s="5" t="s">
        <v>134</v>
      </c>
      <c r="C496" t="s">
        <v>135</v>
      </c>
      <c r="D496" t="s">
        <v>27</v>
      </c>
      <c r="E496" t="s">
        <v>17</v>
      </c>
      <c r="F496">
        <v>429</v>
      </c>
      <c r="G496">
        <v>180</v>
      </c>
      <c r="H496">
        <v>188</v>
      </c>
      <c r="I496">
        <f>Inventory_Data[[#This Row],[Opening_Stock]]+Inventory_Data[[#This Row],[Units_Received]]-Inventory_Data[[#This Row],[Units_Sold]]</f>
        <v>421</v>
      </c>
      <c r="J496">
        <v>0</v>
      </c>
      <c r="K496">
        <v>3</v>
      </c>
      <c r="L496" t="s">
        <v>80</v>
      </c>
      <c r="M496" s="3">
        <v>22.95</v>
      </c>
      <c r="N496" s="3">
        <v>30.39</v>
      </c>
      <c r="O496" s="10" t="str">
        <f>TEXT(Inventory_Data[[#This Row],[Date]],"mmm")</f>
        <v>Apr</v>
      </c>
    </row>
    <row r="497" spans="1:15" x14ac:dyDescent="0.2">
      <c r="A497" s="21">
        <v>45750</v>
      </c>
      <c r="B497" s="5" t="s">
        <v>158</v>
      </c>
      <c r="C497" t="s">
        <v>159</v>
      </c>
      <c r="D497" t="s">
        <v>52</v>
      </c>
      <c r="E497" t="s">
        <v>17</v>
      </c>
      <c r="F497">
        <v>40</v>
      </c>
      <c r="G497">
        <v>13</v>
      </c>
      <c r="H497">
        <v>19</v>
      </c>
      <c r="I497">
        <f>Inventory_Data[[#This Row],[Opening_Stock]]+Inventory_Data[[#This Row],[Units_Received]]-Inventory_Data[[#This Row],[Units_Sold]]</f>
        <v>34</v>
      </c>
      <c r="J497">
        <v>0</v>
      </c>
      <c r="K497">
        <v>13</v>
      </c>
      <c r="L497" t="s">
        <v>56</v>
      </c>
      <c r="M497" s="3">
        <v>122.81</v>
      </c>
      <c r="N497" s="3">
        <v>167.73</v>
      </c>
      <c r="O497" s="10" t="str">
        <f>TEXT(Inventory_Data[[#This Row],[Date]],"mmm")</f>
        <v>Apr</v>
      </c>
    </row>
    <row r="498" spans="1:15" x14ac:dyDescent="0.2">
      <c r="A498" s="21">
        <v>45750</v>
      </c>
      <c r="B498" s="5" t="s">
        <v>194</v>
      </c>
      <c r="C498" t="s">
        <v>195</v>
      </c>
      <c r="D498" t="s">
        <v>34</v>
      </c>
      <c r="E498" t="s">
        <v>17</v>
      </c>
      <c r="F498">
        <v>305</v>
      </c>
      <c r="G498">
        <v>119</v>
      </c>
      <c r="H498">
        <v>22</v>
      </c>
      <c r="I498">
        <f>Inventory_Data[[#This Row],[Opening_Stock]]+Inventory_Data[[#This Row],[Units_Received]]-Inventory_Data[[#This Row],[Units_Sold]]</f>
        <v>402</v>
      </c>
      <c r="J498">
        <v>0</v>
      </c>
      <c r="K498">
        <v>9</v>
      </c>
      <c r="L498" t="s">
        <v>36</v>
      </c>
      <c r="M498" s="3">
        <v>29.72</v>
      </c>
      <c r="N498" s="3">
        <v>35.26</v>
      </c>
      <c r="O498" s="10" t="str">
        <f>TEXT(Inventory_Data[[#This Row],[Date]],"mmm")</f>
        <v>Apr</v>
      </c>
    </row>
    <row r="499" spans="1:15" x14ac:dyDescent="0.2">
      <c r="A499" s="21">
        <v>45751</v>
      </c>
      <c r="B499" s="5" t="s">
        <v>112</v>
      </c>
      <c r="C499" t="s">
        <v>113</v>
      </c>
      <c r="D499" t="s">
        <v>16</v>
      </c>
      <c r="E499" t="s">
        <v>28</v>
      </c>
      <c r="F499">
        <v>175</v>
      </c>
      <c r="G499">
        <v>80</v>
      </c>
      <c r="H499">
        <v>27</v>
      </c>
      <c r="I499">
        <f>Inventory_Data[[#This Row],[Opening_Stock]]+Inventory_Data[[#This Row],[Units_Received]]-Inventory_Data[[#This Row],[Units_Sold]]</f>
        <v>228</v>
      </c>
      <c r="J499">
        <v>0</v>
      </c>
      <c r="K499">
        <v>6</v>
      </c>
      <c r="L499" t="s">
        <v>18</v>
      </c>
      <c r="M499" s="3">
        <v>203.61</v>
      </c>
      <c r="N499" s="3">
        <v>287.11</v>
      </c>
      <c r="O499" s="10" t="str">
        <f>TEXT(Inventory_Data[[#This Row],[Date]],"mmm")</f>
        <v>Apr</v>
      </c>
    </row>
    <row r="500" spans="1:15" x14ac:dyDescent="0.2">
      <c r="A500" s="21">
        <v>45751</v>
      </c>
      <c r="B500" s="5" t="s">
        <v>110</v>
      </c>
      <c r="C500" t="s">
        <v>111</v>
      </c>
      <c r="D500" t="s">
        <v>52</v>
      </c>
      <c r="E500" t="s">
        <v>17</v>
      </c>
      <c r="F500">
        <v>79</v>
      </c>
      <c r="G500">
        <v>21</v>
      </c>
      <c r="H500">
        <v>5</v>
      </c>
      <c r="I500">
        <f>Inventory_Data[[#This Row],[Opening_Stock]]+Inventory_Data[[#This Row],[Units_Received]]-Inventory_Data[[#This Row],[Units_Sold]]</f>
        <v>95</v>
      </c>
      <c r="J500">
        <v>0</v>
      </c>
      <c r="K500">
        <v>8</v>
      </c>
      <c r="L500" t="s">
        <v>56</v>
      </c>
      <c r="M500" s="3">
        <v>62.29</v>
      </c>
      <c r="N500" s="3">
        <v>74.78</v>
      </c>
      <c r="O500" s="10" t="str">
        <f>TEXT(Inventory_Data[[#This Row],[Date]],"mmm")</f>
        <v>Apr</v>
      </c>
    </row>
    <row r="501" spans="1:15" x14ac:dyDescent="0.2">
      <c r="A501" s="21">
        <v>45751</v>
      </c>
      <c r="B501" s="5" t="s">
        <v>174</v>
      </c>
      <c r="C501" t="s">
        <v>175</v>
      </c>
      <c r="D501" t="s">
        <v>52</v>
      </c>
      <c r="E501" t="s">
        <v>17</v>
      </c>
      <c r="F501">
        <v>57</v>
      </c>
      <c r="G501">
        <v>9</v>
      </c>
      <c r="H501">
        <v>1</v>
      </c>
      <c r="I501">
        <f>Inventory_Data[[#This Row],[Opening_Stock]]+Inventory_Data[[#This Row],[Units_Received]]-Inventory_Data[[#This Row],[Units_Sold]]</f>
        <v>65</v>
      </c>
      <c r="J501">
        <v>0</v>
      </c>
      <c r="K501">
        <v>13</v>
      </c>
      <c r="L501" t="s">
        <v>83</v>
      </c>
      <c r="M501" s="3">
        <v>85.36</v>
      </c>
      <c r="N501" s="3">
        <v>110.88</v>
      </c>
      <c r="O501" s="10" t="str">
        <f>TEXT(Inventory_Data[[#This Row],[Date]],"mmm")</f>
        <v>Apr</v>
      </c>
    </row>
    <row r="502" spans="1:15" x14ac:dyDescent="0.2">
      <c r="A502" s="21">
        <v>45752</v>
      </c>
      <c r="B502" s="5" t="s">
        <v>71</v>
      </c>
      <c r="C502" t="s">
        <v>72</v>
      </c>
      <c r="D502" t="s">
        <v>16</v>
      </c>
      <c r="E502" t="s">
        <v>28</v>
      </c>
      <c r="F502">
        <v>87</v>
      </c>
      <c r="G502">
        <v>89</v>
      </c>
      <c r="H502">
        <v>35</v>
      </c>
      <c r="I502">
        <f>Inventory_Data[[#This Row],[Opening_Stock]]+Inventory_Data[[#This Row],[Units_Received]]-Inventory_Data[[#This Row],[Units_Sold]]</f>
        <v>141</v>
      </c>
      <c r="J502">
        <v>0</v>
      </c>
      <c r="K502">
        <v>6</v>
      </c>
      <c r="L502" t="s">
        <v>45</v>
      </c>
      <c r="M502" s="3">
        <v>80.17</v>
      </c>
      <c r="N502" s="3">
        <v>92.48</v>
      </c>
      <c r="O502" s="10" t="str">
        <f>TEXT(Inventory_Data[[#This Row],[Date]],"mmm")</f>
        <v>Apr</v>
      </c>
    </row>
    <row r="503" spans="1:15" x14ac:dyDescent="0.2">
      <c r="A503" s="21">
        <v>45752</v>
      </c>
      <c r="B503" s="5" t="s">
        <v>22</v>
      </c>
      <c r="C503" t="s">
        <v>23</v>
      </c>
      <c r="D503" t="s">
        <v>16</v>
      </c>
      <c r="E503" t="s">
        <v>35</v>
      </c>
      <c r="F503">
        <v>95</v>
      </c>
      <c r="G503">
        <v>69</v>
      </c>
      <c r="H503">
        <v>8</v>
      </c>
      <c r="I503">
        <f>Inventory_Data[[#This Row],[Opening_Stock]]+Inventory_Data[[#This Row],[Units_Received]]-Inventory_Data[[#This Row],[Units_Sold]]</f>
        <v>156</v>
      </c>
      <c r="J503">
        <v>0</v>
      </c>
      <c r="K503">
        <v>8</v>
      </c>
      <c r="L503" t="s">
        <v>18</v>
      </c>
      <c r="M503" s="3">
        <v>16.28</v>
      </c>
      <c r="N503" s="3">
        <v>19.12</v>
      </c>
      <c r="O503" s="10" t="str">
        <f>TEXT(Inventory_Data[[#This Row],[Date]],"mmm")</f>
        <v>Apr</v>
      </c>
    </row>
    <row r="504" spans="1:15" x14ac:dyDescent="0.2">
      <c r="A504" s="21">
        <v>45752</v>
      </c>
      <c r="B504" s="5" t="s">
        <v>61</v>
      </c>
      <c r="C504" t="s">
        <v>62</v>
      </c>
      <c r="D504" t="s">
        <v>48</v>
      </c>
      <c r="E504" t="s">
        <v>28</v>
      </c>
      <c r="F504">
        <v>85</v>
      </c>
      <c r="G504">
        <v>41</v>
      </c>
      <c r="H504">
        <v>17</v>
      </c>
      <c r="I504">
        <f>Inventory_Data[[#This Row],[Opening_Stock]]+Inventory_Data[[#This Row],[Units_Received]]-Inventory_Data[[#This Row],[Units_Sold]]</f>
        <v>109</v>
      </c>
      <c r="J504">
        <v>0</v>
      </c>
      <c r="K504">
        <v>12</v>
      </c>
      <c r="L504" t="s">
        <v>49</v>
      </c>
      <c r="M504" s="3">
        <v>61.86</v>
      </c>
      <c r="N504" s="3">
        <v>76.040000000000006</v>
      </c>
      <c r="O504" s="10" t="str">
        <f>TEXT(Inventory_Data[[#This Row],[Date]],"mmm")</f>
        <v>Apr</v>
      </c>
    </row>
    <row r="505" spans="1:15" x14ac:dyDescent="0.2">
      <c r="A505" s="21">
        <v>45752</v>
      </c>
      <c r="B505" s="5" t="s">
        <v>150</v>
      </c>
      <c r="C505" t="s">
        <v>151</v>
      </c>
      <c r="D505" t="s">
        <v>52</v>
      </c>
      <c r="E505" t="s">
        <v>17</v>
      </c>
      <c r="F505">
        <v>67</v>
      </c>
      <c r="G505">
        <v>17</v>
      </c>
      <c r="H505">
        <v>13</v>
      </c>
      <c r="I505">
        <f>Inventory_Data[[#This Row],[Opening_Stock]]+Inventory_Data[[#This Row],[Units_Received]]-Inventory_Data[[#This Row],[Units_Sold]]</f>
        <v>71</v>
      </c>
      <c r="J505">
        <v>0</v>
      </c>
      <c r="K505">
        <v>7</v>
      </c>
      <c r="L505" t="s">
        <v>53</v>
      </c>
      <c r="M505" s="3">
        <v>263.8</v>
      </c>
      <c r="N505" s="3">
        <v>337.3</v>
      </c>
      <c r="O505" s="10" t="str">
        <f>TEXT(Inventory_Data[[#This Row],[Date]],"mmm")</f>
        <v>Apr</v>
      </c>
    </row>
    <row r="506" spans="1:15" x14ac:dyDescent="0.2">
      <c r="A506" s="21">
        <v>45752</v>
      </c>
      <c r="B506" s="5" t="s">
        <v>174</v>
      </c>
      <c r="C506" t="s">
        <v>175</v>
      </c>
      <c r="D506" t="s">
        <v>52</v>
      </c>
      <c r="E506" t="s">
        <v>28</v>
      </c>
      <c r="F506">
        <v>80</v>
      </c>
      <c r="G506">
        <v>22</v>
      </c>
      <c r="H506">
        <v>10</v>
      </c>
      <c r="I506">
        <f>Inventory_Data[[#This Row],[Opening_Stock]]+Inventory_Data[[#This Row],[Units_Received]]-Inventory_Data[[#This Row],[Units_Sold]]</f>
        <v>92</v>
      </c>
      <c r="J506">
        <v>0</v>
      </c>
      <c r="K506">
        <v>11</v>
      </c>
      <c r="L506" t="s">
        <v>56</v>
      </c>
      <c r="M506" s="3">
        <v>257.2</v>
      </c>
      <c r="N506" s="3">
        <v>341.52</v>
      </c>
      <c r="O506" s="10" t="str">
        <f>TEXT(Inventory_Data[[#This Row],[Date]],"mmm")</f>
        <v>Apr</v>
      </c>
    </row>
    <row r="507" spans="1:15" x14ac:dyDescent="0.2">
      <c r="A507" s="21">
        <v>45752</v>
      </c>
      <c r="B507" s="5" t="s">
        <v>88</v>
      </c>
      <c r="C507" t="s">
        <v>89</v>
      </c>
      <c r="D507" t="s">
        <v>34</v>
      </c>
      <c r="E507" t="s">
        <v>21</v>
      </c>
      <c r="F507">
        <v>327</v>
      </c>
      <c r="G507">
        <v>82</v>
      </c>
      <c r="H507">
        <v>113</v>
      </c>
      <c r="I507">
        <f>Inventory_Data[[#This Row],[Opening_Stock]]+Inventory_Data[[#This Row],[Units_Received]]-Inventory_Data[[#This Row],[Units_Sold]]</f>
        <v>296</v>
      </c>
      <c r="J507">
        <v>0</v>
      </c>
      <c r="K507">
        <v>8</v>
      </c>
      <c r="L507" t="s">
        <v>36</v>
      </c>
      <c r="M507" s="3">
        <v>26.35</v>
      </c>
      <c r="N507" s="3">
        <v>34.090000000000003</v>
      </c>
      <c r="O507" s="10" t="str">
        <f>TEXT(Inventory_Data[[#This Row],[Date]],"mmm")</f>
        <v>Apr</v>
      </c>
    </row>
    <row r="508" spans="1:15" x14ac:dyDescent="0.2">
      <c r="A508" s="21">
        <v>45752</v>
      </c>
      <c r="B508" s="5" t="s">
        <v>176</v>
      </c>
      <c r="C508" t="s">
        <v>177</v>
      </c>
      <c r="D508" t="s">
        <v>34</v>
      </c>
      <c r="E508" t="s">
        <v>21</v>
      </c>
      <c r="F508">
        <v>307</v>
      </c>
      <c r="G508">
        <v>51</v>
      </c>
      <c r="H508">
        <v>114</v>
      </c>
      <c r="I508">
        <f>Inventory_Data[[#This Row],[Opening_Stock]]+Inventory_Data[[#This Row],[Units_Received]]-Inventory_Data[[#This Row],[Units_Sold]]</f>
        <v>244</v>
      </c>
      <c r="J508">
        <v>0</v>
      </c>
      <c r="K508">
        <v>3</v>
      </c>
      <c r="L508" t="s">
        <v>39</v>
      </c>
      <c r="M508" s="3">
        <v>11.83</v>
      </c>
      <c r="N508" s="3">
        <v>13.84</v>
      </c>
      <c r="O508" s="10" t="str">
        <f>TEXT(Inventory_Data[[#This Row],[Date]],"mmm")</f>
        <v>Apr</v>
      </c>
    </row>
    <row r="509" spans="1:15" x14ac:dyDescent="0.2">
      <c r="A509" s="21">
        <v>45752</v>
      </c>
      <c r="B509" s="5" t="s">
        <v>37</v>
      </c>
      <c r="C509" t="s">
        <v>38</v>
      </c>
      <c r="D509" t="s">
        <v>34</v>
      </c>
      <c r="E509" t="s">
        <v>21</v>
      </c>
      <c r="F509">
        <v>340</v>
      </c>
      <c r="G509">
        <v>220</v>
      </c>
      <c r="H509">
        <v>33</v>
      </c>
      <c r="I509">
        <f>Inventory_Data[[#This Row],[Opening_Stock]]+Inventory_Data[[#This Row],[Units_Received]]-Inventory_Data[[#This Row],[Units_Sold]]</f>
        <v>527</v>
      </c>
      <c r="J509">
        <v>0</v>
      </c>
      <c r="K509">
        <v>9</v>
      </c>
      <c r="L509" t="s">
        <v>42</v>
      </c>
      <c r="M509" s="3">
        <v>2.1</v>
      </c>
      <c r="N509" s="3">
        <v>2.96</v>
      </c>
      <c r="O509" s="10" t="str">
        <f>TEXT(Inventory_Data[[#This Row],[Date]],"mmm")</f>
        <v>Apr</v>
      </c>
    </row>
    <row r="510" spans="1:15" x14ac:dyDescent="0.2">
      <c r="A510" s="21">
        <v>45753</v>
      </c>
      <c r="B510" s="5" t="s">
        <v>71</v>
      </c>
      <c r="C510" t="s">
        <v>72</v>
      </c>
      <c r="D510" t="s">
        <v>16</v>
      </c>
      <c r="E510" t="s">
        <v>28</v>
      </c>
      <c r="F510">
        <v>169</v>
      </c>
      <c r="G510">
        <v>47</v>
      </c>
      <c r="H510">
        <v>76</v>
      </c>
      <c r="I510">
        <f>Inventory_Data[[#This Row],[Opening_Stock]]+Inventory_Data[[#This Row],[Units_Received]]-Inventory_Data[[#This Row],[Units_Sold]]</f>
        <v>140</v>
      </c>
      <c r="J510">
        <v>0</v>
      </c>
      <c r="K510">
        <v>8</v>
      </c>
      <c r="L510" t="s">
        <v>18</v>
      </c>
      <c r="M510" s="3">
        <v>132.11000000000001</v>
      </c>
      <c r="N510" s="3">
        <v>159.47999999999999</v>
      </c>
      <c r="O510" s="10" t="str">
        <f>TEXT(Inventory_Data[[#This Row],[Date]],"mmm")</f>
        <v>Apr</v>
      </c>
    </row>
    <row r="511" spans="1:15" x14ac:dyDescent="0.2">
      <c r="A511" s="21">
        <v>45753</v>
      </c>
      <c r="B511" s="5" t="s">
        <v>73</v>
      </c>
      <c r="C511" t="s">
        <v>74</v>
      </c>
      <c r="D511" t="s">
        <v>16</v>
      </c>
      <c r="E511" t="s">
        <v>17</v>
      </c>
      <c r="F511">
        <v>66</v>
      </c>
      <c r="G511">
        <v>24</v>
      </c>
      <c r="H511">
        <v>52</v>
      </c>
      <c r="I511">
        <f>Inventory_Data[[#This Row],[Opening_Stock]]+Inventory_Data[[#This Row],[Units_Received]]-Inventory_Data[[#This Row],[Units_Sold]]</f>
        <v>38</v>
      </c>
      <c r="J511">
        <v>0</v>
      </c>
      <c r="K511">
        <v>9</v>
      </c>
      <c r="L511" t="s">
        <v>45</v>
      </c>
      <c r="M511" s="3">
        <v>121.64</v>
      </c>
      <c r="N511" s="3">
        <v>161.66</v>
      </c>
      <c r="O511" s="10" t="str">
        <f>TEXT(Inventory_Data[[#This Row],[Date]],"mmm")</f>
        <v>Apr</v>
      </c>
    </row>
    <row r="512" spans="1:15" x14ac:dyDescent="0.2">
      <c r="A512" s="21">
        <v>45753</v>
      </c>
      <c r="B512" s="5" t="s">
        <v>94</v>
      </c>
      <c r="C512" t="s">
        <v>95</v>
      </c>
      <c r="D512" t="s">
        <v>16</v>
      </c>
      <c r="E512" t="s">
        <v>21</v>
      </c>
      <c r="F512">
        <v>173</v>
      </c>
      <c r="G512">
        <v>19</v>
      </c>
      <c r="H512">
        <v>35</v>
      </c>
      <c r="I512">
        <f>Inventory_Data[[#This Row],[Opening_Stock]]+Inventory_Data[[#This Row],[Units_Received]]-Inventory_Data[[#This Row],[Units_Sold]]</f>
        <v>157</v>
      </c>
      <c r="J512">
        <v>0</v>
      </c>
      <c r="K512">
        <v>2</v>
      </c>
      <c r="L512" t="s">
        <v>24</v>
      </c>
      <c r="M512" s="3">
        <v>212.76</v>
      </c>
      <c r="N512" s="3">
        <v>250.93</v>
      </c>
      <c r="O512" s="10" t="str">
        <f>TEXT(Inventory_Data[[#This Row],[Date]],"mmm")</f>
        <v>Apr</v>
      </c>
    </row>
    <row r="513" spans="1:15" x14ac:dyDescent="0.2">
      <c r="A513" s="21">
        <v>45753</v>
      </c>
      <c r="B513" s="5" t="s">
        <v>108</v>
      </c>
      <c r="C513" t="s">
        <v>109</v>
      </c>
      <c r="D513" t="s">
        <v>16</v>
      </c>
      <c r="E513" t="s">
        <v>28</v>
      </c>
      <c r="F513">
        <v>68</v>
      </c>
      <c r="G513">
        <v>32</v>
      </c>
      <c r="H513">
        <v>38</v>
      </c>
      <c r="I513">
        <f>Inventory_Data[[#This Row],[Opening_Stock]]+Inventory_Data[[#This Row],[Units_Received]]-Inventory_Data[[#This Row],[Units_Sold]]</f>
        <v>62</v>
      </c>
      <c r="J513">
        <v>0</v>
      </c>
      <c r="K513">
        <v>11</v>
      </c>
      <c r="L513" t="s">
        <v>18</v>
      </c>
      <c r="M513" s="3">
        <v>207.11</v>
      </c>
      <c r="N513" s="3">
        <v>264.01</v>
      </c>
      <c r="O513" s="10" t="str">
        <f>TEXT(Inventory_Data[[#This Row],[Date]],"mmm")</f>
        <v>Apr</v>
      </c>
    </row>
    <row r="514" spans="1:15" x14ac:dyDescent="0.2">
      <c r="A514" s="21">
        <v>45753</v>
      </c>
      <c r="B514" s="5" t="s">
        <v>98</v>
      </c>
      <c r="C514" t="s">
        <v>99</v>
      </c>
      <c r="D514" t="s">
        <v>27</v>
      </c>
      <c r="E514" t="s">
        <v>35</v>
      </c>
      <c r="F514">
        <v>237</v>
      </c>
      <c r="G514">
        <v>137</v>
      </c>
      <c r="H514">
        <v>177</v>
      </c>
      <c r="I514">
        <f>Inventory_Data[[#This Row],[Opening_Stock]]+Inventory_Data[[#This Row],[Units_Received]]-Inventory_Data[[#This Row],[Units_Sold]]</f>
        <v>197</v>
      </c>
      <c r="J514">
        <v>0</v>
      </c>
      <c r="K514">
        <v>3</v>
      </c>
      <c r="L514" t="s">
        <v>80</v>
      </c>
      <c r="M514" s="3">
        <v>10.3</v>
      </c>
      <c r="N514" s="3">
        <v>14.37</v>
      </c>
      <c r="O514" s="10" t="str">
        <f>TEXT(Inventory_Data[[#This Row],[Date]],"mmm")</f>
        <v>Apr</v>
      </c>
    </row>
    <row r="515" spans="1:15" x14ac:dyDescent="0.2">
      <c r="A515" s="21">
        <v>45753</v>
      </c>
      <c r="B515" s="5" t="s">
        <v>150</v>
      </c>
      <c r="C515" t="s">
        <v>151</v>
      </c>
      <c r="D515" t="s">
        <v>52</v>
      </c>
      <c r="E515" t="s">
        <v>35</v>
      </c>
      <c r="F515">
        <v>72</v>
      </c>
      <c r="G515">
        <v>10</v>
      </c>
      <c r="H515">
        <v>10</v>
      </c>
      <c r="I515">
        <f>Inventory_Data[[#This Row],[Opening_Stock]]+Inventory_Data[[#This Row],[Units_Received]]-Inventory_Data[[#This Row],[Units_Sold]]</f>
        <v>72</v>
      </c>
      <c r="J515">
        <v>0</v>
      </c>
      <c r="K515">
        <v>3</v>
      </c>
      <c r="L515" t="s">
        <v>83</v>
      </c>
      <c r="M515" s="3">
        <v>313.61</v>
      </c>
      <c r="N515" s="3">
        <v>435.75</v>
      </c>
      <c r="O515" s="10" t="str">
        <f>TEXT(Inventory_Data[[#This Row],[Date]],"mmm")</f>
        <v>Apr</v>
      </c>
    </row>
    <row r="516" spans="1:15" x14ac:dyDescent="0.2">
      <c r="A516" s="21">
        <v>45753</v>
      </c>
      <c r="B516" s="5" t="s">
        <v>32</v>
      </c>
      <c r="C516" t="s">
        <v>33</v>
      </c>
      <c r="D516" t="s">
        <v>34</v>
      </c>
      <c r="E516" t="s">
        <v>28</v>
      </c>
      <c r="F516">
        <v>183</v>
      </c>
      <c r="G516">
        <v>193</v>
      </c>
      <c r="H516">
        <v>166</v>
      </c>
      <c r="I516">
        <f>Inventory_Data[[#This Row],[Opening_Stock]]+Inventory_Data[[#This Row],[Units_Received]]-Inventory_Data[[#This Row],[Units_Sold]]</f>
        <v>210</v>
      </c>
      <c r="J516">
        <v>0</v>
      </c>
      <c r="K516">
        <v>7</v>
      </c>
      <c r="L516" t="s">
        <v>39</v>
      </c>
      <c r="M516" s="3">
        <v>9.58</v>
      </c>
      <c r="N516" s="3">
        <v>13.56</v>
      </c>
      <c r="O516" s="10" t="str">
        <f>TEXT(Inventory_Data[[#This Row],[Date]],"mmm")</f>
        <v>Apr</v>
      </c>
    </row>
    <row r="517" spans="1:15" x14ac:dyDescent="0.2">
      <c r="A517" s="21">
        <v>45753</v>
      </c>
      <c r="B517" s="5" t="s">
        <v>126</v>
      </c>
      <c r="C517" t="s">
        <v>127</v>
      </c>
      <c r="D517" t="s">
        <v>34</v>
      </c>
      <c r="E517" t="s">
        <v>28</v>
      </c>
      <c r="F517">
        <v>348</v>
      </c>
      <c r="G517">
        <v>62</v>
      </c>
      <c r="H517">
        <v>58</v>
      </c>
      <c r="I517">
        <f>Inventory_Data[[#This Row],[Opening_Stock]]+Inventory_Data[[#This Row],[Units_Received]]-Inventory_Data[[#This Row],[Units_Sold]]</f>
        <v>352</v>
      </c>
      <c r="J517">
        <v>0</v>
      </c>
      <c r="K517">
        <v>5</v>
      </c>
      <c r="L517" t="s">
        <v>39</v>
      </c>
      <c r="M517" s="3">
        <v>18</v>
      </c>
      <c r="N517" s="3">
        <v>23.27</v>
      </c>
      <c r="O517" s="10" t="str">
        <f>TEXT(Inventory_Data[[#This Row],[Date]],"mmm")</f>
        <v>Apr</v>
      </c>
    </row>
    <row r="518" spans="1:15" x14ac:dyDescent="0.2">
      <c r="A518" s="21">
        <v>45754</v>
      </c>
      <c r="B518" s="5" t="s">
        <v>19</v>
      </c>
      <c r="C518" t="s">
        <v>20</v>
      </c>
      <c r="D518" t="s">
        <v>16</v>
      </c>
      <c r="E518" t="s">
        <v>17</v>
      </c>
      <c r="F518">
        <v>135</v>
      </c>
      <c r="G518">
        <v>44</v>
      </c>
      <c r="H518">
        <v>62</v>
      </c>
      <c r="I518">
        <f>Inventory_Data[[#This Row],[Opening_Stock]]+Inventory_Data[[#This Row],[Units_Received]]-Inventory_Data[[#This Row],[Units_Sold]]</f>
        <v>117</v>
      </c>
      <c r="J518">
        <v>0</v>
      </c>
      <c r="K518">
        <v>2</v>
      </c>
      <c r="L518" t="s">
        <v>45</v>
      </c>
      <c r="M518" s="3">
        <v>213.9</v>
      </c>
      <c r="N518" s="3">
        <v>283.43</v>
      </c>
      <c r="O518" s="10" t="str">
        <f>TEXT(Inventory_Data[[#This Row],[Date]],"mmm")</f>
        <v>Apr</v>
      </c>
    </row>
    <row r="519" spans="1:15" x14ac:dyDescent="0.2">
      <c r="A519" s="21">
        <v>45754</v>
      </c>
      <c r="B519" s="5" t="s">
        <v>154</v>
      </c>
      <c r="C519" t="s">
        <v>155</v>
      </c>
      <c r="D519" t="s">
        <v>48</v>
      </c>
      <c r="E519" t="s">
        <v>21</v>
      </c>
      <c r="F519">
        <v>114</v>
      </c>
      <c r="G519">
        <v>118</v>
      </c>
      <c r="H519">
        <v>81</v>
      </c>
      <c r="I519">
        <f>Inventory_Data[[#This Row],[Opening_Stock]]+Inventory_Data[[#This Row],[Units_Received]]-Inventory_Data[[#This Row],[Units_Sold]]</f>
        <v>151</v>
      </c>
      <c r="J519">
        <v>0</v>
      </c>
      <c r="K519">
        <v>4</v>
      </c>
      <c r="L519" t="s">
        <v>49</v>
      </c>
      <c r="M519" s="3">
        <v>59.83</v>
      </c>
      <c r="N519" s="3">
        <v>82.61</v>
      </c>
      <c r="O519" s="10" t="str">
        <f>TEXT(Inventory_Data[[#This Row],[Date]],"mmm")</f>
        <v>Apr</v>
      </c>
    </row>
    <row r="520" spans="1:15" x14ac:dyDescent="0.2">
      <c r="A520" s="21">
        <v>45754</v>
      </c>
      <c r="B520" s="5" t="s">
        <v>98</v>
      </c>
      <c r="C520" t="s">
        <v>99</v>
      </c>
      <c r="D520" t="s">
        <v>27</v>
      </c>
      <c r="E520" t="s">
        <v>17</v>
      </c>
      <c r="F520">
        <v>347</v>
      </c>
      <c r="G520">
        <v>43</v>
      </c>
      <c r="H520">
        <v>136</v>
      </c>
      <c r="I520">
        <f>Inventory_Data[[#This Row],[Opening_Stock]]+Inventory_Data[[#This Row],[Units_Received]]-Inventory_Data[[#This Row],[Units_Sold]]</f>
        <v>254</v>
      </c>
      <c r="J520">
        <v>0</v>
      </c>
      <c r="K520">
        <v>5</v>
      </c>
      <c r="L520" t="s">
        <v>29</v>
      </c>
      <c r="M520" s="3">
        <v>18.59</v>
      </c>
      <c r="N520" s="3">
        <v>22.54</v>
      </c>
      <c r="O520" s="10" t="str">
        <f>TEXT(Inventory_Data[[#This Row],[Date]],"mmm")</f>
        <v>Apr</v>
      </c>
    </row>
    <row r="521" spans="1:15" x14ac:dyDescent="0.2">
      <c r="A521" s="21">
        <v>45754</v>
      </c>
      <c r="B521" s="5" t="s">
        <v>37</v>
      </c>
      <c r="C521" t="s">
        <v>38</v>
      </c>
      <c r="D521" t="s">
        <v>34</v>
      </c>
      <c r="E521" t="s">
        <v>35</v>
      </c>
      <c r="F521">
        <v>228</v>
      </c>
      <c r="G521">
        <v>91</v>
      </c>
      <c r="H521">
        <v>107</v>
      </c>
      <c r="I521">
        <f>Inventory_Data[[#This Row],[Opening_Stock]]+Inventory_Data[[#This Row],[Units_Received]]-Inventory_Data[[#This Row],[Units_Sold]]</f>
        <v>212</v>
      </c>
      <c r="J521">
        <v>0</v>
      </c>
      <c r="K521">
        <v>11</v>
      </c>
      <c r="L521" t="s">
        <v>39</v>
      </c>
      <c r="M521" s="3">
        <v>29.28</v>
      </c>
      <c r="N521" s="3">
        <v>36.39</v>
      </c>
      <c r="O521" s="10" t="str">
        <f>TEXT(Inventory_Data[[#This Row],[Date]],"mmm")</f>
        <v>Apr</v>
      </c>
    </row>
    <row r="522" spans="1:15" x14ac:dyDescent="0.2">
      <c r="A522" s="21">
        <v>45755</v>
      </c>
      <c r="B522" s="5" t="s">
        <v>162</v>
      </c>
      <c r="C522" t="s">
        <v>163</v>
      </c>
      <c r="D522" t="s">
        <v>16</v>
      </c>
      <c r="E522" t="s">
        <v>35</v>
      </c>
      <c r="F522">
        <v>30</v>
      </c>
      <c r="G522">
        <v>72</v>
      </c>
      <c r="H522">
        <v>61</v>
      </c>
      <c r="I522">
        <f>Inventory_Data[[#This Row],[Opening_Stock]]+Inventory_Data[[#This Row],[Units_Received]]-Inventory_Data[[#This Row],[Units_Sold]]</f>
        <v>41</v>
      </c>
      <c r="J522">
        <v>0</v>
      </c>
      <c r="K522">
        <v>13</v>
      </c>
      <c r="L522" t="s">
        <v>24</v>
      </c>
      <c r="M522" s="3">
        <v>115.41</v>
      </c>
      <c r="N522" s="3">
        <v>157.13</v>
      </c>
      <c r="O522" s="10" t="str">
        <f>TEXT(Inventory_Data[[#This Row],[Date]],"mmm")</f>
        <v>Apr</v>
      </c>
    </row>
    <row r="523" spans="1:15" x14ac:dyDescent="0.2">
      <c r="A523" s="21">
        <v>45755</v>
      </c>
      <c r="B523" s="5" t="s">
        <v>84</v>
      </c>
      <c r="C523" t="s">
        <v>85</v>
      </c>
      <c r="D523" t="s">
        <v>48</v>
      </c>
      <c r="E523" t="s">
        <v>21</v>
      </c>
      <c r="F523">
        <v>292</v>
      </c>
      <c r="G523">
        <v>28</v>
      </c>
      <c r="H523">
        <v>102</v>
      </c>
      <c r="I523">
        <f>Inventory_Data[[#This Row],[Opening_Stock]]+Inventory_Data[[#This Row],[Units_Received]]-Inventory_Data[[#This Row],[Units_Sold]]</f>
        <v>218</v>
      </c>
      <c r="J523">
        <v>0</v>
      </c>
      <c r="K523">
        <v>7</v>
      </c>
      <c r="L523" t="s">
        <v>49</v>
      </c>
      <c r="M523" s="3">
        <v>41.14</v>
      </c>
      <c r="N523" s="3">
        <v>61.72</v>
      </c>
      <c r="O523" s="10" t="str">
        <f>TEXT(Inventory_Data[[#This Row],[Date]],"mmm")</f>
        <v>Apr</v>
      </c>
    </row>
    <row r="524" spans="1:15" x14ac:dyDescent="0.2">
      <c r="A524" s="21">
        <v>45755</v>
      </c>
      <c r="B524" s="5" t="s">
        <v>30</v>
      </c>
      <c r="C524" t="s">
        <v>31</v>
      </c>
      <c r="D524" t="s">
        <v>27</v>
      </c>
      <c r="E524" t="s">
        <v>17</v>
      </c>
      <c r="F524">
        <v>408</v>
      </c>
      <c r="G524">
        <v>139</v>
      </c>
      <c r="H524">
        <v>195</v>
      </c>
      <c r="I524">
        <f>Inventory_Data[[#This Row],[Opening_Stock]]+Inventory_Data[[#This Row],[Units_Received]]-Inventory_Data[[#This Row],[Units_Sold]]</f>
        <v>352</v>
      </c>
      <c r="J524">
        <v>0</v>
      </c>
      <c r="K524">
        <v>2</v>
      </c>
      <c r="L524" t="s">
        <v>66</v>
      </c>
      <c r="M524" s="3">
        <v>13.72</v>
      </c>
      <c r="N524" s="3">
        <v>18.100000000000001</v>
      </c>
      <c r="O524" s="10" t="str">
        <f>TEXT(Inventory_Data[[#This Row],[Date]],"mmm")</f>
        <v>Apr</v>
      </c>
    </row>
    <row r="525" spans="1:15" x14ac:dyDescent="0.2">
      <c r="A525" s="21">
        <v>45755</v>
      </c>
      <c r="B525" s="5" t="s">
        <v>160</v>
      </c>
      <c r="C525" t="s">
        <v>161</v>
      </c>
      <c r="D525" t="s">
        <v>27</v>
      </c>
      <c r="E525" t="s">
        <v>35</v>
      </c>
      <c r="F525">
        <v>172</v>
      </c>
      <c r="G525">
        <v>58</v>
      </c>
      <c r="H525">
        <v>147</v>
      </c>
      <c r="I525">
        <f>Inventory_Data[[#This Row],[Opening_Stock]]+Inventory_Data[[#This Row],[Units_Received]]-Inventory_Data[[#This Row],[Units_Sold]]</f>
        <v>83</v>
      </c>
      <c r="J525">
        <v>0</v>
      </c>
      <c r="K525">
        <v>1</v>
      </c>
      <c r="L525" t="s">
        <v>80</v>
      </c>
      <c r="M525" s="3">
        <v>24.97</v>
      </c>
      <c r="N525" s="3">
        <v>29.26</v>
      </c>
      <c r="O525" s="10" t="str">
        <f>TEXT(Inventory_Data[[#This Row],[Date]],"mmm")</f>
        <v>Apr</v>
      </c>
    </row>
    <row r="526" spans="1:15" x14ac:dyDescent="0.2">
      <c r="A526" s="21">
        <v>45755</v>
      </c>
      <c r="B526" s="5" t="s">
        <v>136</v>
      </c>
      <c r="C526" t="s">
        <v>137</v>
      </c>
      <c r="D526" t="s">
        <v>27</v>
      </c>
      <c r="E526" t="s">
        <v>17</v>
      </c>
      <c r="F526">
        <v>459</v>
      </c>
      <c r="G526">
        <v>194</v>
      </c>
      <c r="H526">
        <v>40</v>
      </c>
      <c r="I526">
        <f>Inventory_Data[[#This Row],[Opening_Stock]]+Inventory_Data[[#This Row],[Units_Received]]-Inventory_Data[[#This Row],[Units_Sold]]</f>
        <v>613</v>
      </c>
      <c r="J526">
        <v>0</v>
      </c>
      <c r="K526">
        <v>4</v>
      </c>
      <c r="L526" t="s">
        <v>80</v>
      </c>
      <c r="M526" s="3">
        <v>9.6999999999999993</v>
      </c>
      <c r="N526" s="3">
        <v>13.85</v>
      </c>
      <c r="O526" s="10" t="str">
        <f>TEXT(Inventory_Data[[#This Row],[Date]],"mmm")</f>
        <v>Apr</v>
      </c>
    </row>
    <row r="527" spans="1:15" x14ac:dyDescent="0.2">
      <c r="A527" s="21">
        <v>45755</v>
      </c>
      <c r="B527" s="5" t="s">
        <v>186</v>
      </c>
      <c r="C527" t="s">
        <v>187</v>
      </c>
      <c r="D527" t="s">
        <v>27</v>
      </c>
      <c r="E527" t="s">
        <v>17</v>
      </c>
      <c r="F527">
        <v>192</v>
      </c>
      <c r="G527">
        <v>110</v>
      </c>
      <c r="H527">
        <v>49</v>
      </c>
      <c r="I527">
        <f>Inventory_Data[[#This Row],[Opening_Stock]]+Inventory_Data[[#This Row],[Units_Received]]-Inventory_Data[[#This Row],[Units_Sold]]</f>
        <v>253</v>
      </c>
      <c r="J527">
        <v>0</v>
      </c>
      <c r="K527">
        <v>7</v>
      </c>
      <c r="L527" t="s">
        <v>66</v>
      </c>
      <c r="M527" s="3">
        <v>3.02</v>
      </c>
      <c r="N527" s="3">
        <v>3.89</v>
      </c>
      <c r="O527" s="10" t="str">
        <f>TEXT(Inventory_Data[[#This Row],[Date]],"mmm")</f>
        <v>Apr</v>
      </c>
    </row>
    <row r="528" spans="1:15" x14ac:dyDescent="0.2">
      <c r="A528" s="21">
        <v>45755</v>
      </c>
      <c r="B528" s="5" t="s">
        <v>150</v>
      </c>
      <c r="C528" t="s">
        <v>151</v>
      </c>
      <c r="D528" t="s">
        <v>52</v>
      </c>
      <c r="E528" t="s">
        <v>21</v>
      </c>
      <c r="F528">
        <v>22</v>
      </c>
      <c r="G528">
        <v>5</v>
      </c>
      <c r="H528">
        <v>3</v>
      </c>
      <c r="I528">
        <f>Inventory_Data[[#This Row],[Opening_Stock]]+Inventory_Data[[#This Row],[Units_Received]]-Inventory_Data[[#This Row],[Units_Sold]]</f>
        <v>24</v>
      </c>
      <c r="J528">
        <v>0</v>
      </c>
      <c r="K528">
        <v>13</v>
      </c>
      <c r="L528" t="s">
        <v>83</v>
      </c>
      <c r="M528" s="3">
        <v>245.05</v>
      </c>
      <c r="N528" s="3">
        <v>357.5</v>
      </c>
      <c r="O528" s="10" t="str">
        <f>TEXT(Inventory_Data[[#This Row],[Date]],"mmm")</f>
        <v>Apr</v>
      </c>
    </row>
    <row r="529" spans="1:15" x14ac:dyDescent="0.2">
      <c r="A529" s="21">
        <v>45755</v>
      </c>
      <c r="B529" s="5" t="s">
        <v>40</v>
      </c>
      <c r="C529" t="s">
        <v>41</v>
      </c>
      <c r="D529" t="s">
        <v>34</v>
      </c>
      <c r="E529" t="s">
        <v>35</v>
      </c>
      <c r="F529">
        <v>273</v>
      </c>
      <c r="G529">
        <v>137</v>
      </c>
      <c r="H529">
        <v>179</v>
      </c>
      <c r="I529">
        <f>Inventory_Data[[#This Row],[Opening_Stock]]+Inventory_Data[[#This Row],[Units_Received]]-Inventory_Data[[#This Row],[Units_Sold]]</f>
        <v>231</v>
      </c>
      <c r="J529">
        <v>0</v>
      </c>
      <c r="K529">
        <v>14</v>
      </c>
      <c r="L529" t="s">
        <v>39</v>
      </c>
      <c r="M529" s="3">
        <v>22.58</v>
      </c>
      <c r="N529" s="3">
        <v>30.51</v>
      </c>
      <c r="O529" s="10" t="str">
        <f>TEXT(Inventory_Data[[#This Row],[Date]],"mmm")</f>
        <v>Apr</v>
      </c>
    </row>
    <row r="530" spans="1:15" x14ac:dyDescent="0.2">
      <c r="A530" s="21">
        <v>45756</v>
      </c>
      <c r="B530" s="5" t="s">
        <v>19</v>
      </c>
      <c r="C530" t="s">
        <v>20</v>
      </c>
      <c r="D530" t="s">
        <v>16</v>
      </c>
      <c r="E530" t="s">
        <v>21</v>
      </c>
      <c r="F530">
        <v>58</v>
      </c>
      <c r="G530">
        <v>44</v>
      </c>
      <c r="H530">
        <v>5</v>
      </c>
      <c r="I530">
        <f>Inventory_Data[[#This Row],[Opening_Stock]]+Inventory_Data[[#This Row],[Units_Received]]-Inventory_Data[[#This Row],[Units_Sold]]</f>
        <v>97</v>
      </c>
      <c r="J530">
        <v>0</v>
      </c>
      <c r="K530">
        <v>9</v>
      </c>
      <c r="L530" t="s">
        <v>24</v>
      </c>
      <c r="M530" s="3">
        <v>164.55</v>
      </c>
      <c r="N530" s="3">
        <v>239.62</v>
      </c>
      <c r="O530" s="10" t="str">
        <f>TEXT(Inventory_Data[[#This Row],[Date]],"mmm")</f>
        <v>Apr</v>
      </c>
    </row>
    <row r="531" spans="1:15" x14ac:dyDescent="0.2">
      <c r="A531" s="21">
        <v>45756</v>
      </c>
      <c r="B531" s="5" t="s">
        <v>170</v>
      </c>
      <c r="C531" t="s">
        <v>171</v>
      </c>
      <c r="D531" t="s">
        <v>48</v>
      </c>
      <c r="E531" t="s">
        <v>17</v>
      </c>
      <c r="F531">
        <v>128</v>
      </c>
      <c r="G531">
        <v>85</v>
      </c>
      <c r="H531">
        <v>21</v>
      </c>
      <c r="I531">
        <f>Inventory_Data[[#This Row],[Opening_Stock]]+Inventory_Data[[#This Row],[Units_Received]]-Inventory_Data[[#This Row],[Units_Sold]]</f>
        <v>192</v>
      </c>
      <c r="J531">
        <v>0</v>
      </c>
      <c r="K531">
        <v>9</v>
      </c>
      <c r="L531" t="s">
        <v>49</v>
      </c>
      <c r="M531" s="3">
        <v>18.36</v>
      </c>
      <c r="N531" s="3">
        <v>21.32</v>
      </c>
      <c r="O531" s="10" t="str">
        <f>TEXT(Inventory_Data[[#This Row],[Date]],"mmm")</f>
        <v>Apr</v>
      </c>
    </row>
    <row r="532" spans="1:15" x14ac:dyDescent="0.2">
      <c r="A532" s="21">
        <v>45756</v>
      </c>
      <c r="B532" s="5" t="s">
        <v>84</v>
      </c>
      <c r="C532" t="s">
        <v>85</v>
      </c>
      <c r="D532" t="s">
        <v>48</v>
      </c>
      <c r="E532" t="s">
        <v>17</v>
      </c>
      <c r="F532">
        <v>258</v>
      </c>
      <c r="G532">
        <v>90</v>
      </c>
      <c r="H532">
        <v>140</v>
      </c>
      <c r="I532">
        <f>Inventory_Data[[#This Row],[Opening_Stock]]+Inventory_Data[[#This Row],[Units_Received]]-Inventory_Data[[#This Row],[Units_Sold]]</f>
        <v>208</v>
      </c>
      <c r="J532">
        <v>0</v>
      </c>
      <c r="K532">
        <v>11</v>
      </c>
      <c r="L532" t="s">
        <v>63</v>
      </c>
      <c r="M532" s="3">
        <v>50.38</v>
      </c>
      <c r="N532" s="3">
        <v>72.849999999999994</v>
      </c>
      <c r="O532" s="10" t="str">
        <f>TEXT(Inventory_Data[[#This Row],[Date]],"mmm")</f>
        <v>Apr</v>
      </c>
    </row>
    <row r="533" spans="1:15" x14ac:dyDescent="0.2">
      <c r="A533" s="21">
        <v>45756</v>
      </c>
      <c r="B533" s="5" t="s">
        <v>144</v>
      </c>
      <c r="C533" t="s">
        <v>145</v>
      </c>
      <c r="D533" t="s">
        <v>48</v>
      </c>
      <c r="E533" t="s">
        <v>21</v>
      </c>
      <c r="F533">
        <v>129</v>
      </c>
      <c r="G533">
        <v>123</v>
      </c>
      <c r="H533">
        <v>128</v>
      </c>
      <c r="I533">
        <f>Inventory_Data[[#This Row],[Opening_Stock]]+Inventory_Data[[#This Row],[Units_Received]]-Inventory_Data[[#This Row],[Units_Sold]]</f>
        <v>124</v>
      </c>
      <c r="J533">
        <v>0</v>
      </c>
      <c r="K533">
        <v>6</v>
      </c>
      <c r="L533" t="s">
        <v>77</v>
      </c>
      <c r="M533" s="3">
        <v>51.52</v>
      </c>
      <c r="N533" s="3">
        <v>72.66</v>
      </c>
      <c r="O533" s="10" t="str">
        <f>TEXT(Inventory_Data[[#This Row],[Date]],"mmm")</f>
        <v>Apr</v>
      </c>
    </row>
    <row r="534" spans="1:15" x14ac:dyDescent="0.2">
      <c r="A534" s="21">
        <v>45756</v>
      </c>
      <c r="B534" s="5" t="s">
        <v>86</v>
      </c>
      <c r="C534" t="s">
        <v>87</v>
      </c>
      <c r="D534" t="s">
        <v>48</v>
      </c>
      <c r="E534" t="s">
        <v>17</v>
      </c>
      <c r="F534">
        <v>152</v>
      </c>
      <c r="G534">
        <v>116</v>
      </c>
      <c r="H534">
        <v>100</v>
      </c>
      <c r="I534">
        <f>Inventory_Data[[#This Row],[Opening_Stock]]+Inventory_Data[[#This Row],[Units_Received]]-Inventory_Data[[#This Row],[Units_Sold]]</f>
        <v>168</v>
      </c>
      <c r="J534">
        <v>0</v>
      </c>
      <c r="K534">
        <v>4</v>
      </c>
      <c r="L534" t="s">
        <v>77</v>
      </c>
      <c r="M534" s="3">
        <v>55.47</v>
      </c>
      <c r="N534" s="3">
        <v>78.150000000000006</v>
      </c>
      <c r="O534" s="10" t="str">
        <f>TEXT(Inventory_Data[[#This Row],[Date]],"mmm")</f>
        <v>Apr</v>
      </c>
    </row>
    <row r="535" spans="1:15" x14ac:dyDescent="0.2">
      <c r="A535" s="21">
        <v>45756</v>
      </c>
      <c r="B535" s="5" t="s">
        <v>154</v>
      </c>
      <c r="C535" t="s">
        <v>155</v>
      </c>
      <c r="D535" t="s">
        <v>48</v>
      </c>
      <c r="E535" t="s">
        <v>35</v>
      </c>
      <c r="F535">
        <v>107</v>
      </c>
      <c r="G535">
        <v>26</v>
      </c>
      <c r="H535">
        <v>58</v>
      </c>
      <c r="I535">
        <f>Inventory_Data[[#This Row],[Opening_Stock]]+Inventory_Data[[#This Row],[Units_Received]]-Inventory_Data[[#This Row],[Units_Sold]]</f>
        <v>75</v>
      </c>
      <c r="J535">
        <v>0</v>
      </c>
      <c r="K535">
        <v>10</v>
      </c>
      <c r="L535" t="s">
        <v>63</v>
      </c>
      <c r="M535" s="3">
        <v>44.92</v>
      </c>
      <c r="N535" s="3">
        <v>68.86</v>
      </c>
      <c r="O535" s="10" t="str">
        <f>TEXT(Inventory_Data[[#This Row],[Date]],"mmm")</f>
        <v>Apr</v>
      </c>
    </row>
    <row r="536" spans="1:15" x14ac:dyDescent="0.2">
      <c r="A536" s="21">
        <v>45756</v>
      </c>
      <c r="B536" s="5" t="s">
        <v>92</v>
      </c>
      <c r="C536" t="s">
        <v>93</v>
      </c>
      <c r="D536" t="s">
        <v>27</v>
      </c>
      <c r="E536" t="s">
        <v>21</v>
      </c>
      <c r="F536">
        <v>179</v>
      </c>
      <c r="G536">
        <v>148</v>
      </c>
      <c r="H536">
        <v>106</v>
      </c>
      <c r="I536">
        <f>Inventory_Data[[#This Row],[Opening_Stock]]+Inventory_Data[[#This Row],[Units_Received]]-Inventory_Data[[#This Row],[Units_Sold]]</f>
        <v>221</v>
      </c>
      <c r="J536">
        <v>0</v>
      </c>
      <c r="K536">
        <v>5</v>
      </c>
      <c r="L536" t="s">
        <v>29</v>
      </c>
      <c r="M536" s="3">
        <v>2.83</v>
      </c>
      <c r="N536" s="3">
        <v>3.7</v>
      </c>
      <c r="O536" s="10" t="str">
        <f>TEXT(Inventory_Data[[#This Row],[Date]],"mmm")</f>
        <v>Apr</v>
      </c>
    </row>
    <row r="537" spans="1:15" x14ac:dyDescent="0.2">
      <c r="A537" s="21">
        <v>45756</v>
      </c>
      <c r="B537" s="5" t="s">
        <v>122</v>
      </c>
      <c r="C537" t="s">
        <v>123</v>
      </c>
      <c r="D537" t="s">
        <v>27</v>
      </c>
      <c r="E537" t="s">
        <v>17</v>
      </c>
      <c r="F537">
        <v>321</v>
      </c>
      <c r="G537">
        <v>125</v>
      </c>
      <c r="H537">
        <v>112</v>
      </c>
      <c r="I537">
        <f>Inventory_Data[[#This Row],[Opening_Stock]]+Inventory_Data[[#This Row],[Units_Received]]-Inventory_Data[[#This Row],[Units_Sold]]</f>
        <v>334</v>
      </c>
      <c r="J537">
        <v>0</v>
      </c>
      <c r="K537">
        <v>6</v>
      </c>
      <c r="L537" t="s">
        <v>29</v>
      </c>
      <c r="M537" s="3">
        <v>15.87</v>
      </c>
      <c r="N537" s="3">
        <v>23.55</v>
      </c>
      <c r="O537" s="10" t="str">
        <f>TEXT(Inventory_Data[[#This Row],[Date]],"mmm")</f>
        <v>Apr</v>
      </c>
    </row>
    <row r="538" spans="1:15" x14ac:dyDescent="0.2">
      <c r="A538" s="21">
        <v>45756</v>
      </c>
      <c r="B538" s="5" t="s">
        <v>136</v>
      </c>
      <c r="C538" t="s">
        <v>137</v>
      </c>
      <c r="D538" t="s">
        <v>27</v>
      </c>
      <c r="E538" t="s">
        <v>28</v>
      </c>
      <c r="F538">
        <v>441</v>
      </c>
      <c r="G538">
        <v>243</v>
      </c>
      <c r="H538">
        <v>33</v>
      </c>
      <c r="I538">
        <f>Inventory_Data[[#This Row],[Opening_Stock]]+Inventory_Data[[#This Row],[Units_Received]]-Inventory_Data[[#This Row],[Units_Sold]]</f>
        <v>651</v>
      </c>
      <c r="J538">
        <v>0</v>
      </c>
      <c r="K538">
        <v>6</v>
      </c>
      <c r="L538" t="s">
        <v>80</v>
      </c>
      <c r="M538" s="3">
        <v>19.25</v>
      </c>
      <c r="N538" s="3">
        <v>28.34</v>
      </c>
      <c r="O538" s="10" t="str">
        <f>TEXT(Inventory_Data[[#This Row],[Date]],"mmm")</f>
        <v>Apr</v>
      </c>
    </row>
    <row r="539" spans="1:15" x14ac:dyDescent="0.2">
      <c r="A539" s="21">
        <v>45756</v>
      </c>
      <c r="B539" s="5" t="s">
        <v>148</v>
      </c>
      <c r="C539" t="s">
        <v>149</v>
      </c>
      <c r="D539" t="s">
        <v>27</v>
      </c>
      <c r="E539" t="s">
        <v>28</v>
      </c>
      <c r="F539">
        <v>416</v>
      </c>
      <c r="G539">
        <v>249</v>
      </c>
      <c r="H539">
        <v>188</v>
      </c>
      <c r="I539">
        <f>Inventory_Data[[#This Row],[Opening_Stock]]+Inventory_Data[[#This Row],[Units_Received]]-Inventory_Data[[#This Row],[Units_Sold]]</f>
        <v>477</v>
      </c>
      <c r="J539">
        <v>0</v>
      </c>
      <c r="K539">
        <v>2</v>
      </c>
      <c r="L539" t="s">
        <v>66</v>
      </c>
      <c r="M539" s="3">
        <v>12.98</v>
      </c>
      <c r="N539" s="3">
        <v>18.05</v>
      </c>
      <c r="O539" s="10" t="str">
        <f>TEXT(Inventory_Data[[#This Row],[Date]],"mmm")</f>
        <v>Apr</v>
      </c>
    </row>
    <row r="540" spans="1:15" x14ac:dyDescent="0.2">
      <c r="A540" s="21">
        <v>45756</v>
      </c>
      <c r="B540" s="5" t="s">
        <v>102</v>
      </c>
      <c r="C540" t="s">
        <v>103</v>
      </c>
      <c r="D540" t="s">
        <v>52</v>
      </c>
      <c r="E540" t="s">
        <v>28</v>
      </c>
      <c r="F540">
        <v>71</v>
      </c>
      <c r="G540">
        <v>10</v>
      </c>
      <c r="H540">
        <v>5</v>
      </c>
      <c r="I540">
        <f>Inventory_Data[[#This Row],[Opening_Stock]]+Inventory_Data[[#This Row],[Units_Received]]-Inventory_Data[[#This Row],[Units_Sold]]</f>
        <v>76</v>
      </c>
      <c r="J540">
        <v>0</v>
      </c>
      <c r="K540">
        <v>14</v>
      </c>
      <c r="L540" t="s">
        <v>56</v>
      </c>
      <c r="M540" s="3">
        <v>296.08999999999997</v>
      </c>
      <c r="N540" s="3">
        <v>433.42</v>
      </c>
      <c r="O540" s="10" t="str">
        <f>TEXT(Inventory_Data[[#This Row],[Date]],"mmm")</f>
        <v>Apr</v>
      </c>
    </row>
    <row r="541" spans="1:15" x14ac:dyDescent="0.2">
      <c r="A541" s="21">
        <v>45757</v>
      </c>
      <c r="B541" s="5" t="s">
        <v>184</v>
      </c>
      <c r="C541" t="s">
        <v>185</v>
      </c>
      <c r="D541" t="s">
        <v>16</v>
      </c>
      <c r="E541" t="s">
        <v>28</v>
      </c>
      <c r="F541">
        <v>165</v>
      </c>
      <c r="G541">
        <v>34</v>
      </c>
      <c r="H541">
        <v>24</v>
      </c>
      <c r="I541">
        <f>Inventory_Data[[#This Row],[Opening_Stock]]+Inventory_Data[[#This Row],[Units_Received]]-Inventory_Data[[#This Row],[Units_Sold]]</f>
        <v>175</v>
      </c>
      <c r="J541">
        <v>0</v>
      </c>
      <c r="K541">
        <v>11</v>
      </c>
      <c r="L541" t="s">
        <v>24</v>
      </c>
      <c r="M541" s="3">
        <v>153.53</v>
      </c>
      <c r="N541" s="3">
        <v>235.53</v>
      </c>
      <c r="O541" s="10" t="str">
        <f>TEXT(Inventory_Data[[#This Row],[Date]],"mmm")</f>
        <v>Apr</v>
      </c>
    </row>
    <row r="542" spans="1:15" x14ac:dyDescent="0.2">
      <c r="A542" s="21">
        <v>45757</v>
      </c>
      <c r="B542" s="5" t="s">
        <v>46</v>
      </c>
      <c r="C542" t="s">
        <v>47</v>
      </c>
      <c r="D542" t="s">
        <v>48</v>
      </c>
      <c r="E542" t="s">
        <v>28</v>
      </c>
      <c r="F542">
        <v>231</v>
      </c>
      <c r="G542">
        <v>82</v>
      </c>
      <c r="H542">
        <v>82</v>
      </c>
      <c r="I542">
        <f>Inventory_Data[[#This Row],[Opening_Stock]]+Inventory_Data[[#This Row],[Units_Received]]-Inventory_Data[[#This Row],[Units_Sold]]</f>
        <v>231</v>
      </c>
      <c r="J542">
        <v>0</v>
      </c>
      <c r="K542">
        <v>2</v>
      </c>
      <c r="L542" t="s">
        <v>63</v>
      </c>
      <c r="M542" s="3">
        <v>41.37</v>
      </c>
      <c r="N542" s="3">
        <v>61.98</v>
      </c>
      <c r="O542" s="10" t="str">
        <f>TEXT(Inventory_Data[[#This Row],[Date]],"mmm")</f>
        <v>Apr</v>
      </c>
    </row>
    <row r="543" spans="1:15" x14ac:dyDescent="0.2">
      <c r="A543" s="21">
        <v>45757</v>
      </c>
      <c r="B543" s="5" t="s">
        <v>46</v>
      </c>
      <c r="C543" t="s">
        <v>47</v>
      </c>
      <c r="D543" t="s">
        <v>48</v>
      </c>
      <c r="E543" t="s">
        <v>28</v>
      </c>
      <c r="F543">
        <v>222</v>
      </c>
      <c r="G543">
        <v>131</v>
      </c>
      <c r="H543">
        <v>138</v>
      </c>
      <c r="I543">
        <f>Inventory_Data[[#This Row],[Opening_Stock]]+Inventory_Data[[#This Row],[Units_Received]]-Inventory_Data[[#This Row],[Units_Sold]]</f>
        <v>215</v>
      </c>
      <c r="J543">
        <v>0</v>
      </c>
      <c r="K543">
        <v>7</v>
      </c>
      <c r="L543" t="s">
        <v>63</v>
      </c>
      <c r="M543" s="3">
        <v>23.63</v>
      </c>
      <c r="N543" s="3">
        <v>28.92</v>
      </c>
      <c r="O543" s="10" t="str">
        <f>TEXT(Inventory_Data[[#This Row],[Date]],"mmm")</f>
        <v>Apr</v>
      </c>
    </row>
    <row r="544" spans="1:15" x14ac:dyDescent="0.2">
      <c r="A544" s="21">
        <v>45757</v>
      </c>
      <c r="B544" s="5" t="s">
        <v>64</v>
      </c>
      <c r="C544" t="s">
        <v>65</v>
      </c>
      <c r="D544" t="s">
        <v>27</v>
      </c>
      <c r="E544" t="s">
        <v>28</v>
      </c>
      <c r="F544">
        <v>346</v>
      </c>
      <c r="G544">
        <v>193</v>
      </c>
      <c r="H544">
        <v>61</v>
      </c>
      <c r="I544">
        <f>Inventory_Data[[#This Row],[Opening_Stock]]+Inventory_Data[[#This Row],[Units_Received]]-Inventory_Data[[#This Row],[Units_Sold]]</f>
        <v>478</v>
      </c>
      <c r="J544">
        <v>0</v>
      </c>
      <c r="K544">
        <v>3</v>
      </c>
      <c r="L544" t="s">
        <v>80</v>
      </c>
      <c r="M544" s="3">
        <v>23.45</v>
      </c>
      <c r="N544" s="3">
        <v>31.88</v>
      </c>
      <c r="O544" s="10" t="str">
        <f>TEXT(Inventory_Data[[#This Row],[Date]],"mmm")</f>
        <v>Apr</v>
      </c>
    </row>
    <row r="545" spans="1:15" x14ac:dyDescent="0.2">
      <c r="A545" s="21">
        <v>45757</v>
      </c>
      <c r="B545" s="5" t="s">
        <v>40</v>
      </c>
      <c r="C545" t="s">
        <v>41</v>
      </c>
      <c r="D545" t="s">
        <v>34</v>
      </c>
      <c r="E545" t="s">
        <v>28</v>
      </c>
      <c r="F545">
        <v>337</v>
      </c>
      <c r="G545">
        <v>69</v>
      </c>
      <c r="H545">
        <v>115</v>
      </c>
      <c r="I545">
        <f>Inventory_Data[[#This Row],[Opening_Stock]]+Inventory_Data[[#This Row],[Units_Received]]-Inventory_Data[[#This Row],[Units_Sold]]</f>
        <v>291</v>
      </c>
      <c r="J545">
        <v>0</v>
      </c>
      <c r="K545">
        <v>2</v>
      </c>
      <c r="L545" t="s">
        <v>39</v>
      </c>
      <c r="M545" s="3">
        <v>8.33</v>
      </c>
      <c r="N545" s="3">
        <v>11.5</v>
      </c>
      <c r="O545" s="10" t="str">
        <f>TEXT(Inventory_Data[[#This Row],[Date]],"mmm")</f>
        <v>Apr</v>
      </c>
    </row>
    <row r="546" spans="1:15" x14ac:dyDescent="0.2">
      <c r="A546" s="21">
        <v>45758</v>
      </c>
      <c r="B546" s="5" t="s">
        <v>164</v>
      </c>
      <c r="C546" t="s">
        <v>165</v>
      </c>
      <c r="D546" t="s">
        <v>48</v>
      </c>
      <c r="E546" t="s">
        <v>28</v>
      </c>
      <c r="F546">
        <v>214</v>
      </c>
      <c r="G546">
        <v>150</v>
      </c>
      <c r="H546">
        <v>133</v>
      </c>
      <c r="I546">
        <f>Inventory_Data[[#This Row],[Opening_Stock]]+Inventory_Data[[#This Row],[Units_Received]]-Inventory_Data[[#This Row],[Units_Sold]]</f>
        <v>231</v>
      </c>
      <c r="J546">
        <v>0</v>
      </c>
      <c r="K546">
        <v>6</v>
      </c>
      <c r="L546" t="s">
        <v>63</v>
      </c>
      <c r="M546" s="3">
        <v>84.62</v>
      </c>
      <c r="N546" s="3">
        <v>104.3</v>
      </c>
      <c r="O546" s="10" t="str">
        <f>TEXT(Inventory_Data[[#This Row],[Date]],"mmm")</f>
        <v>Apr</v>
      </c>
    </row>
    <row r="547" spans="1:15" x14ac:dyDescent="0.2">
      <c r="A547" s="21">
        <v>45758</v>
      </c>
      <c r="B547" s="5" t="s">
        <v>122</v>
      </c>
      <c r="C547" t="s">
        <v>123</v>
      </c>
      <c r="D547" t="s">
        <v>27</v>
      </c>
      <c r="E547" t="s">
        <v>21</v>
      </c>
      <c r="F547">
        <v>293</v>
      </c>
      <c r="G547">
        <v>237</v>
      </c>
      <c r="H547">
        <v>54</v>
      </c>
      <c r="I547">
        <f>Inventory_Data[[#This Row],[Opening_Stock]]+Inventory_Data[[#This Row],[Units_Received]]-Inventory_Data[[#This Row],[Units_Sold]]</f>
        <v>476</v>
      </c>
      <c r="J547">
        <v>0</v>
      </c>
      <c r="K547">
        <v>6</v>
      </c>
      <c r="L547" t="s">
        <v>66</v>
      </c>
      <c r="M547" s="3">
        <v>5.05</v>
      </c>
      <c r="N547" s="3">
        <v>6.58</v>
      </c>
      <c r="O547" s="10" t="str">
        <f>TEXT(Inventory_Data[[#This Row],[Date]],"mmm")</f>
        <v>Apr</v>
      </c>
    </row>
    <row r="548" spans="1:15" x14ac:dyDescent="0.2">
      <c r="A548" s="21">
        <v>45758</v>
      </c>
      <c r="B548" s="5" t="s">
        <v>30</v>
      </c>
      <c r="C548" t="s">
        <v>31</v>
      </c>
      <c r="D548" t="s">
        <v>27</v>
      </c>
      <c r="E548" t="s">
        <v>17</v>
      </c>
      <c r="F548">
        <v>321</v>
      </c>
      <c r="G548">
        <v>129</v>
      </c>
      <c r="H548">
        <v>91</v>
      </c>
      <c r="I548">
        <f>Inventory_Data[[#This Row],[Opening_Stock]]+Inventory_Data[[#This Row],[Units_Received]]-Inventory_Data[[#This Row],[Units_Sold]]</f>
        <v>359</v>
      </c>
      <c r="J548">
        <v>0</v>
      </c>
      <c r="K548">
        <v>6</v>
      </c>
      <c r="L548" t="s">
        <v>29</v>
      </c>
      <c r="M548" s="3">
        <v>14.12</v>
      </c>
      <c r="N548" s="3">
        <v>20.55</v>
      </c>
      <c r="O548" s="10" t="str">
        <f>TEXT(Inventory_Data[[#This Row],[Date]],"mmm")</f>
        <v>Apr</v>
      </c>
    </row>
    <row r="549" spans="1:15" x14ac:dyDescent="0.2">
      <c r="A549" s="21">
        <v>45758</v>
      </c>
      <c r="B549" s="5" t="s">
        <v>98</v>
      </c>
      <c r="C549" t="s">
        <v>99</v>
      </c>
      <c r="D549" t="s">
        <v>27</v>
      </c>
      <c r="E549" t="s">
        <v>35</v>
      </c>
      <c r="F549">
        <v>370</v>
      </c>
      <c r="G549">
        <v>125</v>
      </c>
      <c r="H549">
        <v>185</v>
      </c>
      <c r="I549">
        <f>Inventory_Data[[#This Row],[Opening_Stock]]+Inventory_Data[[#This Row],[Units_Received]]-Inventory_Data[[#This Row],[Units_Sold]]</f>
        <v>310</v>
      </c>
      <c r="J549">
        <v>0</v>
      </c>
      <c r="K549">
        <v>7</v>
      </c>
      <c r="L549" t="s">
        <v>80</v>
      </c>
      <c r="M549" s="3">
        <v>19.579999999999998</v>
      </c>
      <c r="N549" s="3">
        <v>27.4</v>
      </c>
      <c r="O549" s="10" t="str">
        <f>TEXT(Inventory_Data[[#This Row],[Date]],"mmm")</f>
        <v>Apr</v>
      </c>
    </row>
    <row r="550" spans="1:15" x14ac:dyDescent="0.2">
      <c r="A550" s="21">
        <v>45758</v>
      </c>
      <c r="B550" s="5" t="s">
        <v>54</v>
      </c>
      <c r="C550" t="s">
        <v>55</v>
      </c>
      <c r="D550" t="s">
        <v>52</v>
      </c>
      <c r="E550" t="s">
        <v>35</v>
      </c>
      <c r="F550">
        <v>65</v>
      </c>
      <c r="G550">
        <v>6</v>
      </c>
      <c r="H550">
        <v>7</v>
      </c>
      <c r="I550">
        <f>Inventory_Data[[#This Row],[Opening_Stock]]+Inventory_Data[[#This Row],[Units_Received]]-Inventory_Data[[#This Row],[Units_Sold]]</f>
        <v>64</v>
      </c>
      <c r="J550">
        <v>0</v>
      </c>
      <c r="K550">
        <v>5</v>
      </c>
      <c r="L550" t="s">
        <v>83</v>
      </c>
      <c r="M550" s="3">
        <v>39.549999999999997</v>
      </c>
      <c r="N550" s="3">
        <v>57.54</v>
      </c>
      <c r="O550" s="10" t="str">
        <f>TEXT(Inventory_Data[[#This Row],[Date]],"mmm")</f>
        <v>Apr</v>
      </c>
    </row>
    <row r="551" spans="1:15" x14ac:dyDescent="0.2">
      <c r="A551" s="21">
        <v>45758</v>
      </c>
      <c r="B551" s="5" t="s">
        <v>67</v>
      </c>
      <c r="C551" t="s">
        <v>68</v>
      </c>
      <c r="D551" t="s">
        <v>52</v>
      </c>
      <c r="E551" t="s">
        <v>35</v>
      </c>
      <c r="F551">
        <v>57</v>
      </c>
      <c r="G551">
        <v>15</v>
      </c>
      <c r="H551">
        <v>1</v>
      </c>
      <c r="I551">
        <f>Inventory_Data[[#This Row],[Opening_Stock]]+Inventory_Data[[#This Row],[Units_Received]]-Inventory_Data[[#This Row],[Units_Sold]]</f>
        <v>71</v>
      </c>
      <c r="J551">
        <v>0</v>
      </c>
      <c r="K551">
        <v>3</v>
      </c>
      <c r="L551" t="s">
        <v>53</v>
      </c>
      <c r="M551" s="3">
        <v>243.89</v>
      </c>
      <c r="N551" s="3">
        <v>291.69</v>
      </c>
      <c r="O551" s="10" t="str">
        <f>TEXT(Inventory_Data[[#This Row],[Date]],"mmm")</f>
        <v>Apr</v>
      </c>
    </row>
    <row r="552" spans="1:15" x14ac:dyDescent="0.2">
      <c r="A552" s="21">
        <v>45758</v>
      </c>
      <c r="B552" s="5" t="s">
        <v>57</v>
      </c>
      <c r="C552" t="s">
        <v>58</v>
      </c>
      <c r="D552" t="s">
        <v>52</v>
      </c>
      <c r="E552" t="s">
        <v>17</v>
      </c>
      <c r="F552">
        <v>30</v>
      </c>
      <c r="G552">
        <v>5</v>
      </c>
      <c r="H552">
        <v>18</v>
      </c>
      <c r="I552">
        <f>Inventory_Data[[#This Row],[Opening_Stock]]+Inventory_Data[[#This Row],[Units_Received]]-Inventory_Data[[#This Row],[Units_Sold]]</f>
        <v>17</v>
      </c>
      <c r="J552">
        <v>0</v>
      </c>
      <c r="K552">
        <v>2</v>
      </c>
      <c r="L552" t="s">
        <v>56</v>
      </c>
      <c r="M552" s="3">
        <v>275.85000000000002</v>
      </c>
      <c r="N552" s="3">
        <v>326.76</v>
      </c>
      <c r="O552" s="10" t="str">
        <f>TEXT(Inventory_Data[[#This Row],[Date]],"mmm")</f>
        <v>Apr</v>
      </c>
    </row>
    <row r="553" spans="1:15" x14ac:dyDescent="0.2">
      <c r="A553" s="21">
        <v>45758</v>
      </c>
      <c r="B553" s="5" t="s">
        <v>194</v>
      </c>
      <c r="C553" t="s">
        <v>195</v>
      </c>
      <c r="D553" t="s">
        <v>34</v>
      </c>
      <c r="E553" t="s">
        <v>28</v>
      </c>
      <c r="F553">
        <v>149</v>
      </c>
      <c r="G553">
        <v>188</v>
      </c>
      <c r="H553">
        <v>58</v>
      </c>
      <c r="I553">
        <f>Inventory_Data[[#This Row],[Opening_Stock]]+Inventory_Data[[#This Row],[Units_Received]]-Inventory_Data[[#This Row],[Units_Sold]]</f>
        <v>279</v>
      </c>
      <c r="J553">
        <v>0</v>
      </c>
      <c r="K553">
        <v>13</v>
      </c>
      <c r="L553" t="s">
        <v>36</v>
      </c>
      <c r="M553" s="3">
        <v>25.84</v>
      </c>
      <c r="N553" s="3">
        <v>33.81</v>
      </c>
      <c r="O553" s="10" t="str">
        <f>TEXT(Inventory_Data[[#This Row],[Date]],"mmm")</f>
        <v>Apr</v>
      </c>
    </row>
    <row r="554" spans="1:15" x14ac:dyDescent="0.2">
      <c r="A554" s="21">
        <v>45759</v>
      </c>
      <c r="B554" s="5" t="s">
        <v>14</v>
      </c>
      <c r="C554" t="s">
        <v>15</v>
      </c>
      <c r="D554" t="s">
        <v>16</v>
      </c>
      <c r="E554" t="s">
        <v>28</v>
      </c>
      <c r="F554">
        <v>179</v>
      </c>
      <c r="G554">
        <v>88</v>
      </c>
      <c r="H554">
        <v>25</v>
      </c>
      <c r="I554">
        <f>Inventory_Data[[#This Row],[Opening_Stock]]+Inventory_Data[[#This Row],[Units_Received]]-Inventory_Data[[#This Row],[Units_Sold]]</f>
        <v>242</v>
      </c>
      <c r="J554">
        <v>0</v>
      </c>
      <c r="K554">
        <v>3</v>
      </c>
      <c r="L554" t="s">
        <v>18</v>
      </c>
      <c r="M554" s="3">
        <v>160.97</v>
      </c>
      <c r="N554" s="3">
        <v>222.46</v>
      </c>
      <c r="O554" s="10" t="str">
        <f>TEXT(Inventory_Data[[#This Row],[Date]],"mmm")</f>
        <v>Apr</v>
      </c>
    </row>
    <row r="555" spans="1:15" x14ac:dyDescent="0.2">
      <c r="A555" s="21">
        <v>45759</v>
      </c>
      <c r="B555" s="5" t="s">
        <v>160</v>
      </c>
      <c r="C555" t="s">
        <v>161</v>
      </c>
      <c r="D555" t="s">
        <v>27</v>
      </c>
      <c r="E555" t="s">
        <v>35</v>
      </c>
      <c r="F555">
        <v>334</v>
      </c>
      <c r="G555">
        <v>221</v>
      </c>
      <c r="H555">
        <v>30</v>
      </c>
      <c r="I555">
        <f>Inventory_Data[[#This Row],[Opening_Stock]]+Inventory_Data[[#This Row],[Units_Received]]-Inventory_Data[[#This Row],[Units_Sold]]</f>
        <v>525</v>
      </c>
      <c r="J555">
        <v>0</v>
      </c>
      <c r="K555">
        <v>5</v>
      </c>
      <c r="L555" t="s">
        <v>29</v>
      </c>
      <c r="M555" s="3">
        <v>3.47</v>
      </c>
      <c r="N555" s="3">
        <v>5.19</v>
      </c>
      <c r="O555" s="10" t="str">
        <f>TEXT(Inventory_Data[[#This Row],[Date]],"mmm")</f>
        <v>Apr</v>
      </c>
    </row>
    <row r="556" spans="1:15" x14ac:dyDescent="0.2">
      <c r="A556" s="21">
        <v>45760</v>
      </c>
      <c r="B556" s="5" t="s">
        <v>132</v>
      </c>
      <c r="C556" t="s">
        <v>133</v>
      </c>
      <c r="D556" t="s">
        <v>16</v>
      </c>
      <c r="E556" t="s">
        <v>21</v>
      </c>
      <c r="F556">
        <v>97</v>
      </c>
      <c r="G556">
        <v>39</v>
      </c>
      <c r="H556">
        <v>53</v>
      </c>
      <c r="I556">
        <f>Inventory_Data[[#This Row],[Opening_Stock]]+Inventory_Data[[#This Row],[Units_Received]]-Inventory_Data[[#This Row],[Units_Sold]]</f>
        <v>83</v>
      </c>
      <c r="J556">
        <v>0</v>
      </c>
      <c r="K556">
        <v>10</v>
      </c>
      <c r="L556" t="s">
        <v>24</v>
      </c>
      <c r="M556" s="3">
        <v>24.65</v>
      </c>
      <c r="N556" s="3">
        <v>28.54</v>
      </c>
      <c r="O556" s="10" t="str">
        <f>TEXT(Inventory_Data[[#This Row],[Date]],"mmm")</f>
        <v>Apr</v>
      </c>
    </row>
    <row r="557" spans="1:15" x14ac:dyDescent="0.2">
      <c r="A557" s="21">
        <v>45760</v>
      </c>
      <c r="B557" s="5" t="s">
        <v>132</v>
      </c>
      <c r="C557" t="s">
        <v>133</v>
      </c>
      <c r="D557" t="s">
        <v>16</v>
      </c>
      <c r="E557" t="s">
        <v>28</v>
      </c>
      <c r="F557">
        <v>29</v>
      </c>
      <c r="G557">
        <v>76</v>
      </c>
      <c r="H557">
        <v>42</v>
      </c>
      <c r="I557">
        <f>Inventory_Data[[#This Row],[Opening_Stock]]+Inventory_Data[[#This Row],[Units_Received]]-Inventory_Data[[#This Row],[Units_Sold]]</f>
        <v>63</v>
      </c>
      <c r="J557">
        <v>0</v>
      </c>
      <c r="K557">
        <v>14</v>
      </c>
      <c r="L557" t="s">
        <v>45</v>
      </c>
      <c r="M557" s="3">
        <v>51.38</v>
      </c>
      <c r="N557" s="3">
        <v>64.27</v>
      </c>
      <c r="O557" s="10" t="str">
        <f>TEXT(Inventory_Data[[#This Row],[Date]],"mmm")</f>
        <v>Apr</v>
      </c>
    </row>
    <row r="558" spans="1:15" x14ac:dyDescent="0.2">
      <c r="A558" s="21">
        <v>45760</v>
      </c>
      <c r="B558" s="5" t="s">
        <v>146</v>
      </c>
      <c r="C558" t="s">
        <v>147</v>
      </c>
      <c r="D558" t="s">
        <v>48</v>
      </c>
      <c r="E558" t="s">
        <v>35</v>
      </c>
      <c r="F558">
        <v>168</v>
      </c>
      <c r="G558">
        <v>27</v>
      </c>
      <c r="H558">
        <v>105</v>
      </c>
      <c r="I558">
        <f>Inventory_Data[[#This Row],[Opening_Stock]]+Inventory_Data[[#This Row],[Units_Received]]-Inventory_Data[[#This Row],[Units_Sold]]</f>
        <v>90</v>
      </c>
      <c r="J558">
        <v>0</v>
      </c>
      <c r="K558">
        <v>7</v>
      </c>
      <c r="L558" t="s">
        <v>77</v>
      </c>
      <c r="M558" s="3">
        <v>79.19</v>
      </c>
      <c r="N558" s="3">
        <v>96.68</v>
      </c>
      <c r="O558" s="10" t="str">
        <f>TEXT(Inventory_Data[[#This Row],[Date]],"mmm")</f>
        <v>Apr</v>
      </c>
    </row>
    <row r="559" spans="1:15" x14ac:dyDescent="0.2">
      <c r="A559" s="21">
        <v>45760</v>
      </c>
      <c r="B559" s="5" t="s">
        <v>158</v>
      </c>
      <c r="C559" t="s">
        <v>159</v>
      </c>
      <c r="D559" t="s">
        <v>52</v>
      </c>
      <c r="E559" t="s">
        <v>17</v>
      </c>
      <c r="F559">
        <v>37</v>
      </c>
      <c r="G559">
        <v>16</v>
      </c>
      <c r="H559">
        <v>15</v>
      </c>
      <c r="I559">
        <f>Inventory_Data[[#This Row],[Opening_Stock]]+Inventory_Data[[#This Row],[Units_Received]]-Inventory_Data[[#This Row],[Units_Sold]]</f>
        <v>38</v>
      </c>
      <c r="J559">
        <v>0</v>
      </c>
      <c r="K559">
        <v>7</v>
      </c>
      <c r="L559" t="s">
        <v>53</v>
      </c>
      <c r="M559" s="3">
        <v>91.9</v>
      </c>
      <c r="N559" s="3">
        <v>109.8</v>
      </c>
      <c r="O559" s="10" t="str">
        <f>TEXT(Inventory_Data[[#This Row],[Date]],"mmm")</f>
        <v>Apr</v>
      </c>
    </row>
    <row r="560" spans="1:15" x14ac:dyDescent="0.2">
      <c r="A560" s="21">
        <v>45760</v>
      </c>
      <c r="B560" s="5" t="s">
        <v>158</v>
      </c>
      <c r="C560" t="s">
        <v>159</v>
      </c>
      <c r="D560" t="s">
        <v>52</v>
      </c>
      <c r="E560" t="s">
        <v>21</v>
      </c>
      <c r="F560">
        <v>59</v>
      </c>
      <c r="G560">
        <v>5</v>
      </c>
      <c r="H560">
        <v>17</v>
      </c>
      <c r="I560">
        <f>Inventory_Data[[#This Row],[Opening_Stock]]+Inventory_Data[[#This Row],[Units_Received]]-Inventory_Data[[#This Row],[Units_Sold]]</f>
        <v>47</v>
      </c>
      <c r="J560">
        <v>0</v>
      </c>
      <c r="K560">
        <v>11</v>
      </c>
      <c r="L560" t="s">
        <v>53</v>
      </c>
      <c r="M560" s="3">
        <v>257.41000000000003</v>
      </c>
      <c r="N560" s="3">
        <v>357.1</v>
      </c>
      <c r="O560" s="10" t="str">
        <f>TEXT(Inventory_Data[[#This Row],[Date]],"mmm")</f>
        <v>Apr</v>
      </c>
    </row>
    <row r="561" spans="1:15" x14ac:dyDescent="0.2">
      <c r="A561" s="21">
        <v>45760</v>
      </c>
      <c r="B561" s="5" t="s">
        <v>194</v>
      </c>
      <c r="C561" t="s">
        <v>195</v>
      </c>
      <c r="D561" t="s">
        <v>34</v>
      </c>
      <c r="E561" t="s">
        <v>21</v>
      </c>
      <c r="F561">
        <v>179</v>
      </c>
      <c r="G561">
        <v>203</v>
      </c>
      <c r="H561">
        <v>39</v>
      </c>
      <c r="I561">
        <f>Inventory_Data[[#This Row],[Opening_Stock]]+Inventory_Data[[#This Row],[Units_Received]]-Inventory_Data[[#This Row],[Units_Sold]]</f>
        <v>343</v>
      </c>
      <c r="J561">
        <v>0</v>
      </c>
      <c r="K561">
        <v>7</v>
      </c>
      <c r="L561" t="s">
        <v>42</v>
      </c>
      <c r="M561" s="3">
        <v>22.14</v>
      </c>
      <c r="N561" s="3">
        <v>33.9</v>
      </c>
      <c r="O561" s="10" t="str">
        <f>TEXT(Inventory_Data[[#This Row],[Date]],"mmm")</f>
        <v>Apr</v>
      </c>
    </row>
    <row r="562" spans="1:15" x14ac:dyDescent="0.2">
      <c r="A562" s="21">
        <v>45761</v>
      </c>
      <c r="B562" s="5" t="s">
        <v>106</v>
      </c>
      <c r="C562" t="s">
        <v>107</v>
      </c>
      <c r="D562" t="s">
        <v>16</v>
      </c>
      <c r="E562" t="s">
        <v>17</v>
      </c>
      <c r="F562">
        <v>61</v>
      </c>
      <c r="G562">
        <v>41</v>
      </c>
      <c r="H562">
        <v>36</v>
      </c>
      <c r="I562">
        <f>Inventory_Data[[#This Row],[Opening_Stock]]+Inventory_Data[[#This Row],[Units_Received]]-Inventory_Data[[#This Row],[Units_Sold]]</f>
        <v>66</v>
      </c>
      <c r="J562">
        <v>0</v>
      </c>
      <c r="K562">
        <v>11</v>
      </c>
      <c r="L562" t="s">
        <v>18</v>
      </c>
      <c r="M562" s="3">
        <v>166.88</v>
      </c>
      <c r="N562" s="3">
        <v>236.09</v>
      </c>
      <c r="O562" s="10" t="str">
        <f>TEXT(Inventory_Data[[#This Row],[Date]],"mmm")</f>
        <v>Apr</v>
      </c>
    </row>
    <row r="563" spans="1:15" x14ac:dyDescent="0.2">
      <c r="A563" s="21">
        <v>45761</v>
      </c>
      <c r="B563" s="5" t="s">
        <v>172</v>
      </c>
      <c r="C563" t="s">
        <v>173</v>
      </c>
      <c r="D563" t="s">
        <v>27</v>
      </c>
      <c r="E563" t="s">
        <v>21</v>
      </c>
      <c r="F563">
        <v>392</v>
      </c>
      <c r="G563">
        <v>166</v>
      </c>
      <c r="H563">
        <v>220</v>
      </c>
      <c r="I563">
        <f>Inventory_Data[[#This Row],[Opening_Stock]]+Inventory_Data[[#This Row],[Units_Received]]-Inventory_Data[[#This Row],[Units_Sold]]</f>
        <v>338</v>
      </c>
      <c r="J563">
        <v>0</v>
      </c>
      <c r="K563">
        <v>5</v>
      </c>
      <c r="L563" t="s">
        <v>80</v>
      </c>
      <c r="M563" s="3">
        <v>12.56</v>
      </c>
      <c r="N563" s="3">
        <v>16.510000000000002</v>
      </c>
      <c r="O563" s="10" t="str">
        <f>TEXT(Inventory_Data[[#This Row],[Date]],"mmm")</f>
        <v>Apr</v>
      </c>
    </row>
    <row r="564" spans="1:15" x14ac:dyDescent="0.2">
      <c r="A564" s="21">
        <v>45761</v>
      </c>
      <c r="B564" s="5" t="s">
        <v>100</v>
      </c>
      <c r="C564" t="s">
        <v>101</v>
      </c>
      <c r="D564" t="s">
        <v>52</v>
      </c>
      <c r="E564" t="s">
        <v>21</v>
      </c>
      <c r="F564">
        <v>48</v>
      </c>
      <c r="G564">
        <v>8</v>
      </c>
      <c r="H564">
        <v>11</v>
      </c>
      <c r="I564">
        <f>Inventory_Data[[#This Row],[Opening_Stock]]+Inventory_Data[[#This Row],[Units_Received]]-Inventory_Data[[#This Row],[Units_Sold]]</f>
        <v>45</v>
      </c>
      <c r="J564">
        <v>0</v>
      </c>
      <c r="K564">
        <v>5</v>
      </c>
      <c r="L564" t="s">
        <v>53</v>
      </c>
      <c r="M564" s="3">
        <v>69.98</v>
      </c>
      <c r="N564" s="3">
        <v>99.11</v>
      </c>
      <c r="O564" s="10" t="str">
        <f>TEXT(Inventory_Data[[#This Row],[Date]],"mmm")</f>
        <v>Apr</v>
      </c>
    </row>
    <row r="565" spans="1:15" x14ac:dyDescent="0.2">
      <c r="A565" s="21">
        <v>45761</v>
      </c>
      <c r="B565" s="5" t="s">
        <v>116</v>
      </c>
      <c r="C565" t="s">
        <v>117</v>
      </c>
      <c r="D565" t="s">
        <v>52</v>
      </c>
      <c r="E565" t="s">
        <v>21</v>
      </c>
      <c r="F565">
        <v>25</v>
      </c>
      <c r="G565">
        <v>10</v>
      </c>
      <c r="H565">
        <v>13</v>
      </c>
      <c r="I565">
        <f>Inventory_Data[[#This Row],[Opening_Stock]]+Inventory_Data[[#This Row],[Units_Received]]-Inventory_Data[[#This Row],[Units_Sold]]</f>
        <v>22</v>
      </c>
      <c r="J565">
        <v>0</v>
      </c>
      <c r="K565">
        <v>13</v>
      </c>
      <c r="L565" t="s">
        <v>83</v>
      </c>
      <c r="M565" s="3">
        <v>48.82</v>
      </c>
      <c r="N565" s="3">
        <v>73.599999999999994</v>
      </c>
      <c r="O565" s="10" t="str">
        <f>TEXT(Inventory_Data[[#This Row],[Date]],"mmm")</f>
        <v>Apr</v>
      </c>
    </row>
    <row r="566" spans="1:15" x14ac:dyDescent="0.2">
      <c r="A566" s="21">
        <v>45761</v>
      </c>
      <c r="B566" s="5" t="s">
        <v>69</v>
      </c>
      <c r="C566" t="s">
        <v>70</v>
      </c>
      <c r="D566" t="s">
        <v>34</v>
      </c>
      <c r="E566" t="s">
        <v>35</v>
      </c>
      <c r="F566">
        <v>379</v>
      </c>
      <c r="G566">
        <v>216</v>
      </c>
      <c r="H566">
        <v>104</v>
      </c>
      <c r="I566">
        <f>Inventory_Data[[#This Row],[Opening_Stock]]+Inventory_Data[[#This Row],[Units_Received]]-Inventory_Data[[#This Row],[Units_Sold]]</f>
        <v>491</v>
      </c>
      <c r="J566">
        <v>0</v>
      </c>
      <c r="K566">
        <v>10</v>
      </c>
      <c r="L566" t="s">
        <v>39</v>
      </c>
      <c r="M566" s="3">
        <v>7.35</v>
      </c>
      <c r="N566" s="3">
        <v>9.8000000000000007</v>
      </c>
      <c r="O566" s="10" t="str">
        <f>TEXT(Inventory_Data[[#This Row],[Date]],"mmm")</f>
        <v>Apr</v>
      </c>
    </row>
    <row r="567" spans="1:15" x14ac:dyDescent="0.2">
      <c r="A567" s="21">
        <v>45761</v>
      </c>
      <c r="B567" s="5" t="s">
        <v>37</v>
      </c>
      <c r="C567" t="s">
        <v>38</v>
      </c>
      <c r="D567" t="s">
        <v>34</v>
      </c>
      <c r="E567" t="s">
        <v>21</v>
      </c>
      <c r="F567">
        <v>211</v>
      </c>
      <c r="G567">
        <v>193</v>
      </c>
      <c r="H567">
        <v>142</v>
      </c>
      <c r="I567">
        <f>Inventory_Data[[#This Row],[Opening_Stock]]+Inventory_Data[[#This Row],[Units_Received]]-Inventory_Data[[#This Row],[Units_Sold]]</f>
        <v>262</v>
      </c>
      <c r="J567">
        <v>0</v>
      </c>
      <c r="K567">
        <v>10</v>
      </c>
      <c r="L567" t="s">
        <v>39</v>
      </c>
      <c r="M567" s="3">
        <v>9.24</v>
      </c>
      <c r="N567" s="3">
        <v>12.79</v>
      </c>
      <c r="O567" s="10" t="str">
        <f>TEXT(Inventory_Data[[#This Row],[Date]],"mmm")</f>
        <v>Apr</v>
      </c>
    </row>
    <row r="568" spans="1:15" x14ac:dyDescent="0.2">
      <c r="A568" s="21">
        <v>45761</v>
      </c>
      <c r="B568" s="5" t="s">
        <v>168</v>
      </c>
      <c r="C568" t="s">
        <v>169</v>
      </c>
      <c r="D568" t="s">
        <v>34</v>
      </c>
      <c r="E568" t="s">
        <v>21</v>
      </c>
      <c r="F568">
        <v>115</v>
      </c>
      <c r="G568">
        <v>151</v>
      </c>
      <c r="H568">
        <v>120</v>
      </c>
      <c r="I568">
        <f>Inventory_Data[[#This Row],[Opening_Stock]]+Inventory_Data[[#This Row],[Units_Received]]-Inventory_Data[[#This Row],[Units_Sold]]</f>
        <v>146</v>
      </c>
      <c r="J568">
        <v>0</v>
      </c>
      <c r="K568">
        <v>3</v>
      </c>
      <c r="L568" t="s">
        <v>39</v>
      </c>
      <c r="M568" s="3">
        <v>9.83</v>
      </c>
      <c r="N568" s="3">
        <v>11.4</v>
      </c>
      <c r="O568" s="10" t="str">
        <f>TEXT(Inventory_Data[[#This Row],[Date]],"mmm")</f>
        <v>Apr</v>
      </c>
    </row>
    <row r="569" spans="1:15" x14ac:dyDescent="0.2">
      <c r="A569" s="21">
        <v>45761</v>
      </c>
      <c r="B569" s="5" t="s">
        <v>196</v>
      </c>
      <c r="C569" t="s">
        <v>197</v>
      </c>
      <c r="D569" t="s">
        <v>34</v>
      </c>
      <c r="E569" t="s">
        <v>17</v>
      </c>
      <c r="F569">
        <v>238</v>
      </c>
      <c r="G569">
        <v>164</v>
      </c>
      <c r="H569">
        <v>123</v>
      </c>
      <c r="I569">
        <f>Inventory_Data[[#This Row],[Opening_Stock]]+Inventory_Data[[#This Row],[Units_Received]]-Inventory_Data[[#This Row],[Units_Sold]]</f>
        <v>279</v>
      </c>
      <c r="J569">
        <v>0</v>
      </c>
      <c r="K569">
        <v>7</v>
      </c>
      <c r="L569" t="s">
        <v>36</v>
      </c>
      <c r="M569" s="3">
        <v>29.12</v>
      </c>
      <c r="N569" s="3">
        <v>42.18</v>
      </c>
      <c r="O569" s="10" t="str">
        <f>TEXT(Inventory_Data[[#This Row],[Date]],"mmm")</f>
        <v>Apr</v>
      </c>
    </row>
    <row r="570" spans="1:15" x14ac:dyDescent="0.2">
      <c r="A570" s="21">
        <v>45762</v>
      </c>
      <c r="B570" s="5" t="s">
        <v>120</v>
      </c>
      <c r="C570" t="s">
        <v>121</v>
      </c>
      <c r="D570" t="s">
        <v>16</v>
      </c>
      <c r="E570" t="s">
        <v>17</v>
      </c>
      <c r="F570">
        <v>158</v>
      </c>
      <c r="G570">
        <v>62</v>
      </c>
      <c r="H570">
        <v>14</v>
      </c>
      <c r="I570">
        <f>Inventory_Data[[#This Row],[Opening_Stock]]+Inventory_Data[[#This Row],[Units_Received]]-Inventory_Data[[#This Row],[Units_Sold]]</f>
        <v>206</v>
      </c>
      <c r="J570">
        <v>0</v>
      </c>
      <c r="K570">
        <v>6</v>
      </c>
      <c r="L570" t="s">
        <v>45</v>
      </c>
      <c r="M570" s="3">
        <v>180.06</v>
      </c>
      <c r="N570" s="3">
        <v>220.45</v>
      </c>
      <c r="O570" s="10" t="str">
        <f>TEXT(Inventory_Data[[#This Row],[Date]],"mmm")</f>
        <v>Apr</v>
      </c>
    </row>
    <row r="571" spans="1:15" x14ac:dyDescent="0.2">
      <c r="A571" s="21">
        <v>45762</v>
      </c>
      <c r="B571" s="5" t="s">
        <v>22</v>
      </c>
      <c r="C571" t="s">
        <v>23</v>
      </c>
      <c r="D571" t="s">
        <v>16</v>
      </c>
      <c r="E571" t="s">
        <v>35</v>
      </c>
      <c r="F571">
        <v>52</v>
      </c>
      <c r="G571">
        <v>83</v>
      </c>
      <c r="H571">
        <v>23</v>
      </c>
      <c r="I571">
        <f>Inventory_Data[[#This Row],[Opening_Stock]]+Inventory_Data[[#This Row],[Units_Received]]-Inventory_Data[[#This Row],[Units_Sold]]</f>
        <v>112</v>
      </c>
      <c r="J571">
        <v>0</v>
      </c>
      <c r="K571">
        <v>8</v>
      </c>
      <c r="L571" t="s">
        <v>24</v>
      </c>
      <c r="M571" s="3">
        <v>79.040000000000006</v>
      </c>
      <c r="N571" s="3">
        <v>107.16</v>
      </c>
      <c r="O571" s="10" t="str">
        <f>TEXT(Inventory_Data[[#This Row],[Date]],"mmm")</f>
        <v>Apr</v>
      </c>
    </row>
    <row r="572" spans="1:15" x14ac:dyDescent="0.2">
      <c r="A572" s="21">
        <v>45762</v>
      </c>
      <c r="B572" s="5" t="s">
        <v>88</v>
      </c>
      <c r="C572" t="s">
        <v>89</v>
      </c>
      <c r="D572" t="s">
        <v>34</v>
      </c>
      <c r="E572" t="s">
        <v>35</v>
      </c>
      <c r="F572">
        <v>185</v>
      </c>
      <c r="G572">
        <v>104</v>
      </c>
      <c r="H572">
        <v>179</v>
      </c>
      <c r="I572">
        <f>Inventory_Data[[#This Row],[Opening_Stock]]+Inventory_Data[[#This Row],[Units_Received]]-Inventory_Data[[#This Row],[Units_Sold]]</f>
        <v>110</v>
      </c>
      <c r="J572">
        <v>0</v>
      </c>
      <c r="K572">
        <v>7</v>
      </c>
      <c r="L572" t="s">
        <v>36</v>
      </c>
      <c r="M572" s="3">
        <v>20.47</v>
      </c>
      <c r="N572" s="3">
        <v>25.76</v>
      </c>
      <c r="O572" s="10" t="str">
        <f>TEXT(Inventory_Data[[#This Row],[Date]],"mmm")</f>
        <v>Apr</v>
      </c>
    </row>
    <row r="573" spans="1:15" x14ac:dyDescent="0.2">
      <c r="A573" s="21">
        <v>45762</v>
      </c>
      <c r="B573" s="5" t="s">
        <v>43</v>
      </c>
      <c r="C573" t="s">
        <v>44</v>
      </c>
      <c r="D573" t="s">
        <v>34</v>
      </c>
      <c r="E573" t="s">
        <v>28</v>
      </c>
      <c r="F573">
        <v>291</v>
      </c>
      <c r="G573">
        <v>89</v>
      </c>
      <c r="H573">
        <v>138</v>
      </c>
      <c r="I573">
        <f>Inventory_Data[[#This Row],[Opening_Stock]]+Inventory_Data[[#This Row],[Units_Received]]-Inventory_Data[[#This Row],[Units_Sold]]</f>
        <v>242</v>
      </c>
      <c r="J573">
        <v>0</v>
      </c>
      <c r="K573">
        <v>8</v>
      </c>
      <c r="L573" t="s">
        <v>39</v>
      </c>
      <c r="M573" s="3">
        <v>8.2100000000000009</v>
      </c>
      <c r="N573" s="3">
        <v>10.44</v>
      </c>
      <c r="O573" s="10" t="str">
        <f>TEXT(Inventory_Data[[#This Row],[Date]],"mmm")</f>
        <v>Apr</v>
      </c>
    </row>
    <row r="574" spans="1:15" x14ac:dyDescent="0.2">
      <c r="A574" s="21">
        <v>45763</v>
      </c>
      <c r="B574" s="5" t="s">
        <v>22</v>
      </c>
      <c r="C574" t="s">
        <v>23</v>
      </c>
      <c r="D574" t="s">
        <v>16</v>
      </c>
      <c r="E574" t="s">
        <v>28</v>
      </c>
      <c r="F574">
        <v>132</v>
      </c>
      <c r="G574">
        <v>25</v>
      </c>
      <c r="H574">
        <v>7</v>
      </c>
      <c r="I574">
        <f>Inventory_Data[[#This Row],[Opening_Stock]]+Inventory_Data[[#This Row],[Units_Received]]-Inventory_Data[[#This Row],[Units_Sold]]</f>
        <v>150</v>
      </c>
      <c r="J574">
        <v>0</v>
      </c>
      <c r="K574">
        <v>12</v>
      </c>
      <c r="L574" t="s">
        <v>45</v>
      </c>
      <c r="M574" s="3">
        <v>49.14</v>
      </c>
      <c r="N574" s="3">
        <v>66.900000000000006</v>
      </c>
      <c r="O574" s="10" t="str">
        <f>TEXT(Inventory_Data[[#This Row],[Date]],"mmm")</f>
        <v>Apr</v>
      </c>
    </row>
    <row r="575" spans="1:15" x14ac:dyDescent="0.2">
      <c r="A575" s="21">
        <v>45763</v>
      </c>
      <c r="B575" s="5" t="s">
        <v>144</v>
      </c>
      <c r="C575" t="s">
        <v>145</v>
      </c>
      <c r="D575" t="s">
        <v>48</v>
      </c>
      <c r="E575" t="s">
        <v>21</v>
      </c>
      <c r="F575">
        <v>254</v>
      </c>
      <c r="G575">
        <v>135</v>
      </c>
      <c r="H575">
        <v>22</v>
      </c>
      <c r="I575">
        <f>Inventory_Data[[#This Row],[Opening_Stock]]+Inventory_Data[[#This Row],[Units_Received]]-Inventory_Data[[#This Row],[Units_Sold]]</f>
        <v>367</v>
      </c>
      <c r="J575">
        <v>0</v>
      </c>
      <c r="K575">
        <v>13</v>
      </c>
      <c r="L575" t="s">
        <v>77</v>
      </c>
      <c r="M575" s="3">
        <v>32.409999999999997</v>
      </c>
      <c r="N575" s="3">
        <v>37.700000000000003</v>
      </c>
      <c r="O575" s="10" t="str">
        <f>TEXT(Inventory_Data[[#This Row],[Date]],"mmm")</f>
        <v>Apr</v>
      </c>
    </row>
    <row r="576" spans="1:15" x14ac:dyDescent="0.2">
      <c r="A576" s="21">
        <v>45763</v>
      </c>
      <c r="B576" s="5" t="s">
        <v>146</v>
      </c>
      <c r="C576" t="s">
        <v>147</v>
      </c>
      <c r="D576" t="s">
        <v>48</v>
      </c>
      <c r="E576" t="s">
        <v>28</v>
      </c>
      <c r="F576">
        <v>278</v>
      </c>
      <c r="G576">
        <v>138</v>
      </c>
      <c r="H576">
        <v>66</v>
      </c>
      <c r="I576">
        <f>Inventory_Data[[#This Row],[Opening_Stock]]+Inventory_Data[[#This Row],[Units_Received]]-Inventory_Data[[#This Row],[Units_Sold]]</f>
        <v>350</v>
      </c>
      <c r="J576">
        <v>0</v>
      </c>
      <c r="K576">
        <v>9</v>
      </c>
      <c r="L576" t="s">
        <v>77</v>
      </c>
      <c r="M576" s="3">
        <v>85.14</v>
      </c>
      <c r="N576" s="3">
        <v>124.34</v>
      </c>
      <c r="O576" s="10" t="str">
        <f>TEXT(Inventory_Data[[#This Row],[Date]],"mmm")</f>
        <v>Apr</v>
      </c>
    </row>
    <row r="577" spans="1:15" x14ac:dyDescent="0.2">
      <c r="A577" s="21">
        <v>45763</v>
      </c>
      <c r="B577" s="5" t="s">
        <v>134</v>
      </c>
      <c r="C577" t="s">
        <v>135</v>
      </c>
      <c r="D577" t="s">
        <v>27</v>
      </c>
      <c r="E577" t="s">
        <v>17</v>
      </c>
      <c r="F577">
        <v>269</v>
      </c>
      <c r="G577">
        <v>154</v>
      </c>
      <c r="H577">
        <v>26</v>
      </c>
      <c r="I577">
        <f>Inventory_Data[[#This Row],[Opening_Stock]]+Inventory_Data[[#This Row],[Units_Received]]-Inventory_Data[[#This Row],[Units_Sold]]</f>
        <v>397</v>
      </c>
      <c r="J577">
        <v>0</v>
      </c>
      <c r="K577">
        <v>4</v>
      </c>
      <c r="L577" t="s">
        <v>66</v>
      </c>
      <c r="M577" s="3">
        <v>16.22</v>
      </c>
      <c r="N577" s="3">
        <v>22.76</v>
      </c>
      <c r="O577" s="10" t="str">
        <f>TEXT(Inventory_Data[[#This Row],[Date]],"mmm")</f>
        <v>Apr</v>
      </c>
    </row>
    <row r="578" spans="1:15" x14ac:dyDescent="0.2">
      <c r="A578" s="21">
        <v>45763</v>
      </c>
      <c r="B578" s="5" t="s">
        <v>116</v>
      </c>
      <c r="C578" t="s">
        <v>117</v>
      </c>
      <c r="D578" t="s">
        <v>52</v>
      </c>
      <c r="E578" t="s">
        <v>35</v>
      </c>
      <c r="F578">
        <v>69</v>
      </c>
      <c r="G578">
        <v>4</v>
      </c>
      <c r="H578">
        <v>19</v>
      </c>
      <c r="I578">
        <f>Inventory_Data[[#This Row],[Opening_Stock]]+Inventory_Data[[#This Row],[Units_Received]]-Inventory_Data[[#This Row],[Units_Sold]]</f>
        <v>54</v>
      </c>
      <c r="J578">
        <v>0</v>
      </c>
      <c r="K578">
        <v>14</v>
      </c>
      <c r="L578" t="s">
        <v>83</v>
      </c>
      <c r="M578" s="3">
        <v>288.24</v>
      </c>
      <c r="N578" s="3">
        <v>358.95</v>
      </c>
      <c r="O578" s="10" t="str">
        <f>TEXT(Inventory_Data[[#This Row],[Date]],"mmm")</f>
        <v>Apr</v>
      </c>
    </row>
    <row r="579" spans="1:15" x14ac:dyDescent="0.2">
      <c r="A579" s="21">
        <v>45764</v>
      </c>
      <c r="B579" s="5" t="s">
        <v>146</v>
      </c>
      <c r="C579" t="s">
        <v>147</v>
      </c>
      <c r="D579" t="s">
        <v>48</v>
      </c>
      <c r="E579" t="s">
        <v>21</v>
      </c>
      <c r="F579">
        <v>288</v>
      </c>
      <c r="G579">
        <v>88</v>
      </c>
      <c r="H579">
        <v>39</v>
      </c>
      <c r="I579">
        <f>Inventory_Data[[#This Row],[Opening_Stock]]+Inventory_Data[[#This Row],[Units_Received]]-Inventory_Data[[#This Row],[Units_Sold]]</f>
        <v>337</v>
      </c>
      <c r="J579">
        <v>0</v>
      </c>
      <c r="K579">
        <v>4</v>
      </c>
      <c r="L579" t="s">
        <v>49</v>
      </c>
      <c r="M579" s="3">
        <v>75.33</v>
      </c>
      <c r="N579" s="3">
        <v>103.08</v>
      </c>
      <c r="O579" s="10" t="str">
        <f>TEXT(Inventory_Data[[#This Row],[Date]],"mmm")</f>
        <v>Apr</v>
      </c>
    </row>
    <row r="580" spans="1:15" x14ac:dyDescent="0.2">
      <c r="A580" s="21">
        <v>45764</v>
      </c>
      <c r="B580" s="5" t="s">
        <v>136</v>
      </c>
      <c r="C580" t="s">
        <v>137</v>
      </c>
      <c r="D580" t="s">
        <v>27</v>
      </c>
      <c r="E580" t="s">
        <v>35</v>
      </c>
      <c r="F580">
        <v>449</v>
      </c>
      <c r="G580">
        <v>232</v>
      </c>
      <c r="H580">
        <v>66</v>
      </c>
      <c r="I580">
        <f>Inventory_Data[[#This Row],[Opening_Stock]]+Inventory_Data[[#This Row],[Units_Received]]-Inventory_Data[[#This Row],[Units_Sold]]</f>
        <v>615</v>
      </c>
      <c r="J580">
        <v>0</v>
      </c>
      <c r="K580">
        <v>2</v>
      </c>
      <c r="L580" t="s">
        <v>80</v>
      </c>
      <c r="M580" s="3">
        <v>18.87</v>
      </c>
      <c r="N580" s="3">
        <v>26.42</v>
      </c>
      <c r="O580" s="10" t="str">
        <f>TEXT(Inventory_Data[[#This Row],[Date]],"mmm")</f>
        <v>Apr</v>
      </c>
    </row>
    <row r="581" spans="1:15" x14ac:dyDescent="0.2">
      <c r="A581" s="21">
        <v>45764</v>
      </c>
      <c r="B581" s="5" t="s">
        <v>81</v>
      </c>
      <c r="C581" t="s">
        <v>82</v>
      </c>
      <c r="D581" t="s">
        <v>52</v>
      </c>
      <c r="E581" t="s">
        <v>17</v>
      </c>
      <c r="F581">
        <v>78</v>
      </c>
      <c r="G581">
        <v>2</v>
      </c>
      <c r="H581">
        <v>17</v>
      </c>
      <c r="I581">
        <f>Inventory_Data[[#This Row],[Opening_Stock]]+Inventory_Data[[#This Row],[Units_Received]]-Inventory_Data[[#This Row],[Units_Sold]]</f>
        <v>63</v>
      </c>
      <c r="J581">
        <v>0</v>
      </c>
      <c r="K581">
        <v>4</v>
      </c>
      <c r="L581" t="s">
        <v>56</v>
      </c>
      <c r="M581" s="3">
        <v>38.51</v>
      </c>
      <c r="N581" s="3">
        <v>46.57</v>
      </c>
      <c r="O581" s="10" t="str">
        <f>TEXT(Inventory_Data[[#This Row],[Date]],"mmm")</f>
        <v>Apr</v>
      </c>
    </row>
    <row r="582" spans="1:15" x14ac:dyDescent="0.2">
      <c r="A582" s="21">
        <v>45764</v>
      </c>
      <c r="B582" s="5" t="s">
        <v>194</v>
      </c>
      <c r="C582" t="s">
        <v>195</v>
      </c>
      <c r="D582" t="s">
        <v>34</v>
      </c>
      <c r="E582" t="s">
        <v>35</v>
      </c>
      <c r="F582">
        <v>266</v>
      </c>
      <c r="G582">
        <v>173</v>
      </c>
      <c r="H582">
        <v>29</v>
      </c>
      <c r="I582">
        <f>Inventory_Data[[#This Row],[Opening_Stock]]+Inventory_Data[[#This Row],[Units_Received]]-Inventory_Data[[#This Row],[Units_Sold]]</f>
        <v>410</v>
      </c>
      <c r="J582">
        <v>0</v>
      </c>
      <c r="K582">
        <v>10</v>
      </c>
      <c r="L582" t="s">
        <v>39</v>
      </c>
      <c r="M582" s="3">
        <v>11.17</v>
      </c>
      <c r="N582" s="3">
        <v>16.57</v>
      </c>
      <c r="O582" s="10" t="str">
        <f>TEXT(Inventory_Data[[#This Row],[Date]],"mmm")</f>
        <v>Apr</v>
      </c>
    </row>
    <row r="583" spans="1:15" x14ac:dyDescent="0.2">
      <c r="A583" s="21">
        <v>45765</v>
      </c>
      <c r="B583" s="5" t="s">
        <v>64</v>
      </c>
      <c r="C583" t="s">
        <v>65</v>
      </c>
      <c r="D583" t="s">
        <v>27</v>
      </c>
      <c r="E583" t="s">
        <v>35</v>
      </c>
      <c r="F583">
        <v>331</v>
      </c>
      <c r="G583">
        <v>135</v>
      </c>
      <c r="H583">
        <v>45</v>
      </c>
      <c r="I583">
        <f>Inventory_Data[[#This Row],[Opening_Stock]]+Inventory_Data[[#This Row],[Units_Received]]-Inventory_Data[[#This Row],[Units_Sold]]</f>
        <v>421</v>
      </c>
      <c r="J583">
        <v>0</v>
      </c>
      <c r="K583">
        <v>7</v>
      </c>
      <c r="L583" t="s">
        <v>66</v>
      </c>
      <c r="M583" s="3">
        <v>11.64</v>
      </c>
      <c r="N583" s="3">
        <v>17.03</v>
      </c>
      <c r="O583" s="10" t="str">
        <f>TEXT(Inventory_Data[[#This Row],[Date]],"mmm")</f>
        <v>Apr</v>
      </c>
    </row>
    <row r="584" spans="1:15" x14ac:dyDescent="0.2">
      <c r="A584" s="21">
        <v>45765</v>
      </c>
      <c r="B584" s="5" t="s">
        <v>142</v>
      </c>
      <c r="C584" t="s">
        <v>143</v>
      </c>
      <c r="D584" t="s">
        <v>52</v>
      </c>
      <c r="E584" t="s">
        <v>28</v>
      </c>
      <c r="F584">
        <v>46</v>
      </c>
      <c r="G584">
        <v>14</v>
      </c>
      <c r="H584">
        <v>14</v>
      </c>
      <c r="I584">
        <f>Inventory_Data[[#This Row],[Opening_Stock]]+Inventory_Data[[#This Row],[Units_Received]]-Inventory_Data[[#This Row],[Units_Sold]]</f>
        <v>46</v>
      </c>
      <c r="J584">
        <v>0</v>
      </c>
      <c r="K584">
        <v>10</v>
      </c>
      <c r="L584" t="s">
        <v>53</v>
      </c>
      <c r="M584" s="3">
        <v>80.3</v>
      </c>
      <c r="N584" s="3">
        <v>100.53</v>
      </c>
      <c r="O584" s="10" t="str">
        <f>TEXT(Inventory_Data[[#This Row],[Date]],"mmm")</f>
        <v>Apr</v>
      </c>
    </row>
    <row r="585" spans="1:15" x14ac:dyDescent="0.2">
      <c r="A585" s="21">
        <v>45765</v>
      </c>
      <c r="B585" s="5" t="s">
        <v>102</v>
      </c>
      <c r="C585" t="s">
        <v>103</v>
      </c>
      <c r="D585" t="s">
        <v>52</v>
      </c>
      <c r="E585" t="s">
        <v>28</v>
      </c>
      <c r="F585">
        <v>48</v>
      </c>
      <c r="G585">
        <v>3</v>
      </c>
      <c r="H585">
        <v>1</v>
      </c>
      <c r="I585">
        <f>Inventory_Data[[#This Row],[Opening_Stock]]+Inventory_Data[[#This Row],[Units_Received]]-Inventory_Data[[#This Row],[Units_Sold]]</f>
        <v>50</v>
      </c>
      <c r="J585">
        <v>0</v>
      </c>
      <c r="K585">
        <v>13</v>
      </c>
      <c r="L585" t="s">
        <v>83</v>
      </c>
      <c r="M585" s="3">
        <v>32.96</v>
      </c>
      <c r="N585" s="3">
        <v>48.33</v>
      </c>
      <c r="O585" s="10" t="str">
        <f>TEXT(Inventory_Data[[#This Row],[Date]],"mmm")</f>
        <v>Apr</v>
      </c>
    </row>
    <row r="586" spans="1:15" x14ac:dyDescent="0.2">
      <c r="A586" s="21">
        <v>45765</v>
      </c>
      <c r="B586" s="5" t="s">
        <v>69</v>
      </c>
      <c r="C586" t="s">
        <v>70</v>
      </c>
      <c r="D586" t="s">
        <v>34</v>
      </c>
      <c r="E586" t="s">
        <v>17</v>
      </c>
      <c r="F586">
        <v>335</v>
      </c>
      <c r="G586">
        <v>77</v>
      </c>
      <c r="H586">
        <v>101</v>
      </c>
      <c r="I586">
        <f>Inventory_Data[[#This Row],[Opening_Stock]]+Inventory_Data[[#This Row],[Units_Received]]-Inventory_Data[[#This Row],[Units_Sold]]</f>
        <v>311</v>
      </c>
      <c r="J586">
        <v>0</v>
      </c>
      <c r="K586">
        <v>9</v>
      </c>
      <c r="L586" t="s">
        <v>42</v>
      </c>
      <c r="M586" s="3">
        <v>11.99</v>
      </c>
      <c r="N586" s="3">
        <v>15.57</v>
      </c>
      <c r="O586" s="10" t="str">
        <f>TEXT(Inventory_Data[[#This Row],[Date]],"mmm")</f>
        <v>Apr</v>
      </c>
    </row>
    <row r="587" spans="1:15" x14ac:dyDescent="0.2">
      <c r="A587" s="21">
        <v>45765</v>
      </c>
      <c r="B587" s="5" t="s">
        <v>43</v>
      </c>
      <c r="C587" t="s">
        <v>44</v>
      </c>
      <c r="D587" t="s">
        <v>34</v>
      </c>
      <c r="E587" t="s">
        <v>28</v>
      </c>
      <c r="F587">
        <v>343</v>
      </c>
      <c r="G587">
        <v>202</v>
      </c>
      <c r="H587">
        <v>85</v>
      </c>
      <c r="I587">
        <f>Inventory_Data[[#This Row],[Opening_Stock]]+Inventory_Data[[#This Row],[Units_Received]]-Inventory_Data[[#This Row],[Units_Sold]]</f>
        <v>460</v>
      </c>
      <c r="J587">
        <v>0</v>
      </c>
      <c r="K587">
        <v>10</v>
      </c>
      <c r="L587" t="s">
        <v>39</v>
      </c>
      <c r="M587" s="3">
        <v>9.84</v>
      </c>
      <c r="N587" s="3">
        <v>14.58</v>
      </c>
      <c r="O587" s="10" t="str">
        <f>TEXT(Inventory_Data[[#This Row],[Date]],"mmm")</f>
        <v>Apr</v>
      </c>
    </row>
    <row r="588" spans="1:15" x14ac:dyDescent="0.2">
      <c r="A588" s="21">
        <v>45766</v>
      </c>
      <c r="B588" s="5" t="s">
        <v>166</v>
      </c>
      <c r="C588" t="s">
        <v>167</v>
      </c>
      <c r="D588" t="s">
        <v>16</v>
      </c>
      <c r="E588" t="s">
        <v>17</v>
      </c>
      <c r="F588">
        <v>58</v>
      </c>
      <c r="G588">
        <v>13</v>
      </c>
      <c r="H588">
        <v>34</v>
      </c>
      <c r="I588">
        <f>Inventory_Data[[#This Row],[Opening_Stock]]+Inventory_Data[[#This Row],[Units_Received]]-Inventory_Data[[#This Row],[Units_Sold]]</f>
        <v>37</v>
      </c>
      <c r="J588">
        <v>0</v>
      </c>
      <c r="K588">
        <v>7</v>
      </c>
      <c r="L588" t="s">
        <v>24</v>
      </c>
      <c r="M588" s="3">
        <v>112.75</v>
      </c>
      <c r="N588" s="3">
        <v>158.08000000000001</v>
      </c>
      <c r="O588" s="10" t="str">
        <f>TEXT(Inventory_Data[[#This Row],[Date]],"mmm")</f>
        <v>Apr</v>
      </c>
    </row>
    <row r="589" spans="1:15" x14ac:dyDescent="0.2">
      <c r="A589" s="21">
        <v>45766</v>
      </c>
      <c r="B589" s="5" t="s">
        <v>98</v>
      </c>
      <c r="C589" t="s">
        <v>99</v>
      </c>
      <c r="D589" t="s">
        <v>27</v>
      </c>
      <c r="E589" t="s">
        <v>28</v>
      </c>
      <c r="F589">
        <v>425</v>
      </c>
      <c r="G589">
        <v>185</v>
      </c>
      <c r="H589">
        <v>156</v>
      </c>
      <c r="I589">
        <f>Inventory_Data[[#This Row],[Opening_Stock]]+Inventory_Data[[#This Row],[Units_Received]]-Inventory_Data[[#This Row],[Units_Sold]]</f>
        <v>454</v>
      </c>
      <c r="J589">
        <v>0</v>
      </c>
      <c r="K589">
        <v>6</v>
      </c>
      <c r="L589" t="s">
        <v>29</v>
      </c>
      <c r="M589" s="3">
        <v>19.7</v>
      </c>
      <c r="N589" s="3">
        <v>29.05</v>
      </c>
      <c r="O589" s="10" t="str">
        <f>TEXT(Inventory_Data[[#This Row],[Date]],"mmm")</f>
        <v>Apr</v>
      </c>
    </row>
    <row r="590" spans="1:15" x14ac:dyDescent="0.2">
      <c r="A590" s="21">
        <v>45766</v>
      </c>
      <c r="B590" s="5" t="s">
        <v>98</v>
      </c>
      <c r="C590" t="s">
        <v>99</v>
      </c>
      <c r="D590" t="s">
        <v>27</v>
      </c>
      <c r="E590" t="s">
        <v>21</v>
      </c>
      <c r="F590">
        <v>81</v>
      </c>
      <c r="G590">
        <v>127</v>
      </c>
      <c r="H590">
        <v>50</v>
      </c>
      <c r="I590">
        <f>Inventory_Data[[#This Row],[Opening_Stock]]+Inventory_Data[[#This Row],[Units_Received]]-Inventory_Data[[#This Row],[Units_Sold]]</f>
        <v>158</v>
      </c>
      <c r="J590">
        <v>0</v>
      </c>
      <c r="K590">
        <v>3</v>
      </c>
      <c r="L590" t="s">
        <v>80</v>
      </c>
      <c r="M590" s="3">
        <v>3.3</v>
      </c>
      <c r="N590" s="3">
        <v>4.68</v>
      </c>
      <c r="O590" s="10" t="str">
        <f>TEXT(Inventory_Data[[#This Row],[Date]],"mmm")</f>
        <v>Apr</v>
      </c>
    </row>
    <row r="591" spans="1:15" x14ac:dyDescent="0.2">
      <c r="A591" s="21">
        <v>45767</v>
      </c>
      <c r="B591" s="5" t="s">
        <v>128</v>
      </c>
      <c r="C591" t="s">
        <v>129</v>
      </c>
      <c r="D591" t="s">
        <v>48</v>
      </c>
      <c r="E591" t="s">
        <v>21</v>
      </c>
      <c r="F591">
        <v>225</v>
      </c>
      <c r="G591">
        <v>150</v>
      </c>
      <c r="H591">
        <v>44</v>
      </c>
      <c r="I591">
        <f>Inventory_Data[[#This Row],[Opening_Stock]]+Inventory_Data[[#This Row],[Units_Received]]-Inventory_Data[[#This Row],[Units_Sold]]</f>
        <v>331</v>
      </c>
      <c r="J591">
        <v>0</v>
      </c>
      <c r="K591">
        <v>2</v>
      </c>
      <c r="L591" t="s">
        <v>77</v>
      </c>
      <c r="M591" s="3">
        <v>46.68</v>
      </c>
      <c r="N591" s="3">
        <v>64.36</v>
      </c>
      <c r="O591" s="10" t="str">
        <f>TEXT(Inventory_Data[[#This Row],[Date]],"mmm")</f>
        <v>Apr</v>
      </c>
    </row>
    <row r="592" spans="1:15" x14ac:dyDescent="0.2">
      <c r="A592" s="21">
        <v>45768</v>
      </c>
      <c r="B592" s="5" t="s">
        <v>162</v>
      </c>
      <c r="C592" t="s">
        <v>163</v>
      </c>
      <c r="D592" t="s">
        <v>16</v>
      </c>
      <c r="E592" t="s">
        <v>35</v>
      </c>
      <c r="F592">
        <v>38</v>
      </c>
      <c r="G592">
        <v>15</v>
      </c>
      <c r="H592">
        <v>15</v>
      </c>
      <c r="I592">
        <f>Inventory_Data[[#This Row],[Opening_Stock]]+Inventory_Data[[#This Row],[Units_Received]]-Inventory_Data[[#This Row],[Units_Sold]]</f>
        <v>38</v>
      </c>
      <c r="J592">
        <v>0</v>
      </c>
      <c r="K592">
        <v>14</v>
      </c>
      <c r="L592" t="s">
        <v>45</v>
      </c>
      <c r="M592" s="3">
        <v>105.46</v>
      </c>
      <c r="N592" s="3">
        <v>122.04</v>
      </c>
      <c r="O592" s="10" t="str">
        <f>TEXT(Inventory_Data[[#This Row],[Date]],"mmm")</f>
        <v>Apr</v>
      </c>
    </row>
    <row r="593" spans="1:15" x14ac:dyDescent="0.2">
      <c r="A593" s="21">
        <v>45768</v>
      </c>
      <c r="B593" s="5" t="s">
        <v>14</v>
      </c>
      <c r="C593" t="s">
        <v>15</v>
      </c>
      <c r="D593" t="s">
        <v>16</v>
      </c>
      <c r="E593" t="s">
        <v>35</v>
      </c>
      <c r="F593">
        <v>96</v>
      </c>
      <c r="G593">
        <v>86</v>
      </c>
      <c r="H593">
        <v>22</v>
      </c>
      <c r="I593">
        <f>Inventory_Data[[#This Row],[Opening_Stock]]+Inventory_Data[[#This Row],[Units_Received]]-Inventory_Data[[#This Row],[Units_Sold]]</f>
        <v>160</v>
      </c>
      <c r="J593">
        <v>0</v>
      </c>
      <c r="K593">
        <v>14</v>
      </c>
      <c r="L593" t="s">
        <v>45</v>
      </c>
      <c r="M593" s="3">
        <v>63.82</v>
      </c>
      <c r="N593" s="3">
        <v>97.35</v>
      </c>
      <c r="O593" s="10" t="str">
        <f>TEXT(Inventory_Data[[#This Row],[Date]],"mmm")</f>
        <v>Apr</v>
      </c>
    </row>
    <row r="594" spans="1:15" x14ac:dyDescent="0.2">
      <c r="A594" s="21">
        <v>45768</v>
      </c>
      <c r="B594" s="5" t="s">
        <v>170</v>
      </c>
      <c r="C594" t="s">
        <v>171</v>
      </c>
      <c r="D594" t="s">
        <v>48</v>
      </c>
      <c r="E594" t="s">
        <v>35</v>
      </c>
      <c r="F594">
        <v>192</v>
      </c>
      <c r="G594">
        <v>72</v>
      </c>
      <c r="H594">
        <v>111</v>
      </c>
      <c r="I594">
        <f>Inventory_Data[[#This Row],[Opening_Stock]]+Inventory_Data[[#This Row],[Units_Received]]-Inventory_Data[[#This Row],[Units_Sold]]</f>
        <v>153</v>
      </c>
      <c r="J594">
        <v>0</v>
      </c>
      <c r="K594">
        <v>3</v>
      </c>
      <c r="L594" t="s">
        <v>49</v>
      </c>
      <c r="M594" s="3">
        <v>51.65</v>
      </c>
      <c r="N594" s="3">
        <v>64.930000000000007</v>
      </c>
      <c r="O594" s="10" t="str">
        <f>TEXT(Inventory_Data[[#This Row],[Date]],"mmm")</f>
        <v>Apr</v>
      </c>
    </row>
    <row r="595" spans="1:15" x14ac:dyDescent="0.2">
      <c r="A595" s="21">
        <v>45768</v>
      </c>
      <c r="B595" s="5" t="s">
        <v>146</v>
      </c>
      <c r="C595" t="s">
        <v>147</v>
      </c>
      <c r="D595" t="s">
        <v>48</v>
      </c>
      <c r="E595" t="s">
        <v>17</v>
      </c>
      <c r="F595">
        <v>180</v>
      </c>
      <c r="G595">
        <v>74</v>
      </c>
      <c r="H595">
        <v>118</v>
      </c>
      <c r="I595">
        <f>Inventory_Data[[#This Row],[Opening_Stock]]+Inventory_Data[[#This Row],[Units_Received]]-Inventory_Data[[#This Row],[Units_Sold]]</f>
        <v>136</v>
      </c>
      <c r="J595">
        <v>0</v>
      </c>
      <c r="K595">
        <v>12</v>
      </c>
      <c r="L595" t="s">
        <v>77</v>
      </c>
      <c r="M595" s="3">
        <v>68.08</v>
      </c>
      <c r="N595" s="3">
        <v>95.09</v>
      </c>
      <c r="O595" s="10" t="str">
        <f>TEXT(Inventory_Data[[#This Row],[Date]],"mmm")</f>
        <v>Apr</v>
      </c>
    </row>
    <row r="596" spans="1:15" x14ac:dyDescent="0.2">
      <c r="A596" s="21">
        <v>45768</v>
      </c>
      <c r="B596" s="5" t="s">
        <v>46</v>
      </c>
      <c r="C596" t="s">
        <v>47</v>
      </c>
      <c r="D596" t="s">
        <v>48</v>
      </c>
      <c r="E596" t="s">
        <v>21</v>
      </c>
      <c r="F596">
        <v>92</v>
      </c>
      <c r="G596">
        <v>62</v>
      </c>
      <c r="H596">
        <v>58</v>
      </c>
      <c r="I596">
        <f>Inventory_Data[[#This Row],[Opening_Stock]]+Inventory_Data[[#This Row],[Units_Received]]-Inventory_Data[[#This Row],[Units_Sold]]</f>
        <v>96</v>
      </c>
      <c r="J596">
        <v>0</v>
      </c>
      <c r="K596">
        <v>11</v>
      </c>
      <c r="L596" t="s">
        <v>77</v>
      </c>
      <c r="M596" s="3">
        <v>74.72</v>
      </c>
      <c r="N596" s="3">
        <v>107.3</v>
      </c>
      <c r="O596" s="10" t="str">
        <f>TEXT(Inventory_Data[[#This Row],[Date]],"mmm")</f>
        <v>Apr</v>
      </c>
    </row>
    <row r="597" spans="1:15" x14ac:dyDescent="0.2">
      <c r="A597" s="21">
        <v>45768</v>
      </c>
      <c r="B597" s="5" t="s">
        <v>100</v>
      </c>
      <c r="C597" t="s">
        <v>101</v>
      </c>
      <c r="D597" t="s">
        <v>52</v>
      </c>
      <c r="E597" t="s">
        <v>35</v>
      </c>
      <c r="F597">
        <v>30</v>
      </c>
      <c r="G597">
        <v>6</v>
      </c>
      <c r="H597">
        <v>20</v>
      </c>
      <c r="I597">
        <f>Inventory_Data[[#This Row],[Opening_Stock]]+Inventory_Data[[#This Row],[Units_Received]]-Inventory_Data[[#This Row],[Units_Sold]]</f>
        <v>16</v>
      </c>
      <c r="J597">
        <v>0</v>
      </c>
      <c r="K597">
        <v>14</v>
      </c>
      <c r="L597" t="s">
        <v>83</v>
      </c>
      <c r="M597" s="3">
        <v>318.54000000000002</v>
      </c>
      <c r="N597" s="3">
        <v>457.26</v>
      </c>
      <c r="O597" s="10" t="str">
        <f>TEXT(Inventory_Data[[#This Row],[Date]],"mmm")</f>
        <v>Apr</v>
      </c>
    </row>
    <row r="598" spans="1:15" x14ac:dyDescent="0.2">
      <c r="A598" s="21">
        <v>45768</v>
      </c>
      <c r="B598" s="5" t="s">
        <v>32</v>
      </c>
      <c r="C598" t="s">
        <v>33</v>
      </c>
      <c r="D598" t="s">
        <v>34</v>
      </c>
      <c r="E598" t="s">
        <v>17</v>
      </c>
      <c r="F598">
        <v>275</v>
      </c>
      <c r="G598">
        <v>188</v>
      </c>
      <c r="H598">
        <v>175</v>
      </c>
      <c r="I598">
        <f>Inventory_Data[[#This Row],[Opening_Stock]]+Inventory_Data[[#This Row],[Units_Received]]-Inventory_Data[[#This Row],[Units_Sold]]</f>
        <v>288</v>
      </c>
      <c r="J598">
        <v>0</v>
      </c>
      <c r="K598">
        <v>8</v>
      </c>
      <c r="L598" t="s">
        <v>42</v>
      </c>
      <c r="M598" s="3">
        <v>19.71</v>
      </c>
      <c r="N598" s="3">
        <v>22.8</v>
      </c>
      <c r="O598" s="10" t="str">
        <f>TEXT(Inventory_Data[[#This Row],[Date]],"mmm")</f>
        <v>Apr</v>
      </c>
    </row>
    <row r="599" spans="1:15" x14ac:dyDescent="0.2">
      <c r="A599" s="21">
        <v>45768</v>
      </c>
      <c r="B599" s="5" t="s">
        <v>59</v>
      </c>
      <c r="C599" t="s">
        <v>60</v>
      </c>
      <c r="D599" t="s">
        <v>34</v>
      </c>
      <c r="E599" t="s">
        <v>28</v>
      </c>
      <c r="F599">
        <v>76</v>
      </c>
      <c r="G599">
        <v>156</v>
      </c>
      <c r="H599">
        <v>137</v>
      </c>
      <c r="I599">
        <f>Inventory_Data[[#This Row],[Opening_Stock]]+Inventory_Data[[#This Row],[Units_Received]]-Inventory_Data[[#This Row],[Units_Sold]]</f>
        <v>95</v>
      </c>
      <c r="J599">
        <v>0</v>
      </c>
      <c r="K599">
        <v>9</v>
      </c>
      <c r="L599" t="s">
        <v>42</v>
      </c>
      <c r="M599" s="3">
        <v>10.9</v>
      </c>
      <c r="N599" s="3">
        <v>13.48</v>
      </c>
      <c r="O599" s="10" t="str">
        <f>TEXT(Inventory_Data[[#This Row],[Date]],"mmm")</f>
        <v>Apr</v>
      </c>
    </row>
    <row r="600" spans="1:15" x14ac:dyDescent="0.2">
      <c r="A600" s="21">
        <v>45768</v>
      </c>
      <c r="B600" s="5" t="s">
        <v>180</v>
      </c>
      <c r="C600" t="s">
        <v>181</v>
      </c>
      <c r="D600" t="s">
        <v>34</v>
      </c>
      <c r="E600" t="s">
        <v>17</v>
      </c>
      <c r="F600">
        <v>97</v>
      </c>
      <c r="G600">
        <v>128</v>
      </c>
      <c r="H600">
        <v>138</v>
      </c>
      <c r="I600">
        <f>Inventory_Data[[#This Row],[Opening_Stock]]+Inventory_Data[[#This Row],[Units_Received]]-Inventory_Data[[#This Row],[Units_Sold]]</f>
        <v>87</v>
      </c>
      <c r="J600">
        <v>0</v>
      </c>
      <c r="K600">
        <v>8</v>
      </c>
      <c r="L600" t="s">
        <v>42</v>
      </c>
      <c r="M600" s="3">
        <v>14.97</v>
      </c>
      <c r="N600" s="3">
        <v>20.59</v>
      </c>
      <c r="O600" s="10" t="str">
        <f>TEXT(Inventory_Data[[#This Row],[Date]],"mmm")</f>
        <v>Apr</v>
      </c>
    </row>
    <row r="601" spans="1:15" x14ac:dyDescent="0.2">
      <c r="A601" s="21">
        <v>45768</v>
      </c>
      <c r="B601" s="5" t="s">
        <v>126</v>
      </c>
      <c r="C601" t="s">
        <v>127</v>
      </c>
      <c r="D601" t="s">
        <v>34</v>
      </c>
      <c r="E601" t="s">
        <v>21</v>
      </c>
      <c r="F601">
        <v>125</v>
      </c>
      <c r="G601">
        <v>81</v>
      </c>
      <c r="H601">
        <v>106</v>
      </c>
      <c r="I601">
        <f>Inventory_Data[[#This Row],[Opening_Stock]]+Inventory_Data[[#This Row],[Units_Received]]-Inventory_Data[[#This Row],[Units_Sold]]</f>
        <v>100</v>
      </c>
      <c r="J601">
        <v>0</v>
      </c>
      <c r="K601">
        <v>12</v>
      </c>
      <c r="L601" t="s">
        <v>42</v>
      </c>
      <c r="M601" s="3">
        <v>26.12</v>
      </c>
      <c r="N601" s="3">
        <v>34.68</v>
      </c>
      <c r="O601" s="10" t="str">
        <f>TEXT(Inventory_Data[[#This Row],[Date]],"mmm")</f>
        <v>Apr</v>
      </c>
    </row>
    <row r="602" spans="1:15" x14ac:dyDescent="0.2">
      <c r="A602" s="21">
        <v>45769</v>
      </c>
      <c r="B602" s="5" t="s">
        <v>152</v>
      </c>
      <c r="C602" t="s">
        <v>153</v>
      </c>
      <c r="D602" t="s">
        <v>16</v>
      </c>
      <c r="E602" t="s">
        <v>21</v>
      </c>
      <c r="F602">
        <v>113</v>
      </c>
      <c r="G602">
        <v>74</v>
      </c>
      <c r="H602">
        <v>47</v>
      </c>
      <c r="I602">
        <f>Inventory_Data[[#This Row],[Opening_Stock]]+Inventory_Data[[#This Row],[Units_Received]]-Inventory_Data[[#This Row],[Units_Sold]]</f>
        <v>140</v>
      </c>
      <c r="J602">
        <v>0</v>
      </c>
      <c r="K602">
        <v>8</v>
      </c>
      <c r="L602" t="s">
        <v>24</v>
      </c>
      <c r="M602" s="3">
        <v>175.18</v>
      </c>
      <c r="N602" s="3">
        <v>268.74</v>
      </c>
      <c r="O602" s="10" t="str">
        <f>TEXT(Inventory_Data[[#This Row],[Date]],"mmm")</f>
        <v>Apr</v>
      </c>
    </row>
    <row r="603" spans="1:15" x14ac:dyDescent="0.2">
      <c r="A603" s="21">
        <v>45769</v>
      </c>
      <c r="B603" s="5" t="s">
        <v>160</v>
      </c>
      <c r="C603" t="s">
        <v>161</v>
      </c>
      <c r="D603" t="s">
        <v>27</v>
      </c>
      <c r="E603" t="s">
        <v>21</v>
      </c>
      <c r="F603">
        <v>367</v>
      </c>
      <c r="G603">
        <v>189</v>
      </c>
      <c r="H603">
        <v>74</v>
      </c>
      <c r="I603">
        <f>Inventory_Data[[#This Row],[Opening_Stock]]+Inventory_Data[[#This Row],[Units_Received]]-Inventory_Data[[#This Row],[Units_Sold]]</f>
        <v>482</v>
      </c>
      <c r="J603">
        <v>0</v>
      </c>
      <c r="K603">
        <v>3</v>
      </c>
      <c r="L603" t="s">
        <v>29</v>
      </c>
      <c r="M603" s="3">
        <v>4.37</v>
      </c>
      <c r="N603" s="3">
        <v>6.28</v>
      </c>
      <c r="O603" s="10" t="str">
        <f>TEXT(Inventory_Data[[#This Row],[Date]],"mmm")</f>
        <v>Apr</v>
      </c>
    </row>
    <row r="604" spans="1:15" x14ac:dyDescent="0.2">
      <c r="A604" s="21">
        <v>45769</v>
      </c>
      <c r="B604" s="5" t="s">
        <v>186</v>
      </c>
      <c r="C604" t="s">
        <v>187</v>
      </c>
      <c r="D604" t="s">
        <v>27</v>
      </c>
      <c r="E604" t="s">
        <v>17</v>
      </c>
      <c r="F604">
        <v>416</v>
      </c>
      <c r="G604">
        <v>139</v>
      </c>
      <c r="H604">
        <v>161</v>
      </c>
      <c r="I604">
        <f>Inventory_Data[[#This Row],[Opening_Stock]]+Inventory_Data[[#This Row],[Units_Received]]-Inventory_Data[[#This Row],[Units_Sold]]</f>
        <v>394</v>
      </c>
      <c r="J604">
        <v>0</v>
      </c>
      <c r="K604">
        <v>2</v>
      </c>
      <c r="L604" t="s">
        <v>66</v>
      </c>
      <c r="M604" s="3">
        <v>2.72</v>
      </c>
      <c r="N604" s="3">
        <v>3.93</v>
      </c>
      <c r="O604" s="10" t="str">
        <f>TEXT(Inventory_Data[[#This Row],[Date]],"mmm")</f>
        <v>Apr</v>
      </c>
    </row>
    <row r="605" spans="1:15" x14ac:dyDescent="0.2">
      <c r="A605" s="21">
        <v>45769</v>
      </c>
      <c r="B605" s="5" t="s">
        <v>110</v>
      </c>
      <c r="C605" t="s">
        <v>111</v>
      </c>
      <c r="D605" t="s">
        <v>52</v>
      </c>
      <c r="E605" t="s">
        <v>17</v>
      </c>
      <c r="F605">
        <v>24</v>
      </c>
      <c r="G605">
        <v>5</v>
      </c>
      <c r="H605">
        <v>16</v>
      </c>
      <c r="I605">
        <f>Inventory_Data[[#This Row],[Opening_Stock]]+Inventory_Data[[#This Row],[Units_Received]]-Inventory_Data[[#This Row],[Units_Sold]]</f>
        <v>13</v>
      </c>
      <c r="J605">
        <v>0</v>
      </c>
      <c r="K605">
        <v>13</v>
      </c>
      <c r="L605" t="s">
        <v>83</v>
      </c>
      <c r="M605" s="3">
        <v>179.53</v>
      </c>
      <c r="N605" s="3">
        <v>260.82</v>
      </c>
      <c r="O605" s="10" t="str">
        <f>TEXT(Inventory_Data[[#This Row],[Date]],"mmm")</f>
        <v>Apr</v>
      </c>
    </row>
    <row r="606" spans="1:15" x14ac:dyDescent="0.2">
      <c r="A606" s="21">
        <v>45769</v>
      </c>
      <c r="B606" s="5" t="s">
        <v>37</v>
      </c>
      <c r="C606" t="s">
        <v>38</v>
      </c>
      <c r="D606" t="s">
        <v>34</v>
      </c>
      <c r="E606" t="s">
        <v>28</v>
      </c>
      <c r="F606">
        <v>71</v>
      </c>
      <c r="G606">
        <v>64</v>
      </c>
      <c r="H606">
        <v>35</v>
      </c>
      <c r="I606">
        <f>Inventory_Data[[#This Row],[Opening_Stock]]+Inventory_Data[[#This Row],[Units_Received]]-Inventory_Data[[#This Row],[Units_Sold]]</f>
        <v>100</v>
      </c>
      <c r="J606">
        <v>0</v>
      </c>
      <c r="K606">
        <v>3</v>
      </c>
      <c r="L606" t="s">
        <v>42</v>
      </c>
      <c r="M606" s="3">
        <v>10.53</v>
      </c>
      <c r="N606" s="3">
        <v>13.28</v>
      </c>
      <c r="O606" s="10" t="str">
        <f>TEXT(Inventory_Data[[#This Row],[Date]],"mmm")</f>
        <v>Apr</v>
      </c>
    </row>
    <row r="607" spans="1:15" x14ac:dyDescent="0.2">
      <c r="A607" s="21">
        <v>45770</v>
      </c>
      <c r="B607" s="5" t="s">
        <v>84</v>
      </c>
      <c r="C607" t="s">
        <v>85</v>
      </c>
      <c r="D607" t="s">
        <v>48</v>
      </c>
      <c r="E607" t="s">
        <v>35</v>
      </c>
      <c r="F607">
        <v>106</v>
      </c>
      <c r="G607">
        <v>94</v>
      </c>
      <c r="H607">
        <v>54</v>
      </c>
      <c r="I607">
        <f>Inventory_Data[[#This Row],[Opening_Stock]]+Inventory_Data[[#This Row],[Units_Received]]-Inventory_Data[[#This Row],[Units_Sold]]</f>
        <v>146</v>
      </c>
      <c r="J607">
        <v>0</v>
      </c>
      <c r="K607">
        <v>5</v>
      </c>
      <c r="L607" t="s">
        <v>49</v>
      </c>
      <c r="M607" s="3">
        <v>16.14</v>
      </c>
      <c r="N607" s="3">
        <v>19.91</v>
      </c>
      <c r="O607" s="10" t="str">
        <f>TEXT(Inventory_Data[[#This Row],[Date]],"mmm")</f>
        <v>Apr</v>
      </c>
    </row>
    <row r="608" spans="1:15" x14ac:dyDescent="0.2">
      <c r="A608" s="21">
        <v>45770</v>
      </c>
      <c r="B608" s="5" t="s">
        <v>84</v>
      </c>
      <c r="C608" t="s">
        <v>85</v>
      </c>
      <c r="D608" t="s">
        <v>48</v>
      </c>
      <c r="E608" t="s">
        <v>21</v>
      </c>
      <c r="F608">
        <v>214</v>
      </c>
      <c r="G608">
        <v>127</v>
      </c>
      <c r="H608">
        <v>36</v>
      </c>
      <c r="I608">
        <f>Inventory_Data[[#This Row],[Opening_Stock]]+Inventory_Data[[#This Row],[Units_Received]]-Inventory_Data[[#This Row],[Units_Sold]]</f>
        <v>305</v>
      </c>
      <c r="J608">
        <v>0</v>
      </c>
      <c r="K608">
        <v>8</v>
      </c>
      <c r="L608" t="s">
        <v>49</v>
      </c>
      <c r="M608" s="3">
        <v>47.07</v>
      </c>
      <c r="N608" s="3">
        <v>60.26</v>
      </c>
      <c r="O608" s="10" t="str">
        <f>TEXT(Inventory_Data[[#This Row],[Date]],"mmm")</f>
        <v>Apr</v>
      </c>
    </row>
    <row r="609" spans="1:15" x14ac:dyDescent="0.2">
      <c r="A609" s="21">
        <v>45770</v>
      </c>
      <c r="B609" s="5" t="s">
        <v>146</v>
      </c>
      <c r="C609" t="s">
        <v>147</v>
      </c>
      <c r="D609" t="s">
        <v>48</v>
      </c>
      <c r="E609" t="s">
        <v>21</v>
      </c>
      <c r="F609">
        <v>297</v>
      </c>
      <c r="G609">
        <v>100</v>
      </c>
      <c r="H609">
        <v>21</v>
      </c>
      <c r="I609">
        <f>Inventory_Data[[#This Row],[Opening_Stock]]+Inventory_Data[[#This Row],[Units_Received]]-Inventory_Data[[#This Row],[Units_Sold]]</f>
        <v>376</v>
      </c>
      <c r="J609">
        <v>0</v>
      </c>
      <c r="K609">
        <v>4</v>
      </c>
      <c r="L609" t="s">
        <v>49</v>
      </c>
      <c r="M609" s="3">
        <v>44.81</v>
      </c>
      <c r="N609" s="3">
        <v>53.04</v>
      </c>
      <c r="O609" s="10" t="str">
        <f>TEXT(Inventory_Data[[#This Row],[Date]],"mmm")</f>
        <v>Apr</v>
      </c>
    </row>
    <row r="610" spans="1:15" x14ac:dyDescent="0.2">
      <c r="A610" s="21">
        <v>45770</v>
      </c>
      <c r="B610" s="5" t="s">
        <v>156</v>
      </c>
      <c r="C610" t="s">
        <v>157</v>
      </c>
      <c r="D610" t="s">
        <v>27</v>
      </c>
      <c r="E610" t="s">
        <v>21</v>
      </c>
      <c r="F610">
        <v>234</v>
      </c>
      <c r="G610">
        <v>40</v>
      </c>
      <c r="H610">
        <v>52</v>
      </c>
      <c r="I610">
        <f>Inventory_Data[[#This Row],[Opening_Stock]]+Inventory_Data[[#This Row],[Units_Received]]-Inventory_Data[[#This Row],[Units_Sold]]</f>
        <v>222</v>
      </c>
      <c r="J610">
        <v>0</v>
      </c>
      <c r="K610">
        <v>6</v>
      </c>
      <c r="L610" t="s">
        <v>29</v>
      </c>
      <c r="M610" s="3">
        <v>15.08</v>
      </c>
      <c r="N610" s="3">
        <v>22.58</v>
      </c>
      <c r="O610" s="10" t="str">
        <f>TEXT(Inventory_Data[[#This Row],[Date]],"mmm")</f>
        <v>Apr</v>
      </c>
    </row>
    <row r="611" spans="1:15" x14ac:dyDescent="0.2">
      <c r="A611" s="21">
        <v>45770</v>
      </c>
      <c r="B611" s="5" t="s">
        <v>172</v>
      </c>
      <c r="C611" t="s">
        <v>173</v>
      </c>
      <c r="D611" t="s">
        <v>27</v>
      </c>
      <c r="E611" t="s">
        <v>35</v>
      </c>
      <c r="F611">
        <v>476</v>
      </c>
      <c r="G611">
        <v>101</v>
      </c>
      <c r="H611">
        <v>73</v>
      </c>
      <c r="I611">
        <f>Inventory_Data[[#This Row],[Opening_Stock]]+Inventory_Data[[#This Row],[Units_Received]]-Inventory_Data[[#This Row],[Units_Sold]]</f>
        <v>504</v>
      </c>
      <c r="J611">
        <v>0</v>
      </c>
      <c r="K611">
        <v>7</v>
      </c>
      <c r="L611" t="s">
        <v>66</v>
      </c>
      <c r="M611" s="3">
        <v>17.399999999999999</v>
      </c>
      <c r="N611" s="3">
        <v>21.51</v>
      </c>
      <c r="O611" s="10" t="str">
        <f>TEXT(Inventory_Data[[#This Row],[Date]],"mmm")</f>
        <v>Apr</v>
      </c>
    </row>
    <row r="612" spans="1:15" x14ac:dyDescent="0.2">
      <c r="A612" s="21">
        <v>45770</v>
      </c>
      <c r="B612" s="5" t="s">
        <v>148</v>
      </c>
      <c r="C612" t="s">
        <v>149</v>
      </c>
      <c r="D612" t="s">
        <v>27</v>
      </c>
      <c r="E612" t="s">
        <v>28</v>
      </c>
      <c r="F612">
        <v>268</v>
      </c>
      <c r="G612">
        <v>190</v>
      </c>
      <c r="H612">
        <v>49</v>
      </c>
      <c r="I612">
        <f>Inventory_Data[[#This Row],[Opening_Stock]]+Inventory_Data[[#This Row],[Units_Received]]-Inventory_Data[[#This Row],[Units_Sold]]</f>
        <v>409</v>
      </c>
      <c r="J612">
        <v>0</v>
      </c>
      <c r="K612">
        <v>4</v>
      </c>
      <c r="L612" t="s">
        <v>29</v>
      </c>
      <c r="M612" s="3">
        <v>21.81</v>
      </c>
      <c r="N612" s="3">
        <v>25.76</v>
      </c>
      <c r="O612" s="10" t="str">
        <f>TEXT(Inventory_Data[[#This Row],[Date]],"mmm")</f>
        <v>Apr</v>
      </c>
    </row>
    <row r="613" spans="1:15" x14ac:dyDescent="0.2">
      <c r="A613" s="21">
        <v>45770</v>
      </c>
      <c r="B613" s="5" t="s">
        <v>102</v>
      </c>
      <c r="C613" t="s">
        <v>103</v>
      </c>
      <c r="D613" t="s">
        <v>52</v>
      </c>
      <c r="E613" t="s">
        <v>21</v>
      </c>
      <c r="F613">
        <v>79</v>
      </c>
      <c r="G613">
        <v>10</v>
      </c>
      <c r="H613">
        <v>16</v>
      </c>
      <c r="I613">
        <f>Inventory_Data[[#This Row],[Opening_Stock]]+Inventory_Data[[#This Row],[Units_Received]]-Inventory_Data[[#This Row],[Units_Sold]]</f>
        <v>73</v>
      </c>
      <c r="J613">
        <v>0</v>
      </c>
      <c r="K613">
        <v>5</v>
      </c>
      <c r="L613" t="s">
        <v>56</v>
      </c>
      <c r="M613" s="3">
        <v>334.21</v>
      </c>
      <c r="N613" s="3">
        <v>517.33000000000004</v>
      </c>
      <c r="O613" s="10" t="str">
        <f>TEXT(Inventory_Data[[#This Row],[Date]],"mmm")</f>
        <v>Apr</v>
      </c>
    </row>
    <row r="614" spans="1:15" x14ac:dyDescent="0.2">
      <c r="A614" s="21">
        <v>45770</v>
      </c>
      <c r="B614" s="5" t="s">
        <v>69</v>
      </c>
      <c r="C614" t="s">
        <v>70</v>
      </c>
      <c r="D614" t="s">
        <v>34</v>
      </c>
      <c r="E614" t="s">
        <v>17</v>
      </c>
      <c r="F614">
        <v>228</v>
      </c>
      <c r="G614">
        <v>175</v>
      </c>
      <c r="H614">
        <v>36</v>
      </c>
      <c r="I614">
        <f>Inventory_Data[[#This Row],[Opening_Stock]]+Inventory_Data[[#This Row],[Units_Received]]-Inventory_Data[[#This Row],[Units_Sold]]</f>
        <v>367</v>
      </c>
      <c r="J614">
        <v>0</v>
      </c>
      <c r="K614">
        <v>3</v>
      </c>
      <c r="L614" t="s">
        <v>36</v>
      </c>
      <c r="M614" s="3">
        <v>20.64</v>
      </c>
      <c r="N614" s="3">
        <v>29.37</v>
      </c>
      <c r="O614" s="10" t="str">
        <f>TEXT(Inventory_Data[[#This Row],[Date]],"mmm")</f>
        <v>Apr</v>
      </c>
    </row>
    <row r="615" spans="1:15" x14ac:dyDescent="0.2">
      <c r="A615" s="21">
        <v>45770</v>
      </c>
      <c r="B615" s="5" t="s">
        <v>59</v>
      </c>
      <c r="C615" t="s">
        <v>60</v>
      </c>
      <c r="D615" t="s">
        <v>34</v>
      </c>
      <c r="E615" t="s">
        <v>35</v>
      </c>
      <c r="F615">
        <v>106</v>
      </c>
      <c r="G615">
        <v>177</v>
      </c>
      <c r="H615">
        <v>33</v>
      </c>
      <c r="I615">
        <f>Inventory_Data[[#This Row],[Opening_Stock]]+Inventory_Data[[#This Row],[Units_Received]]-Inventory_Data[[#This Row],[Units_Sold]]</f>
        <v>250</v>
      </c>
      <c r="J615">
        <v>0</v>
      </c>
      <c r="K615">
        <v>14</v>
      </c>
      <c r="L615" t="s">
        <v>36</v>
      </c>
      <c r="M615" s="3">
        <v>16</v>
      </c>
      <c r="N615" s="3">
        <v>20.83</v>
      </c>
      <c r="O615" s="10" t="str">
        <f>TEXT(Inventory_Data[[#This Row],[Date]],"mmm")</f>
        <v>Apr</v>
      </c>
    </row>
    <row r="616" spans="1:15" x14ac:dyDescent="0.2">
      <c r="A616" s="21">
        <v>45770</v>
      </c>
      <c r="B616" s="5" t="s">
        <v>194</v>
      </c>
      <c r="C616" t="s">
        <v>195</v>
      </c>
      <c r="D616" t="s">
        <v>34</v>
      </c>
      <c r="E616" t="s">
        <v>28</v>
      </c>
      <c r="F616">
        <v>372</v>
      </c>
      <c r="G616">
        <v>147</v>
      </c>
      <c r="H616">
        <v>114</v>
      </c>
      <c r="I616">
        <f>Inventory_Data[[#This Row],[Opening_Stock]]+Inventory_Data[[#This Row],[Units_Received]]-Inventory_Data[[#This Row],[Units_Sold]]</f>
        <v>405</v>
      </c>
      <c r="J616">
        <v>0</v>
      </c>
      <c r="K616">
        <v>13</v>
      </c>
      <c r="L616" t="s">
        <v>39</v>
      </c>
      <c r="M616" s="3">
        <v>20.96</v>
      </c>
      <c r="N616" s="3">
        <v>27.24</v>
      </c>
      <c r="O616" s="10" t="str">
        <f>TEXT(Inventory_Data[[#This Row],[Date]],"mmm")</f>
        <v>Apr</v>
      </c>
    </row>
    <row r="617" spans="1:15" x14ac:dyDescent="0.2">
      <c r="A617" s="21">
        <v>45771</v>
      </c>
      <c r="B617" s="5" t="s">
        <v>73</v>
      </c>
      <c r="C617" t="s">
        <v>74</v>
      </c>
      <c r="D617" t="s">
        <v>16</v>
      </c>
      <c r="E617" t="s">
        <v>28</v>
      </c>
      <c r="F617">
        <v>115</v>
      </c>
      <c r="G617">
        <v>57</v>
      </c>
      <c r="H617">
        <v>43</v>
      </c>
      <c r="I617">
        <f>Inventory_Data[[#This Row],[Opening_Stock]]+Inventory_Data[[#This Row],[Units_Received]]-Inventory_Data[[#This Row],[Units_Sold]]</f>
        <v>129</v>
      </c>
      <c r="J617">
        <v>0</v>
      </c>
      <c r="K617">
        <v>9</v>
      </c>
      <c r="L617" t="s">
        <v>18</v>
      </c>
      <c r="M617" s="3">
        <v>191.89</v>
      </c>
      <c r="N617" s="3">
        <v>226.8</v>
      </c>
      <c r="O617" s="10" t="str">
        <f>TEXT(Inventory_Data[[#This Row],[Date]],"mmm")</f>
        <v>Apr</v>
      </c>
    </row>
    <row r="618" spans="1:15" x14ac:dyDescent="0.2">
      <c r="A618" s="21">
        <v>45771</v>
      </c>
      <c r="B618" s="5" t="s">
        <v>120</v>
      </c>
      <c r="C618" t="s">
        <v>121</v>
      </c>
      <c r="D618" t="s">
        <v>16</v>
      </c>
      <c r="E618" t="s">
        <v>28</v>
      </c>
      <c r="F618">
        <v>26</v>
      </c>
      <c r="G618">
        <v>78</v>
      </c>
      <c r="H618">
        <v>76</v>
      </c>
      <c r="I618">
        <f>Inventory_Data[[#This Row],[Opening_Stock]]+Inventory_Data[[#This Row],[Units_Received]]-Inventory_Data[[#This Row],[Units_Sold]]</f>
        <v>28</v>
      </c>
      <c r="J618">
        <v>0</v>
      </c>
      <c r="K618">
        <v>5</v>
      </c>
      <c r="L618" t="s">
        <v>18</v>
      </c>
      <c r="M618" s="3">
        <v>118.8</v>
      </c>
      <c r="N618" s="3">
        <v>182.79</v>
      </c>
      <c r="O618" s="10" t="str">
        <f>TEXT(Inventory_Data[[#This Row],[Date]],"mmm")</f>
        <v>Apr</v>
      </c>
    </row>
    <row r="619" spans="1:15" x14ac:dyDescent="0.2">
      <c r="A619" s="21">
        <v>45771</v>
      </c>
      <c r="B619" s="5" t="s">
        <v>64</v>
      </c>
      <c r="C619" t="s">
        <v>65</v>
      </c>
      <c r="D619" t="s">
        <v>27</v>
      </c>
      <c r="E619" t="s">
        <v>28</v>
      </c>
      <c r="F619">
        <v>174</v>
      </c>
      <c r="G619">
        <v>220</v>
      </c>
      <c r="H619">
        <v>51</v>
      </c>
      <c r="I619">
        <f>Inventory_Data[[#This Row],[Opening_Stock]]+Inventory_Data[[#This Row],[Units_Received]]-Inventory_Data[[#This Row],[Units_Sold]]</f>
        <v>343</v>
      </c>
      <c r="J619">
        <v>0</v>
      </c>
      <c r="K619">
        <v>2</v>
      </c>
      <c r="L619" t="s">
        <v>29</v>
      </c>
      <c r="M619" s="3">
        <v>11.99</v>
      </c>
      <c r="N619" s="3">
        <v>15.93</v>
      </c>
      <c r="O619" s="10" t="str">
        <f>TEXT(Inventory_Data[[#This Row],[Date]],"mmm")</f>
        <v>Apr</v>
      </c>
    </row>
    <row r="620" spans="1:15" x14ac:dyDescent="0.2">
      <c r="A620" s="21">
        <v>45771</v>
      </c>
      <c r="B620" s="5" t="s">
        <v>116</v>
      </c>
      <c r="C620" t="s">
        <v>117</v>
      </c>
      <c r="D620" t="s">
        <v>52</v>
      </c>
      <c r="E620" t="s">
        <v>35</v>
      </c>
      <c r="F620">
        <v>80</v>
      </c>
      <c r="G620">
        <v>4</v>
      </c>
      <c r="H620">
        <v>13</v>
      </c>
      <c r="I620">
        <f>Inventory_Data[[#This Row],[Opening_Stock]]+Inventory_Data[[#This Row],[Units_Received]]-Inventory_Data[[#This Row],[Units_Sold]]</f>
        <v>71</v>
      </c>
      <c r="J620">
        <v>0</v>
      </c>
      <c r="K620">
        <v>5</v>
      </c>
      <c r="L620" t="s">
        <v>56</v>
      </c>
      <c r="M620" s="3">
        <v>170.02</v>
      </c>
      <c r="N620" s="3">
        <v>250.33</v>
      </c>
      <c r="O620" s="10" t="str">
        <f>TEXT(Inventory_Data[[#This Row],[Date]],"mmm")</f>
        <v>Apr</v>
      </c>
    </row>
    <row r="621" spans="1:15" x14ac:dyDescent="0.2">
      <c r="A621" s="21">
        <v>45772</v>
      </c>
      <c r="B621" s="5" t="s">
        <v>178</v>
      </c>
      <c r="C621" t="s">
        <v>179</v>
      </c>
      <c r="D621" t="s">
        <v>16</v>
      </c>
      <c r="E621" t="s">
        <v>28</v>
      </c>
      <c r="F621">
        <v>105</v>
      </c>
      <c r="G621">
        <v>90</v>
      </c>
      <c r="H621">
        <v>21</v>
      </c>
      <c r="I621">
        <f>Inventory_Data[[#This Row],[Opening_Stock]]+Inventory_Data[[#This Row],[Units_Received]]-Inventory_Data[[#This Row],[Units_Sold]]</f>
        <v>174</v>
      </c>
      <c r="J621">
        <v>0</v>
      </c>
      <c r="K621">
        <v>4</v>
      </c>
      <c r="L621" t="s">
        <v>18</v>
      </c>
      <c r="M621" s="3">
        <v>92.32</v>
      </c>
      <c r="N621" s="3">
        <v>139.53</v>
      </c>
      <c r="O621" s="10" t="str">
        <f>TEXT(Inventory_Data[[#This Row],[Date]],"mmm")</f>
        <v>Apr</v>
      </c>
    </row>
    <row r="622" spans="1:15" x14ac:dyDescent="0.2">
      <c r="A622" s="21">
        <v>45772</v>
      </c>
      <c r="B622" s="5" t="s">
        <v>14</v>
      </c>
      <c r="C622" t="s">
        <v>15</v>
      </c>
      <c r="D622" t="s">
        <v>16</v>
      </c>
      <c r="E622" t="s">
        <v>35</v>
      </c>
      <c r="F622">
        <v>167</v>
      </c>
      <c r="G622">
        <v>18</v>
      </c>
      <c r="H622">
        <v>36</v>
      </c>
      <c r="I622">
        <f>Inventory_Data[[#This Row],[Opening_Stock]]+Inventory_Data[[#This Row],[Units_Received]]-Inventory_Data[[#This Row],[Units_Sold]]</f>
        <v>149</v>
      </c>
      <c r="J622">
        <v>0</v>
      </c>
      <c r="K622">
        <v>5</v>
      </c>
      <c r="L622" t="s">
        <v>24</v>
      </c>
      <c r="M622" s="3">
        <v>36.65</v>
      </c>
      <c r="N622" s="3">
        <v>42.81</v>
      </c>
      <c r="O622" s="10" t="str">
        <f>TEXT(Inventory_Data[[#This Row],[Date]],"mmm")</f>
        <v>Apr</v>
      </c>
    </row>
    <row r="623" spans="1:15" x14ac:dyDescent="0.2">
      <c r="A623" s="21">
        <v>45772</v>
      </c>
      <c r="B623" s="5" t="s">
        <v>75</v>
      </c>
      <c r="C623" t="s">
        <v>76</v>
      </c>
      <c r="D623" t="s">
        <v>48</v>
      </c>
      <c r="E623" t="s">
        <v>21</v>
      </c>
      <c r="F623">
        <v>181</v>
      </c>
      <c r="G623">
        <v>119</v>
      </c>
      <c r="H623">
        <v>118</v>
      </c>
      <c r="I623">
        <f>Inventory_Data[[#This Row],[Opening_Stock]]+Inventory_Data[[#This Row],[Units_Received]]-Inventory_Data[[#This Row],[Units_Sold]]</f>
        <v>182</v>
      </c>
      <c r="J623">
        <v>0</v>
      </c>
      <c r="K623">
        <v>13</v>
      </c>
      <c r="L623" t="s">
        <v>63</v>
      </c>
      <c r="M623" s="3">
        <v>35.65</v>
      </c>
      <c r="N623" s="3">
        <v>44.74</v>
      </c>
      <c r="O623" s="10" t="str">
        <f>TEXT(Inventory_Data[[#This Row],[Date]],"mmm")</f>
        <v>Apr</v>
      </c>
    </row>
    <row r="624" spans="1:15" x14ac:dyDescent="0.2">
      <c r="A624" s="21">
        <v>45772</v>
      </c>
      <c r="B624" s="5" t="s">
        <v>40</v>
      </c>
      <c r="C624" t="s">
        <v>41</v>
      </c>
      <c r="D624" t="s">
        <v>34</v>
      </c>
      <c r="E624" t="s">
        <v>35</v>
      </c>
      <c r="F624">
        <v>235</v>
      </c>
      <c r="G624">
        <v>199</v>
      </c>
      <c r="H624">
        <v>17</v>
      </c>
      <c r="I624">
        <f>Inventory_Data[[#This Row],[Opening_Stock]]+Inventory_Data[[#This Row],[Units_Received]]-Inventory_Data[[#This Row],[Units_Sold]]</f>
        <v>417</v>
      </c>
      <c r="J624">
        <v>0</v>
      </c>
      <c r="K624">
        <v>12</v>
      </c>
      <c r="L624" t="s">
        <v>39</v>
      </c>
      <c r="M624" s="3">
        <v>25.4</v>
      </c>
      <c r="N624" s="3">
        <v>29.32</v>
      </c>
      <c r="O624" s="10" t="str">
        <f>TEXT(Inventory_Data[[#This Row],[Date]],"mmm")</f>
        <v>Apr</v>
      </c>
    </row>
    <row r="625" spans="1:15" x14ac:dyDescent="0.2">
      <c r="A625" s="21">
        <v>45773</v>
      </c>
      <c r="B625" s="5" t="s">
        <v>46</v>
      </c>
      <c r="C625" t="s">
        <v>47</v>
      </c>
      <c r="D625" t="s">
        <v>48</v>
      </c>
      <c r="E625" t="s">
        <v>17</v>
      </c>
      <c r="F625">
        <v>42</v>
      </c>
      <c r="G625">
        <v>25</v>
      </c>
      <c r="H625">
        <v>67</v>
      </c>
      <c r="I625">
        <f>Inventory_Data[[#This Row],[Opening_Stock]]+Inventory_Data[[#This Row],[Units_Received]]-Inventory_Data[[#This Row],[Units_Sold]]</f>
        <v>0</v>
      </c>
      <c r="J625">
        <v>1</v>
      </c>
      <c r="K625">
        <v>9</v>
      </c>
      <c r="L625" t="s">
        <v>63</v>
      </c>
      <c r="M625" s="3">
        <v>25.15</v>
      </c>
      <c r="N625" s="3">
        <v>29.43</v>
      </c>
      <c r="O625" s="10" t="str">
        <f>TEXT(Inventory_Data[[#This Row],[Date]],"mmm")</f>
        <v>Apr</v>
      </c>
    </row>
    <row r="626" spans="1:15" x14ac:dyDescent="0.2">
      <c r="A626" s="21">
        <v>45773</v>
      </c>
      <c r="B626" s="5" t="s">
        <v>186</v>
      </c>
      <c r="C626" t="s">
        <v>187</v>
      </c>
      <c r="D626" t="s">
        <v>27</v>
      </c>
      <c r="E626" t="s">
        <v>35</v>
      </c>
      <c r="F626">
        <v>293</v>
      </c>
      <c r="G626">
        <v>181</v>
      </c>
      <c r="H626">
        <v>139</v>
      </c>
      <c r="I626">
        <f>Inventory_Data[[#This Row],[Opening_Stock]]+Inventory_Data[[#This Row],[Units_Received]]-Inventory_Data[[#This Row],[Units_Sold]]</f>
        <v>335</v>
      </c>
      <c r="J626">
        <v>0</v>
      </c>
      <c r="K626">
        <v>3</v>
      </c>
      <c r="L626" t="s">
        <v>80</v>
      </c>
      <c r="M626" s="3">
        <v>13.52</v>
      </c>
      <c r="N626" s="3">
        <v>18.010000000000002</v>
      </c>
      <c r="O626" s="10" t="str">
        <f>TEXT(Inventory_Data[[#This Row],[Date]],"mmm")</f>
        <v>Apr</v>
      </c>
    </row>
    <row r="627" spans="1:15" x14ac:dyDescent="0.2">
      <c r="A627" s="21">
        <v>45773</v>
      </c>
      <c r="B627" s="5" t="s">
        <v>100</v>
      </c>
      <c r="C627" t="s">
        <v>101</v>
      </c>
      <c r="D627" t="s">
        <v>52</v>
      </c>
      <c r="E627" t="s">
        <v>28</v>
      </c>
      <c r="F627">
        <v>47</v>
      </c>
      <c r="G627">
        <v>18</v>
      </c>
      <c r="H627">
        <v>10</v>
      </c>
      <c r="I627">
        <f>Inventory_Data[[#This Row],[Opening_Stock]]+Inventory_Data[[#This Row],[Units_Received]]-Inventory_Data[[#This Row],[Units_Sold]]</f>
        <v>55</v>
      </c>
      <c r="J627">
        <v>0</v>
      </c>
      <c r="K627">
        <v>3</v>
      </c>
      <c r="L627" t="s">
        <v>53</v>
      </c>
      <c r="M627" s="3">
        <v>266.42</v>
      </c>
      <c r="N627" s="3">
        <v>341.24</v>
      </c>
      <c r="O627" s="10" t="str">
        <f>TEXT(Inventory_Data[[#This Row],[Date]],"mmm")</f>
        <v>Apr</v>
      </c>
    </row>
    <row r="628" spans="1:15" x14ac:dyDescent="0.2">
      <c r="A628" s="21">
        <v>45773</v>
      </c>
      <c r="B628" s="5" t="s">
        <v>54</v>
      </c>
      <c r="C628" t="s">
        <v>55</v>
      </c>
      <c r="D628" t="s">
        <v>52</v>
      </c>
      <c r="E628" t="s">
        <v>17</v>
      </c>
      <c r="F628">
        <v>75</v>
      </c>
      <c r="G628">
        <v>25</v>
      </c>
      <c r="H628">
        <v>2</v>
      </c>
      <c r="I628">
        <f>Inventory_Data[[#This Row],[Opening_Stock]]+Inventory_Data[[#This Row],[Units_Received]]-Inventory_Data[[#This Row],[Units_Sold]]</f>
        <v>98</v>
      </c>
      <c r="J628">
        <v>0</v>
      </c>
      <c r="K628">
        <v>12</v>
      </c>
      <c r="L628" t="s">
        <v>83</v>
      </c>
      <c r="M628" s="3">
        <v>266.67</v>
      </c>
      <c r="N628" s="3">
        <v>360.67</v>
      </c>
      <c r="O628" s="10" t="str">
        <f>TEXT(Inventory_Data[[#This Row],[Date]],"mmm")</f>
        <v>Apr</v>
      </c>
    </row>
    <row r="629" spans="1:15" x14ac:dyDescent="0.2">
      <c r="A629" s="21">
        <v>45774</v>
      </c>
      <c r="B629" s="5" t="s">
        <v>106</v>
      </c>
      <c r="C629" t="s">
        <v>107</v>
      </c>
      <c r="D629" t="s">
        <v>16</v>
      </c>
      <c r="E629" t="s">
        <v>17</v>
      </c>
      <c r="F629">
        <v>122</v>
      </c>
      <c r="G629">
        <v>68</v>
      </c>
      <c r="H629">
        <v>76</v>
      </c>
      <c r="I629">
        <f>Inventory_Data[[#This Row],[Opening_Stock]]+Inventory_Data[[#This Row],[Units_Received]]-Inventory_Data[[#This Row],[Units_Sold]]</f>
        <v>114</v>
      </c>
      <c r="J629">
        <v>0</v>
      </c>
      <c r="K629">
        <v>4</v>
      </c>
      <c r="L629" t="s">
        <v>24</v>
      </c>
      <c r="M629" s="3">
        <v>208.88</v>
      </c>
      <c r="N629" s="3">
        <v>266.36</v>
      </c>
      <c r="O629" s="10" t="str">
        <f>TEXT(Inventory_Data[[#This Row],[Date]],"mmm")</f>
        <v>Apr</v>
      </c>
    </row>
    <row r="630" spans="1:15" x14ac:dyDescent="0.2">
      <c r="A630" s="21">
        <v>45774</v>
      </c>
      <c r="B630" s="5" t="s">
        <v>144</v>
      </c>
      <c r="C630" t="s">
        <v>145</v>
      </c>
      <c r="D630" t="s">
        <v>48</v>
      </c>
      <c r="E630" t="s">
        <v>35</v>
      </c>
      <c r="F630">
        <v>99</v>
      </c>
      <c r="G630">
        <v>126</v>
      </c>
      <c r="H630">
        <v>12</v>
      </c>
      <c r="I630">
        <f>Inventory_Data[[#This Row],[Opening_Stock]]+Inventory_Data[[#This Row],[Units_Received]]-Inventory_Data[[#This Row],[Units_Sold]]</f>
        <v>213</v>
      </c>
      <c r="J630">
        <v>0</v>
      </c>
      <c r="K630">
        <v>4</v>
      </c>
      <c r="L630" t="s">
        <v>49</v>
      </c>
      <c r="M630" s="3">
        <v>60.19</v>
      </c>
      <c r="N630" s="3">
        <v>89.3</v>
      </c>
      <c r="O630" s="10" t="str">
        <f>TEXT(Inventory_Data[[#This Row],[Date]],"mmm")</f>
        <v>Apr</v>
      </c>
    </row>
    <row r="631" spans="1:15" x14ac:dyDescent="0.2">
      <c r="A631" s="21">
        <v>45774</v>
      </c>
      <c r="B631" s="5" t="s">
        <v>114</v>
      </c>
      <c r="C631" t="s">
        <v>115</v>
      </c>
      <c r="D631" t="s">
        <v>27</v>
      </c>
      <c r="E631" t="s">
        <v>21</v>
      </c>
      <c r="F631">
        <v>410</v>
      </c>
      <c r="G631">
        <v>127</v>
      </c>
      <c r="H631">
        <v>22</v>
      </c>
      <c r="I631">
        <f>Inventory_Data[[#This Row],[Opening_Stock]]+Inventory_Data[[#This Row],[Units_Received]]-Inventory_Data[[#This Row],[Units_Sold]]</f>
        <v>515</v>
      </c>
      <c r="J631">
        <v>0</v>
      </c>
      <c r="K631">
        <v>4</v>
      </c>
      <c r="L631" t="s">
        <v>29</v>
      </c>
      <c r="M631" s="3">
        <v>11.41</v>
      </c>
      <c r="N631" s="3">
        <v>16.54</v>
      </c>
      <c r="O631" s="10" t="str">
        <f>TEXT(Inventory_Data[[#This Row],[Date]],"mmm")</f>
        <v>Apr</v>
      </c>
    </row>
    <row r="632" spans="1:15" x14ac:dyDescent="0.2">
      <c r="A632" s="21">
        <v>45774</v>
      </c>
      <c r="B632" s="5" t="s">
        <v>64</v>
      </c>
      <c r="C632" t="s">
        <v>65</v>
      </c>
      <c r="D632" t="s">
        <v>27</v>
      </c>
      <c r="E632" t="s">
        <v>35</v>
      </c>
      <c r="F632">
        <v>362</v>
      </c>
      <c r="G632">
        <v>214</v>
      </c>
      <c r="H632">
        <v>142</v>
      </c>
      <c r="I632">
        <f>Inventory_Data[[#This Row],[Opening_Stock]]+Inventory_Data[[#This Row],[Units_Received]]-Inventory_Data[[#This Row],[Units_Sold]]</f>
        <v>434</v>
      </c>
      <c r="J632">
        <v>0</v>
      </c>
      <c r="K632">
        <v>3</v>
      </c>
      <c r="L632" t="s">
        <v>29</v>
      </c>
      <c r="M632" s="3">
        <v>20.39</v>
      </c>
      <c r="N632" s="3">
        <v>28.18</v>
      </c>
      <c r="O632" s="10" t="str">
        <f>TEXT(Inventory_Data[[#This Row],[Date]],"mmm")</f>
        <v>Apr</v>
      </c>
    </row>
    <row r="633" spans="1:15" x14ac:dyDescent="0.2">
      <c r="A633" s="21">
        <v>45774</v>
      </c>
      <c r="B633" s="5" t="s">
        <v>88</v>
      </c>
      <c r="C633" t="s">
        <v>89</v>
      </c>
      <c r="D633" t="s">
        <v>34</v>
      </c>
      <c r="E633" t="s">
        <v>17</v>
      </c>
      <c r="F633">
        <v>204</v>
      </c>
      <c r="G633">
        <v>94</v>
      </c>
      <c r="H633">
        <v>71</v>
      </c>
      <c r="I633">
        <f>Inventory_Data[[#This Row],[Opening_Stock]]+Inventory_Data[[#This Row],[Units_Received]]-Inventory_Data[[#This Row],[Units_Sold]]</f>
        <v>227</v>
      </c>
      <c r="J633">
        <v>0</v>
      </c>
      <c r="K633">
        <v>8</v>
      </c>
      <c r="L633" t="s">
        <v>42</v>
      </c>
      <c r="M633" s="3">
        <v>2.65</v>
      </c>
      <c r="N633" s="3">
        <v>3.49</v>
      </c>
      <c r="O633" s="10" t="str">
        <f>TEXT(Inventory_Data[[#This Row],[Date]],"mmm")</f>
        <v>Apr</v>
      </c>
    </row>
    <row r="634" spans="1:15" x14ac:dyDescent="0.2">
      <c r="A634" s="21">
        <v>45774</v>
      </c>
      <c r="B634" s="5" t="s">
        <v>118</v>
      </c>
      <c r="C634" t="s">
        <v>119</v>
      </c>
      <c r="D634" t="s">
        <v>34</v>
      </c>
      <c r="E634" t="s">
        <v>35</v>
      </c>
      <c r="F634">
        <v>255</v>
      </c>
      <c r="G634">
        <v>70</v>
      </c>
      <c r="H634">
        <v>179</v>
      </c>
      <c r="I634">
        <f>Inventory_Data[[#This Row],[Opening_Stock]]+Inventory_Data[[#This Row],[Units_Received]]-Inventory_Data[[#This Row],[Units_Sold]]</f>
        <v>146</v>
      </c>
      <c r="J634">
        <v>0</v>
      </c>
      <c r="K634">
        <v>4</v>
      </c>
      <c r="L634" t="s">
        <v>39</v>
      </c>
      <c r="M634" s="3">
        <v>14.5</v>
      </c>
      <c r="N634" s="3">
        <v>18.21</v>
      </c>
      <c r="O634" s="10" t="str">
        <f>TEXT(Inventory_Data[[#This Row],[Date]],"mmm")</f>
        <v>Apr</v>
      </c>
    </row>
    <row r="635" spans="1:15" x14ac:dyDescent="0.2">
      <c r="A635" s="21">
        <v>45774</v>
      </c>
      <c r="B635" s="5" t="s">
        <v>118</v>
      </c>
      <c r="C635" t="s">
        <v>119</v>
      </c>
      <c r="D635" t="s">
        <v>34</v>
      </c>
      <c r="E635" t="s">
        <v>17</v>
      </c>
      <c r="F635">
        <v>167</v>
      </c>
      <c r="G635">
        <v>116</v>
      </c>
      <c r="H635">
        <v>118</v>
      </c>
      <c r="I635">
        <f>Inventory_Data[[#This Row],[Opening_Stock]]+Inventory_Data[[#This Row],[Units_Received]]-Inventory_Data[[#This Row],[Units_Sold]]</f>
        <v>165</v>
      </c>
      <c r="J635">
        <v>0</v>
      </c>
      <c r="K635">
        <v>6</v>
      </c>
      <c r="L635" t="s">
        <v>39</v>
      </c>
      <c r="M635" s="3">
        <v>25.42</v>
      </c>
      <c r="N635" s="3">
        <v>31.57</v>
      </c>
      <c r="O635" s="10" t="str">
        <f>TEXT(Inventory_Data[[#This Row],[Date]],"mmm")</f>
        <v>Apr</v>
      </c>
    </row>
    <row r="636" spans="1:15" x14ac:dyDescent="0.2">
      <c r="A636" s="21">
        <v>45775</v>
      </c>
      <c r="B636" s="5" t="s">
        <v>166</v>
      </c>
      <c r="C636" t="s">
        <v>167</v>
      </c>
      <c r="D636" t="s">
        <v>16</v>
      </c>
      <c r="E636" t="s">
        <v>28</v>
      </c>
      <c r="F636">
        <v>29</v>
      </c>
      <c r="G636">
        <v>21</v>
      </c>
      <c r="H636">
        <v>8</v>
      </c>
      <c r="I636">
        <f>Inventory_Data[[#This Row],[Opening_Stock]]+Inventory_Data[[#This Row],[Units_Received]]-Inventory_Data[[#This Row],[Units_Sold]]</f>
        <v>42</v>
      </c>
      <c r="J636">
        <v>0</v>
      </c>
      <c r="K636">
        <v>3</v>
      </c>
      <c r="L636" t="s">
        <v>18</v>
      </c>
      <c r="M636" s="3">
        <v>24.63</v>
      </c>
      <c r="N636" s="3">
        <v>31.66</v>
      </c>
      <c r="O636" s="10" t="str">
        <f>TEXT(Inventory_Data[[#This Row],[Date]],"mmm")</f>
        <v>Apr</v>
      </c>
    </row>
    <row r="637" spans="1:15" x14ac:dyDescent="0.2">
      <c r="A637" s="21">
        <v>45775</v>
      </c>
      <c r="B637" s="5" t="s">
        <v>14</v>
      </c>
      <c r="C637" t="s">
        <v>15</v>
      </c>
      <c r="D637" t="s">
        <v>16</v>
      </c>
      <c r="E637" t="s">
        <v>28</v>
      </c>
      <c r="F637">
        <v>78</v>
      </c>
      <c r="G637">
        <v>40</v>
      </c>
      <c r="H637">
        <v>73</v>
      </c>
      <c r="I637">
        <f>Inventory_Data[[#This Row],[Opening_Stock]]+Inventory_Data[[#This Row],[Units_Received]]-Inventory_Data[[#This Row],[Units_Sold]]</f>
        <v>45</v>
      </c>
      <c r="J637">
        <v>0</v>
      </c>
      <c r="K637">
        <v>5</v>
      </c>
      <c r="L637" t="s">
        <v>45</v>
      </c>
      <c r="M637" s="3">
        <v>152.91999999999999</v>
      </c>
      <c r="N637" s="3">
        <v>189.35</v>
      </c>
      <c r="O637" s="10" t="str">
        <f>TEXT(Inventory_Data[[#This Row],[Date]],"mmm")</f>
        <v>Apr</v>
      </c>
    </row>
    <row r="638" spans="1:15" x14ac:dyDescent="0.2">
      <c r="A638" s="21">
        <v>45775</v>
      </c>
      <c r="B638" s="5" t="s">
        <v>84</v>
      </c>
      <c r="C638" t="s">
        <v>85</v>
      </c>
      <c r="D638" t="s">
        <v>48</v>
      </c>
      <c r="E638" t="s">
        <v>17</v>
      </c>
      <c r="F638">
        <v>242</v>
      </c>
      <c r="G638">
        <v>43</v>
      </c>
      <c r="H638">
        <v>74</v>
      </c>
      <c r="I638">
        <f>Inventory_Data[[#This Row],[Opening_Stock]]+Inventory_Data[[#This Row],[Units_Received]]-Inventory_Data[[#This Row],[Units_Sold]]</f>
        <v>211</v>
      </c>
      <c r="J638">
        <v>0</v>
      </c>
      <c r="K638">
        <v>3</v>
      </c>
      <c r="L638" t="s">
        <v>63</v>
      </c>
      <c r="M638" s="3">
        <v>77.06</v>
      </c>
      <c r="N638" s="3">
        <v>95.07</v>
      </c>
      <c r="O638" s="10" t="str">
        <f>TEXT(Inventory_Data[[#This Row],[Date]],"mmm")</f>
        <v>Apr</v>
      </c>
    </row>
    <row r="639" spans="1:15" x14ac:dyDescent="0.2">
      <c r="A639" s="21">
        <v>45775</v>
      </c>
      <c r="B639" s="5" t="s">
        <v>154</v>
      </c>
      <c r="C639" t="s">
        <v>155</v>
      </c>
      <c r="D639" t="s">
        <v>48</v>
      </c>
      <c r="E639" t="s">
        <v>17</v>
      </c>
      <c r="F639">
        <v>141</v>
      </c>
      <c r="G639">
        <v>105</v>
      </c>
      <c r="H639">
        <v>90</v>
      </c>
      <c r="I639">
        <f>Inventory_Data[[#This Row],[Opening_Stock]]+Inventory_Data[[#This Row],[Units_Received]]-Inventory_Data[[#This Row],[Units_Sold]]</f>
        <v>156</v>
      </c>
      <c r="J639">
        <v>0</v>
      </c>
      <c r="K639">
        <v>6</v>
      </c>
      <c r="L639" t="s">
        <v>63</v>
      </c>
      <c r="M639" s="3">
        <v>13.32</v>
      </c>
      <c r="N639" s="3">
        <v>18.649999999999999</v>
      </c>
      <c r="O639" s="10" t="str">
        <f>TEXT(Inventory_Data[[#This Row],[Date]],"mmm")</f>
        <v>Apr</v>
      </c>
    </row>
    <row r="640" spans="1:15" x14ac:dyDescent="0.2">
      <c r="A640" s="21">
        <v>45775</v>
      </c>
      <c r="B640" s="5" t="s">
        <v>174</v>
      </c>
      <c r="C640" t="s">
        <v>175</v>
      </c>
      <c r="D640" t="s">
        <v>52</v>
      </c>
      <c r="E640" t="s">
        <v>28</v>
      </c>
      <c r="F640">
        <v>34</v>
      </c>
      <c r="G640">
        <v>21</v>
      </c>
      <c r="H640">
        <v>14</v>
      </c>
      <c r="I640">
        <f>Inventory_Data[[#This Row],[Opening_Stock]]+Inventory_Data[[#This Row],[Units_Received]]-Inventory_Data[[#This Row],[Units_Sold]]</f>
        <v>41</v>
      </c>
      <c r="J640">
        <v>0</v>
      </c>
      <c r="K640">
        <v>13</v>
      </c>
      <c r="L640" t="s">
        <v>83</v>
      </c>
      <c r="M640" s="3">
        <v>205.97</v>
      </c>
      <c r="N640" s="3">
        <v>310.35000000000002</v>
      </c>
      <c r="O640" s="10" t="str">
        <f>TEXT(Inventory_Data[[#This Row],[Date]],"mmm")</f>
        <v>Apr</v>
      </c>
    </row>
    <row r="641" spans="1:15" x14ac:dyDescent="0.2">
      <c r="A641" s="21">
        <v>45775</v>
      </c>
      <c r="B641" s="5" t="s">
        <v>176</v>
      </c>
      <c r="C641" t="s">
        <v>177</v>
      </c>
      <c r="D641" t="s">
        <v>34</v>
      </c>
      <c r="E641" t="s">
        <v>21</v>
      </c>
      <c r="F641">
        <v>372</v>
      </c>
      <c r="G641">
        <v>110</v>
      </c>
      <c r="H641">
        <v>172</v>
      </c>
      <c r="I641">
        <f>Inventory_Data[[#This Row],[Opening_Stock]]+Inventory_Data[[#This Row],[Units_Received]]-Inventory_Data[[#This Row],[Units_Sold]]</f>
        <v>310</v>
      </c>
      <c r="J641">
        <v>0</v>
      </c>
      <c r="K641">
        <v>5</v>
      </c>
      <c r="L641" t="s">
        <v>36</v>
      </c>
      <c r="M641" s="3">
        <v>8.2799999999999994</v>
      </c>
      <c r="N641" s="3">
        <v>11.79</v>
      </c>
      <c r="O641" s="10" t="str">
        <f>TEXT(Inventory_Data[[#This Row],[Date]],"mmm")</f>
        <v>Apr</v>
      </c>
    </row>
    <row r="642" spans="1:15" x14ac:dyDescent="0.2">
      <c r="A642" s="21">
        <v>45775</v>
      </c>
      <c r="B642" s="5" t="s">
        <v>180</v>
      </c>
      <c r="C642" t="s">
        <v>181</v>
      </c>
      <c r="D642" t="s">
        <v>34</v>
      </c>
      <c r="E642" t="s">
        <v>35</v>
      </c>
      <c r="F642">
        <v>191</v>
      </c>
      <c r="G642">
        <v>129</v>
      </c>
      <c r="H642">
        <v>68</v>
      </c>
      <c r="I642">
        <f>Inventory_Data[[#This Row],[Opening_Stock]]+Inventory_Data[[#This Row],[Units_Received]]-Inventory_Data[[#This Row],[Units_Sold]]</f>
        <v>252</v>
      </c>
      <c r="J642">
        <v>0</v>
      </c>
      <c r="K642">
        <v>11</v>
      </c>
      <c r="L642" t="s">
        <v>42</v>
      </c>
      <c r="M642" s="3">
        <v>25.93</v>
      </c>
      <c r="N642" s="3">
        <v>37.18</v>
      </c>
      <c r="O642" s="10" t="str">
        <f>TEXT(Inventory_Data[[#This Row],[Date]],"mmm")</f>
        <v>Apr</v>
      </c>
    </row>
    <row r="643" spans="1:15" x14ac:dyDescent="0.2">
      <c r="A643" s="21">
        <v>45776</v>
      </c>
      <c r="B643" s="5" t="s">
        <v>130</v>
      </c>
      <c r="C643" t="s">
        <v>131</v>
      </c>
      <c r="D643" t="s">
        <v>48</v>
      </c>
      <c r="E643" t="s">
        <v>35</v>
      </c>
      <c r="F643">
        <v>200</v>
      </c>
      <c r="G643">
        <v>126</v>
      </c>
      <c r="H643">
        <v>32</v>
      </c>
      <c r="I643">
        <f>Inventory_Data[[#This Row],[Opening_Stock]]+Inventory_Data[[#This Row],[Units_Received]]-Inventory_Data[[#This Row],[Units_Sold]]</f>
        <v>294</v>
      </c>
      <c r="J643">
        <v>0</v>
      </c>
      <c r="K643">
        <v>2</v>
      </c>
      <c r="L643" t="s">
        <v>77</v>
      </c>
      <c r="M643" s="3">
        <v>48.01</v>
      </c>
      <c r="N643" s="3">
        <v>59.13</v>
      </c>
      <c r="O643" s="10" t="str">
        <f>TEXT(Inventory_Data[[#This Row],[Date]],"mmm")</f>
        <v>Apr</v>
      </c>
    </row>
    <row r="644" spans="1:15" x14ac:dyDescent="0.2">
      <c r="A644" s="21">
        <v>45776</v>
      </c>
      <c r="B644" s="5" t="s">
        <v>78</v>
      </c>
      <c r="C644" t="s">
        <v>79</v>
      </c>
      <c r="D644" t="s">
        <v>27</v>
      </c>
      <c r="E644" t="s">
        <v>28</v>
      </c>
      <c r="F644">
        <v>257</v>
      </c>
      <c r="G644">
        <v>128</v>
      </c>
      <c r="H644">
        <v>173</v>
      </c>
      <c r="I644">
        <f>Inventory_Data[[#This Row],[Opening_Stock]]+Inventory_Data[[#This Row],[Units_Received]]-Inventory_Data[[#This Row],[Units_Sold]]</f>
        <v>212</v>
      </c>
      <c r="J644">
        <v>0</v>
      </c>
      <c r="K644">
        <v>6</v>
      </c>
      <c r="L644" t="s">
        <v>80</v>
      </c>
      <c r="M644" s="3">
        <v>10.119999999999999</v>
      </c>
      <c r="N644" s="3">
        <v>15.48</v>
      </c>
      <c r="O644" s="10" t="str">
        <f>TEXT(Inventory_Data[[#This Row],[Date]],"mmm")</f>
        <v>Apr</v>
      </c>
    </row>
    <row r="645" spans="1:15" x14ac:dyDescent="0.2">
      <c r="A645" s="21">
        <v>45776</v>
      </c>
      <c r="B645" s="5" t="s">
        <v>136</v>
      </c>
      <c r="C645" t="s">
        <v>137</v>
      </c>
      <c r="D645" t="s">
        <v>27</v>
      </c>
      <c r="E645" t="s">
        <v>28</v>
      </c>
      <c r="F645">
        <v>186</v>
      </c>
      <c r="G645">
        <v>230</v>
      </c>
      <c r="H645">
        <v>37</v>
      </c>
      <c r="I645">
        <f>Inventory_Data[[#This Row],[Opening_Stock]]+Inventory_Data[[#This Row],[Units_Received]]-Inventory_Data[[#This Row],[Units_Sold]]</f>
        <v>379</v>
      </c>
      <c r="J645">
        <v>0</v>
      </c>
      <c r="K645">
        <v>1</v>
      </c>
      <c r="L645" t="s">
        <v>80</v>
      </c>
      <c r="M645" s="3">
        <v>14.44</v>
      </c>
      <c r="N645" s="3">
        <v>20.74</v>
      </c>
      <c r="O645" s="10" t="str">
        <f>TEXT(Inventory_Data[[#This Row],[Date]],"mmm")</f>
        <v>Apr</v>
      </c>
    </row>
    <row r="646" spans="1:15" x14ac:dyDescent="0.2">
      <c r="A646" s="21">
        <v>45776</v>
      </c>
      <c r="B646" s="5" t="s">
        <v>32</v>
      </c>
      <c r="C646" t="s">
        <v>33</v>
      </c>
      <c r="D646" t="s">
        <v>34</v>
      </c>
      <c r="E646" t="s">
        <v>17</v>
      </c>
      <c r="F646">
        <v>103</v>
      </c>
      <c r="G646">
        <v>190</v>
      </c>
      <c r="H646">
        <v>27</v>
      </c>
      <c r="I646">
        <f>Inventory_Data[[#This Row],[Opening_Stock]]+Inventory_Data[[#This Row],[Units_Received]]-Inventory_Data[[#This Row],[Units_Sold]]</f>
        <v>266</v>
      </c>
      <c r="J646">
        <v>0</v>
      </c>
      <c r="K646">
        <v>9</v>
      </c>
      <c r="L646" t="s">
        <v>36</v>
      </c>
      <c r="M646" s="3">
        <v>20.74</v>
      </c>
      <c r="N646" s="3">
        <v>29.38</v>
      </c>
      <c r="O646" s="10" t="str">
        <f>TEXT(Inventory_Data[[#This Row],[Date]],"mmm")</f>
        <v>Apr</v>
      </c>
    </row>
    <row r="647" spans="1:15" x14ac:dyDescent="0.2">
      <c r="A647" s="21">
        <v>45777</v>
      </c>
      <c r="B647" s="5" t="s">
        <v>71</v>
      </c>
      <c r="C647" t="s">
        <v>72</v>
      </c>
      <c r="D647" t="s">
        <v>16</v>
      </c>
      <c r="E647" t="s">
        <v>17</v>
      </c>
      <c r="F647">
        <v>172</v>
      </c>
      <c r="G647">
        <v>76</v>
      </c>
      <c r="H647">
        <v>8</v>
      </c>
      <c r="I647">
        <f>Inventory_Data[[#This Row],[Opening_Stock]]+Inventory_Data[[#This Row],[Units_Received]]-Inventory_Data[[#This Row],[Units_Sold]]</f>
        <v>240</v>
      </c>
      <c r="J647">
        <v>0</v>
      </c>
      <c r="K647">
        <v>11</v>
      </c>
      <c r="L647" t="s">
        <v>24</v>
      </c>
      <c r="M647" s="3">
        <v>87.37</v>
      </c>
      <c r="N647" s="3">
        <v>122.72</v>
      </c>
      <c r="O647" s="10" t="str">
        <f>TEXT(Inventory_Data[[#This Row],[Date]],"mmm")</f>
        <v>Apr</v>
      </c>
    </row>
    <row r="648" spans="1:15" x14ac:dyDescent="0.2">
      <c r="A648" s="21">
        <v>45777</v>
      </c>
      <c r="B648" s="5" t="s">
        <v>112</v>
      </c>
      <c r="C648" t="s">
        <v>113</v>
      </c>
      <c r="D648" t="s">
        <v>16</v>
      </c>
      <c r="E648" t="s">
        <v>21</v>
      </c>
      <c r="F648">
        <v>180</v>
      </c>
      <c r="G648">
        <v>22</v>
      </c>
      <c r="H648">
        <v>55</v>
      </c>
      <c r="I648">
        <f>Inventory_Data[[#This Row],[Opening_Stock]]+Inventory_Data[[#This Row],[Units_Received]]-Inventory_Data[[#This Row],[Units_Sold]]</f>
        <v>147</v>
      </c>
      <c r="J648">
        <v>0</v>
      </c>
      <c r="K648">
        <v>12</v>
      </c>
      <c r="L648" t="s">
        <v>24</v>
      </c>
      <c r="M648" s="3">
        <v>82.53</v>
      </c>
      <c r="N648" s="3">
        <v>112.63</v>
      </c>
      <c r="O648" s="10" t="str">
        <f>TEXT(Inventory_Data[[#This Row],[Date]],"mmm")</f>
        <v>Apr</v>
      </c>
    </row>
    <row r="649" spans="1:15" x14ac:dyDescent="0.2">
      <c r="A649" s="21">
        <v>45777</v>
      </c>
      <c r="B649" s="5" t="s">
        <v>94</v>
      </c>
      <c r="C649" t="s">
        <v>95</v>
      </c>
      <c r="D649" t="s">
        <v>16</v>
      </c>
      <c r="E649" t="s">
        <v>28</v>
      </c>
      <c r="F649">
        <v>116</v>
      </c>
      <c r="G649">
        <v>60</v>
      </c>
      <c r="H649">
        <v>59</v>
      </c>
      <c r="I649">
        <f>Inventory_Data[[#This Row],[Opening_Stock]]+Inventory_Data[[#This Row],[Units_Received]]-Inventory_Data[[#This Row],[Units_Sold]]</f>
        <v>117</v>
      </c>
      <c r="J649">
        <v>0</v>
      </c>
      <c r="K649">
        <v>8</v>
      </c>
      <c r="L649" t="s">
        <v>45</v>
      </c>
      <c r="M649" s="3">
        <v>179.64</v>
      </c>
      <c r="N649" s="3">
        <v>209.76</v>
      </c>
      <c r="O649" s="10" t="str">
        <f>TEXT(Inventory_Data[[#This Row],[Date]],"mmm")</f>
        <v>Apr</v>
      </c>
    </row>
    <row r="650" spans="1:15" x14ac:dyDescent="0.2">
      <c r="A650" s="21">
        <v>45777</v>
      </c>
      <c r="B650" s="5" t="s">
        <v>90</v>
      </c>
      <c r="C650" t="s">
        <v>91</v>
      </c>
      <c r="D650" t="s">
        <v>48</v>
      </c>
      <c r="E650" t="s">
        <v>28</v>
      </c>
      <c r="F650">
        <v>265</v>
      </c>
      <c r="G650">
        <v>34</v>
      </c>
      <c r="H650">
        <v>70</v>
      </c>
      <c r="I650">
        <f>Inventory_Data[[#This Row],[Opening_Stock]]+Inventory_Data[[#This Row],[Units_Received]]-Inventory_Data[[#This Row],[Units_Sold]]</f>
        <v>229</v>
      </c>
      <c r="J650">
        <v>0</v>
      </c>
      <c r="K650">
        <v>11</v>
      </c>
      <c r="L650" t="s">
        <v>77</v>
      </c>
      <c r="M650" s="3">
        <v>63.73</v>
      </c>
      <c r="N650" s="3">
        <v>75.23</v>
      </c>
      <c r="O650" s="10" t="str">
        <f>TEXT(Inventory_Data[[#This Row],[Date]],"mmm")</f>
        <v>Apr</v>
      </c>
    </row>
    <row r="651" spans="1:15" x14ac:dyDescent="0.2">
      <c r="A651" s="21">
        <v>45777</v>
      </c>
      <c r="B651" s="5" t="s">
        <v>92</v>
      </c>
      <c r="C651" t="s">
        <v>93</v>
      </c>
      <c r="D651" t="s">
        <v>27</v>
      </c>
      <c r="E651" t="s">
        <v>21</v>
      </c>
      <c r="F651">
        <v>131</v>
      </c>
      <c r="G651">
        <v>54</v>
      </c>
      <c r="H651">
        <v>103</v>
      </c>
      <c r="I651">
        <f>Inventory_Data[[#This Row],[Opening_Stock]]+Inventory_Data[[#This Row],[Units_Received]]-Inventory_Data[[#This Row],[Units_Sold]]</f>
        <v>82</v>
      </c>
      <c r="J651">
        <v>0</v>
      </c>
      <c r="K651">
        <v>3</v>
      </c>
      <c r="L651" t="s">
        <v>66</v>
      </c>
      <c r="M651" s="3">
        <v>24.66</v>
      </c>
      <c r="N651" s="3">
        <v>30</v>
      </c>
      <c r="O651" s="10" t="str">
        <f>TEXT(Inventory_Data[[#This Row],[Date]],"mmm")</f>
        <v>Apr</v>
      </c>
    </row>
    <row r="652" spans="1:15" x14ac:dyDescent="0.2">
      <c r="A652" s="21">
        <v>45777</v>
      </c>
      <c r="B652" s="5" t="s">
        <v>160</v>
      </c>
      <c r="C652" t="s">
        <v>161</v>
      </c>
      <c r="D652" t="s">
        <v>27</v>
      </c>
      <c r="E652" t="s">
        <v>28</v>
      </c>
      <c r="F652">
        <v>373</v>
      </c>
      <c r="G652">
        <v>228</v>
      </c>
      <c r="H652">
        <v>123</v>
      </c>
      <c r="I652">
        <f>Inventory_Data[[#This Row],[Opening_Stock]]+Inventory_Data[[#This Row],[Units_Received]]-Inventory_Data[[#This Row],[Units_Sold]]</f>
        <v>478</v>
      </c>
      <c r="J652">
        <v>0</v>
      </c>
      <c r="K652">
        <v>2</v>
      </c>
      <c r="L652" t="s">
        <v>80</v>
      </c>
      <c r="M652" s="3">
        <v>3.23</v>
      </c>
      <c r="N652" s="3">
        <v>4.51</v>
      </c>
      <c r="O652" s="10" t="str">
        <f>TEXT(Inventory_Data[[#This Row],[Date]],"mmm")</f>
        <v>Apr</v>
      </c>
    </row>
    <row r="653" spans="1:15" x14ac:dyDescent="0.2">
      <c r="A653" s="21">
        <v>45777</v>
      </c>
      <c r="B653" s="5" t="s">
        <v>64</v>
      </c>
      <c r="C653" t="s">
        <v>65</v>
      </c>
      <c r="D653" t="s">
        <v>27</v>
      </c>
      <c r="E653" t="s">
        <v>21</v>
      </c>
      <c r="F653">
        <v>170</v>
      </c>
      <c r="G653">
        <v>126</v>
      </c>
      <c r="H653">
        <v>33</v>
      </c>
      <c r="I653">
        <f>Inventory_Data[[#This Row],[Opening_Stock]]+Inventory_Data[[#This Row],[Units_Received]]-Inventory_Data[[#This Row],[Units_Sold]]</f>
        <v>263</v>
      </c>
      <c r="J653">
        <v>0</v>
      </c>
      <c r="K653">
        <v>4</v>
      </c>
      <c r="L653" t="s">
        <v>80</v>
      </c>
      <c r="M653" s="3">
        <v>20.3</v>
      </c>
      <c r="N653" s="3">
        <v>26.11</v>
      </c>
      <c r="O653" s="10" t="str">
        <f>TEXT(Inventory_Data[[#This Row],[Date]],"mmm")</f>
        <v>Apr</v>
      </c>
    </row>
    <row r="654" spans="1:15" x14ac:dyDescent="0.2">
      <c r="A654" s="21">
        <v>45778</v>
      </c>
      <c r="B654" s="5" t="s">
        <v>22</v>
      </c>
      <c r="C654" t="s">
        <v>23</v>
      </c>
      <c r="D654" t="s">
        <v>16</v>
      </c>
      <c r="E654" t="s">
        <v>17</v>
      </c>
      <c r="F654">
        <v>169</v>
      </c>
      <c r="G654">
        <v>46</v>
      </c>
      <c r="H654">
        <v>24</v>
      </c>
      <c r="I654">
        <f>Inventory_Data[[#This Row],[Opening_Stock]]+Inventory_Data[[#This Row],[Units_Received]]-Inventory_Data[[#This Row],[Units_Sold]]</f>
        <v>191</v>
      </c>
      <c r="J654">
        <v>0</v>
      </c>
      <c r="K654">
        <v>8</v>
      </c>
      <c r="L654" t="s">
        <v>45</v>
      </c>
      <c r="M654" s="3">
        <v>209.81</v>
      </c>
      <c r="N654" s="3">
        <v>266.45</v>
      </c>
      <c r="O654" s="10" t="str">
        <f>TEXT(Inventory_Data[[#This Row],[Date]],"mmm")</f>
        <v>May</v>
      </c>
    </row>
    <row r="655" spans="1:15" x14ac:dyDescent="0.2">
      <c r="A655" s="21">
        <v>45778</v>
      </c>
      <c r="B655" s="5" t="s">
        <v>150</v>
      </c>
      <c r="C655" t="s">
        <v>151</v>
      </c>
      <c r="D655" t="s">
        <v>52</v>
      </c>
      <c r="E655" t="s">
        <v>21</v>
      </c>
      <c r="F655">
        <v>64</v>
      </c>
      <c r="G655">
        <v>8</v>
      </c>
      <c r="H655">
        <v>4</v>
      </c>
      <c r="I655">
        <f>Inventory_Data[[#This Row],[Opening_Stock]]+Inventory_Data[[#This Row],[Units_Received]]-Inventory_Data[[#This Row],[Units_Sold]]</f>
        <v>68</v>
      </c>
      <c r="J655">
        <v>0</v>
      </c>
      <c r="K655">
        <v>7</v>
      </c>
      <c r="L655" t="s">
        <v>53</v>
      </c>
      <c r="M655" s="3">
        <v>280.69</v>
      </c>
      <c r="N655" s="3">
        <v>431.79</v>
      </c>
      <c r="O655" s="10" t="str">
        <f>TEXT(Inventory_Data[[#This Row],[Date]],"mmm")</f>
        <v>May</v>
      </c>
    </row>
    <row r="656" spans="1:15" x14ac:dyDescent="0.2">
      <c r="A656" s="21">
        <v>45778</v>
      </c>
      <c r="B656" s="5" t="s">
        <v>126</v>
      </c>
      <c r="C656" t="s">
        <v>127</v>
      </c>
      <c r="D656" t="s">
        <v>34</v>
      </c>
      <c r="E656" t="s">
        <v>21</v>
      </c>
      <c r="F656">
        <v>268</v>
      </c>
      <c r="G656">
        <v>68</v>
      </c>
      <c r="H656">
        <v>85</v>
      </c>
      <c r="I656">
        <f>Inventory_Data[[#This Row],[Opening_Stock]]+Inventory_Data[[#This Row],[Units_Received]]-Inventory_Data[[#This Row],[Units_Sold]]</f>
        <v>251</v>
      </c>
      <c r="J656">
        <v>0</v>
      </c>
      <c r="K656">
        <v>6</v>
      </c>
      <c r="L656" t="s">
        <v>39</v>
      </c>
      <c r="M656" s="3">
        <v>1.72</v>
      </c>
      <c r="N656" s="3">
        <v>2.2400000000000002</v>
      </c>
      <c r="O656" s="10" t="str">
        <f>TEXT(Inventory_Data[[#This Row],[Date]],"mmm")</f>
        <v>May</v>
      </c>
    </row>
    <row r="657" spans="1:15" x14ac:dyDescent="0.2">
      <c r="A657" s="21">
        <v>45779</v>
      </c>
      <c r="B657" s="5" t="s">
        <v>166</v>
      </c>
      <c r="C657" t="s">
        <v>167</v>
      </c>
      <c r="D657" t="s">
        <v>16</v>
      </c>
      <c r="E657" t="s">
        <v>17</v>
      </c>
      <c r="F657">
        <v>53</v>
      </c>
      <c r="G657">
        <v>74</v>
      </c>
      <c r="H657">
        <v>59</v>
      </c>
      <c r="I657">
        <f>Inventory_Data[[#This Row],[Opening_Stock]]+Inventory_Data[[#This Row],[Units_Received]]-Inventory_Data[[#This Row],[Units_Sold]]</f>
        <v>68</v>
      </c>
      <c r="J657">
        <v>0</v>
      </c>
      <c r="K657">
        <v>8</v>
      </c>
      <c r="L657" t="s">
        <v>45</v>
      </c>
      <c r="M657" s="3">
        <v>208.65</v>
      </c>
      <c r="N657" s="3">
        <v>296.97000000000003</v>
      </c>
      <c r="O657" s="10" t="str">
        <f>TEXT(Inventory_Data[[#This Row],[Date]],"mmm")</f>
        <v>May</v>
      </c>
    </row>
    <row r="658" spans="1:15" x14ac:dyDescent="0.2">
      <c r="A658" s="21">
        <v>45779</v>
      </c>
      <c r="B658" s="5" t="s">
        <v>166</v>
      </c>
      <c r="C658" t="s">
        <v>167</v>
      </c>
      <c r="D658" t="s">
        <v>16</v>
      </c>
      <c r="E658" t="s">
        <v>21</v>
      </c>
      <c r="F658">
        <v>122</v>
      </c>
      <c r="G658">
        <v>63</v>
      </c>
      <c r="H658">
        <v>59</v>
      </c>
      <c r="I658">
        <f>Inventory_Data[[#This Row],[Opening_Stock]]+Inventory_Data[[#This Row],[Units_Received]]-Inventory_Data[[#This Row],[Units_Sold]]</f>
        <v>126</v>
      </c>
      <c r="J658">
        <v>0</v>
      </c>
      <c r="K658">
        <v>4</v>
      </c>
      <c r="L658" t="s">
        <v>45</v>
      </c>
      <c r="M658" s="3">
        <v>37.17</v>
      </c>
      <c r="N658" s="3">
        <v>57.42</v>
      </c>
      <c r="O658" s="10" t="str">
        <f>TEXT(Inventory_Data[[#This Row],[Date]],"mmm")</f>
        <v>May</v>
      </c>
    </row>
    <row r="659" spans="1:15" x14ac:dyDescent="0.2">
      <c r="A659" s="21">
        <v>45779</v>
      </c>
      <c r="B659" s="5" t="s">
        <v>170</v>
      </c>
      <c r="C659" t="s">
        <v>171</v>
      </c>
      <c r="D659" t="s">
        <v>48</v>
      </c>
      <c r="E659" t="s">
        <v>28</v>
      </c>
      <c r="F659">
        <v>46</v>
      </c>
      <c r="G659">
        <v>88</v>
      </c>
      <c r="H659">
        <v>103</v>
      </c>
      <c r="I659">
        <f>Inventory_Data[[#This Row],[Opening_Stock]]+Inventory_Data[[#This Row],[Units_Received]]-Inventory_Data[[#This Row],[Units_Sold]]</f>
        <v>31</v>
      </c>
      <c r="J659">
        <v>0</v>
      </c>
      <c r="K659">
        <v>2</v>
      </c>
      <c r="L659" t="s">
        <v>49</v>
      </c>
      <c r="M659" s="3">
        <v>77.599999999999994</v>
      </c>
      <c r="N659" s="3">
        <v>89.55</v>
      </c>
      <c r="O659" s="10" t="str">
        <f>TEXT(Inventory_Data[[#This Row],[Date]],"mmm")</f>
        <v>May</v>
      </c>
    </row>
    <row r="660" spans="1:15" x14ac:dyDescent="0.2">
      <c r="A660" s="21">
        <v>45779</v>
      </c>
      <c r="B660" s="5" t="s">
        <v>61</v>
      </c>
      <c r="C660" t="s">
        <v>62</v>
      </c>
      <c r="D660" t="s">
        <v>48</v>
      </c>
      <c r="E660" t="s">
        <v>28</v>
      </c>
      <c r="F660">
        <v>265</v>
      </c>
      <c r="G660">
        <v>72</v>
      </c>
      <c r="H660">
        <v>57</v>
      </c>
      <c r="I660">
        <f>Inventory_Data[[#This Row],[Opening_Stock]]+Inventory_Data[[#This Row],[Units_Received]]-Inventory_Data[[#This Row],[Units_Sold]]</f>
        <v>280</v>
      </c>
      <c r="J660">
        <v>0</v>
      </c>
      <c r="K660">
        <v>4</v>
      </c>
      <c r="L660" t="s">
        <v>77</v>
      </c>
      <c r="M660" s="3">
        <v>68.349999999999994</v>
      </c>
      <c r="N660" s="3">
        <v>86.12</v>
      </c>
      <c r="O660" s="10" t="str">
        <f>TEXT(Inventory_Data[[#This Row],[Date]],"mmm")</f>
        <v>May</v>
      </c>
    </row>
    <row r="661" spans="1:15" x14ac:dyDescent="0.2">
      <c r="A661" s="21">
        <v>45779</v>
      </c>
      <c r="B661" s="5" t="s">
        <v>164</v>
      </c>
      <c r="C661" t="s">
        <v>165</v>
      </c>
      <c r="D661" t="s">
        <v>48</v>
      </c>
      <c r="E661" t="s">
        <v>21</v>
      </c>
      <c r="F661">
        <v>263</v>
      </c>
      <c r="G661">
        <v>81</v>
      </c>
      <c r="H661">
        <v>118</v>
      </c>
      <c r="I661">
        <f>Inventory_Data[[#This Row],[Opening_Stock]]+Inventory_Data[[#This Row],[Units_Received]]-Inventory_Data[[#This Row],[Units_Sold]]</f>
        <v>226</v>
      </c>
      <c r="J661">
        <v>0</v>
      </c>
      <c r="K661">
        <v>2</v>
      </c>
      <c r="L661" t="s">
        <v>63</v>
      </c>
      <c r="M661" s="3">
        <v>75.06</v>
      </c>
      <c r="N661" s="3">
        <v>101.64</v>
      </c>
      <c r="O661" s="10" t="str">
        <f>TEXT(Inventory_Data[[#This Row],[Date]],"mmm")</f>
        <v>May</v>
      </c>
    </row>
    <row r="662" spans="1:15" x14ac:dyDescent="0.2">
      <c r="A662" s="21">
        <v>45779</v>
      </c>
      <c r="B662" s="5" t="s">
        <v>100</v>
      </c>
      <c r="C662" t="s">
        <v>101</v>
      </c>
      <c r="D662" t="s">
        <v>52</v>
      </c>
      <c r="E662" t="s">
        <v>28</v>
      </c>
      <c r="F662">
        <v>70</v>
      </c>
      <c r="G662">
        <v>23</v>
      </c>
      <c r="H662">
        <v>8</v>
      </c>
      <c r="I662">
        <f>Inventory_Data[[#This Row],[Opening_Stock]]+Inventory_Data[[#This Row],[Units_Received]]-Inventory_Data[[#This Row],[Units_Sold]]</f>
        <v>85</v>
      </c>
      <c r="J662">
        <v>0</v>
      </c>
      <c r="K662">
        <v>11</v>
      </c>
      <c r="L662" t="s">
        <v>56</v>
      </c>
      <c r="M662" s="3">
        <v>191.33</v>
      </c>
      <c r="N662" s="3">
        <v>278.92</v>
      </c>
      <c r="O662" s="10" t="str">
        <f>TEXT(Inventory_Data[[#This Row],[Date]],"mmm")</f>
        <v>May</v>
      </c>
    </row>
    <row r="663" spans="1:15" x14ac:dyDescent="0.2">
      <c r="A663" s="21">
        <v>45779</v>
      </c>
      <c r="B663" s="5" t="s">
        <v>37</v>
      </c>
      <c r="C663" t="s">
        <v>38</v>
      </c>
      <c r="D663" t="s">
        <v>34</v>
      </c>
      <c r="E663" t="s">
        <v>17</v>
      </c>
      <c r="F663">
        <v>88</v>
      </c>
      <c r="G663">
        <v>190</v>
      </c>
      <c r="H663">
        <v>131</v>
      </c>
      <c r="I663">
        <f>Inventory_Data[[#This Row],[Opening_Stock]]+Inventory_Data[[#This Row],[Units_Received]]-Inventory_Data[[#This Row],[Units_Sold]]</f>
        <v>147</v>
      </c>
      <c r="J663">
        <v>0</v>
      </c>
      <c r="K663">
        <v>3</v>
      </c>
      <c r="L663" t="s">
        <v>42</v>
      </c>
      <c r="M663" s="3">
        <v>19.670000000000002</v>
      </c>
      <c r="N663" s="3">
        <v>25.62</v>
      </c>
      <c r="O663" s="10" t="str">
        <f>TEXT(Inventory_Data[[#This Row],[Date]],"mmm")</f>
        <v>May</v>
      </c>
    </row>
    <row r="664" spans="1:15" x14ac:dyDescent="0.2">
      <c r="A664" s="21">
        <v>45779</v>
      </c>
      <c r="B664" s="5" t="s">
        <v>138</v>
      </c>
      <c r="C664" t="s">
        <v>139</v>
      </c>
      <c r="D664" t="s">
        <v>34</v>
      </c>
      <c r="E664" t="s">
        <v>17</v>
      </c>
      <c r="F664">
        <v>378</v>
      </c>
      <c r="G664">
        <v>105</v>
      </c>
      <c r="H664">
        <v>128</v>
      </c>
      <c r="I664">
        <f>Inventory_Data[[#This Row],[Opening_Stock]]+Inventory_Data[[#This Row],[Units_Received]]-Inventory_Data[[#This Row],[Units_Sold]]</f>
        <v>355</v>
      </c>
      <c r="J664">
        <v>0</v>
      </c>
      <c r="K664">
        <v>10</v>
      </c>
      <c r="L664" t="s">
        <v>39</v>
      </c>
      <c r="M664" s="3">
        <v>19.78</v>
      </c>
      <c r="N664" s="3">
        <v>29.42</v>
      </c>
      <c r="O664" s="10" t="str">
        <f>TEXT(Inventory_Data[[#This Row],[Date]],"mmm")</f>
        <v>May</v>
      </c>
    </row>
    <row r="665" spans="1:15" x14ac:dyDescent="0.2">
      <c r="A665" s="21">
        <v>45779</v>
      </c>
      <c r="B665" s="5" t="s">
        <v>43</v>
      </c>
      <c r="C665" t="s">
        <v>44</v>
      </c>
      <c r="D665" t="s">
        <v>34</v>
      </c>
      <c r="E665" t="s">
        <v>35</v>
      </c>
      <c r="F665">
        <v>355</v>
      </c>
      <c r="G665">
        <v>164</v>
      </c>
      <c r="H665">
        <v>39</v>
      </c>
      <c r="I665">
        <f>Inventory_Data[[#This Row],[Opening_Stock]]+Inventory_Data[[#This Row],[Units_Received]]-Inventory_Data[[#This Row],[Units_Sold]]</f>
        <v>480</v>
      </c>
      <c r="J665">
        <v>0</v>
      </c>
      <c r="K665">
        <v>10</v>
      </c>
      <c r="L665" t="s">
        <v>42</v>
      </c>
      <c r="M665" s="3">
        <v>28.68</v>
      </c>
      <c r="N665" s="3">
        <v>35.82</v>
      </c>
      <c r="O665" s="10" t="str">
        <f>TEXT(Inventory_Data[[#This Row],[Date]],"mmm")</f>
        <v>May</v>
      </c>
    </row>
    <row r="666" spans="1:15" x14ac:dyDescent="0.2">
      <c r="A666" s="21">
        <v>45780</v>
      </c>
      <c r="B666" s="5" t="s">
        <v>178</v>
      </c>
      <c r="C666" t="s">
        <v>179</v>
      </c>
      <c r="D666" t="s">
        <v>16</v>
      </c>
      <c r="E666" t="s">
        <v>21</v>
      </c>
      <c r="F666">
        <v>135</v>
      </c>
      <c r="G666">
        <v>54</v>
      </c>
      <c r="H666">
        <v>76</v>
      </c>
      <c r="I666">
        <f>Inventory_Data[[#This Row],[Opening_Stock]]+Inventory_Data[[#This Row],[Units_Received]]-Inventory_Data[[#This Row],[Units_Sold]]</f>
        <v>113</v>
      </c>
      <c r="J666">
        <v>0</v>
      </c>
      <c r="K666">
        <v>4</v>
      </c>
      <c r="L666" t="s">
        <v>24</v>
      </c>
      <c r="M666" s="3">
        <v>78.94</v>
      </c>
      <c r="N666" s="3">
        <v>98.87</v>
      </c>
      <c r="O666" s="10" t="str">
        <f>TEXT(Inventory_Data[[#This Row],[Date]],"mmm")</f>
        <v>May</v>
      </c>
    </row>
    <row r="667" spans="1:15" x14ac:dyDescent="0.2">
      <c r="A667" s="21">
        <v>45780</v>
      </c>
      <c r="B667" s="5" t="s">
        <v>124</v>
      </c>
      <c r="C667" t="s">
        <v>125</v>
      </c>
      <c r="D667" t="s">
        <v>52</v>
      </c>
      <c r="E667" t="s">
        <v>21</v>
      </c>
      <c r="F667">
        <v>24</v>
      </c>
      <c r="G667">
        <v>4</v>
      </c>
      <c r="H667">
        <v>10</v>
      </c>
      <c r="I667">
        <f>Inventory_Data[[#This Row],[Opening_Stock]]+Inventory_Data[[#This Row],[Units_Received]]-Inventory_Data[[#This Row],[Units_Sold]]</f>
        <v>18</v>
      </c>
      <c r="J667">
        <v>0</v>
      </c>
      <c r="K667">
        <v>9</v>
      </c>
      <c r="L667" t="s">
        <v>83</v>
      </c>
      <c r="M667" s="3">
        <v>288.48</v>
      </c>
      <c r="N667" s="3">
        <v>336.92</v>
      </c>
      <c r="O667" s="10" t="str">
        <f>TEXT(Inventory_Data[[#This Row],[Date]],"mmm")</f>
        <v>May</v>
      </c>
    </row>
    <row r="668" spans="1:15" x14ac:dyDescent="0.2">
      <c r="A668" s="21">
        <v>45780</v>
      </c>
      <c r="B668" s="5" t="s">
        <v>124</v>
      </c>
      <c r="C668" t="s">
        <v>125</v>
      </c>
      <c r="D668" t="s">
        <v>52</v>
      </c>
      <c r="E668" t="s">
        <v>17</v>
      </c>
      <c r="F668">
        <v>48</v>
      </c>
      <c r="G668">
        <v>2</v>
      </c>
      <c r="H668">
        <v>1</v>
      </c>
      <c r="I668">
        <f>Inventory_Data[[#This Row],[Opening_Stock]]+Inventory_Data[[#This Row],[Units_Received]]-Inventory_Data[[#This Row],[Units_Sold]]</f>
        <v>49</v>
      </c>
      <c r="J668">
        <v>0</v>
      </c>
      <c r="K668">
        <v>6</v>
      </c>
      <c r="L668" t="s">
        <v>56</v>
      </c>
      <c r="M668" s="3">
        <v>226.59</v>
      </c>
      <c r="N668" s="3">
        <v>309.89999999999998</v>
      </c>
      <c r="O668" s="10" t="str">
        <f>TEXT(Inventory_Data[[#This Row],[Date]],"mmm")</f>
        <v>May</v>
      </c>
    </row>
    <row r="669" spans="1:15" x14ac:dyDescent="0.2">
      <c r="A669" s="21">
        <v>45780</v>
      </c>
      <c r="B669" s="5" t="s">
        <v>110</v>
      </c>
      <c r="C669" t="s">
        <v>111</v>
      </c>
      <c r="D669" t="s">
        <v>52</v>
      </c>
      <c r="E669" t="s">
        <v>35</v>
      </c>
      <c r="F669">
        <v>23</v>
      </c>
      <c r="G669">
        <v>12</v>
      </c>
      <c r="H669">
        <v>10</v>
      </c>
      <c r="I669">
        <f>Inventory_Data[[#This Row],[Opening_Stock]]+Inventory_Data[[#This Row],[Units_Received]]-Inventory_Data[[#This Row],[Units_Sold]]</f>
        <v>25</v>
      </c>
      <c r="J669">
        <v>0</v>
      </c>
      <c r="K669">
        <v>4</v>
      </c>
      <c r="L669" t="s">
        <v>83</v>
      </c>
      <c r="M669" s="3">
        <v>199.01</v>
      </c>
      <c r="N669" s="3">
        <v>291.62</v>
      </c>
      <c r="O669" s="10" t="str">
        <f>TEXT(Inventory_Data[[#This Row],[Date]],"mmm")</f>
        <v>May</v>
      </c>
    </row>
    <row r="670" spans="1:15" x14ac:dyDescent="0.2">
      <c r="A670" s="21">
        <v>45781</v>
      </c>
      <c r="B670" s="5" t="s">
        <v>170</v>
      </c>
      <c r="C670" t="s">
        <v>171</v>
      </c>
      <c r="D670" t="s">
        <v>48</v>
      </c>
      <c r="E670" t="s">
        <v>35</v>
      </c>
      <c r="F670">
        <v>184</v>
      </c>
      <c r="G670">
        <v>138</v>
      </c>
      <c r="H670">
        <v>133</v>
      </c>
      <c r="I670">
        <f>Inventory_Data[[#This Row],[Opening_Stock]]+Inventory_Data[[#This Row],[Units_Received]]-Inventory_Data[[#This Row],[Units_Sold]]</f>
        <v>189</v>
      </c>
      <c r="J670">
        <v>0</v>
      </c>
      <c r="K670">
        <v>7</v>
      </c>
      <c r="L670" t="s">
        <v>63</v>
      </c>
      <c r="M670" s="3">
        <v>12.12</v>
      </c>
      <c r="N670" s="3">
        <v>14.29</v>
      </c>
      <c r="O670" s="10" t="str">
        <f>TEXT(Inventory_Data[[#This Row],[Date]],"mmm")</f>
        <v>May</v>
      </c>
    </row>
    <row r="671" spans="1:15" x14ac:dyDescent="0.2">
      <c r="A671" s="21">
        <v>45781</v>
      </c>
      <c r="B671" s="5" t="s">
        <v>61</v>
      </c>
      <c r="C671" t="s">
        <v>62</v>
      </c>
      <c r="D671" t="s">
        <v>48</v>
      </c>
      <c r="E671" t="s">
        <v>17</v>
      </c>
      <c r="F671">
        <v>47</v>
      </c>
      <c r="G671">
        <v>46</v>
      </c>
      <c r="H671">
        <v>61</v>
      </c>
      <c r="I671">
        <f>Inventory_Data[[#This Row],[Opening_Stock]]+Inventory_Data[[#This Row],[Units_Received]]-Inventory_Data[[#This Row],[Units_Sold]]</f>
        <v>32</v>
      </c>
      <c r="J671">
        <v>0</v>
      </c>
      <c r="K671">
        <v>3</v>
      </c>
      <c r="L671" t="s">
        <v>63</v>
      </c>
      <c r="M671" s="3">
        <v>58.53</v>
      </c>
      <c r="N671" s="3">
        <v>78.989999999999995</v>
      </c>
      <c r="O671" s="10" t="str">
        <f>TEXT(Inventory_Data[[#This Row],[Date]],"mmm")</f>
        <v>May</v>
      </c>
    </row>
    <row r="672" spans="1:15" x14ac:dyDescent="0.2">
      <c r="A672" s="21">
        <v>45781</v>
      </c>
      <c r="B672" s="5" t="s">
        <v>154</v>
      </c>
      <c r="C672" t="s">
        <v>155</v>
      </c>
      <c r="D672" t="s">
        <v>48</v>
      </c>
      <c r="E672" t="s">
        <v>17</v>
      </c>
      <c r="F672">
        <v>278</v>
      </c>
      <c r="G672">
        <v>107</v>
      </c>
      <c r="H672">
        <v>82</v>
      </c>
      <c r="I672">
        <f>Inventory_Data[[#This Row],[Opening_Stock]]+Inventory_Data[[#This Row],[Units_Received]]-Inventory_Data[[#This Row],[Units_Sold]]</f>
        <v>303</v>
      </c>
      <c r="J672">
        <v>0</v>
      </c>
      <c r="K672">
        <v>4</v>
      </c>
      <c r="L672" t="s">
        <v>77</v>
      </c>
      <c r="M672" s="3">
        <v>24.45</v>
      </c>
      <c r="N672" s="3">
        <v>30.23</v>
      </c>
      <c r="O672" s="10" t="str">
        <f>TEXT(Inventory_Data[[#This Row],[Date]],"mmm")</f>
        <v>May</v>
      </c>
    </row>
    <row r="673" spans="1:15" x14ac:dyDescent="0.2">
      <c r="A673" s="21">
        <v>45782</v>
      </c>
      <c r="B673" s="5" t="s">
        <v>46</v>
      </c>
      <c r="C673" t="s">
        <v>47</v>
      </c>
      <c r="D673" t="s">
        <v>48</v>
      </c>
      <c r="E673" t="s">
        <v>28</v>
      </c>
      <c r="F673">
        <v>96</v>
      </c>
      <c r="G673">
        <v>69</v>
      </c>
      <c r="H673">
        <v>80</v>
      </c>
      <c r="I673">
        <f>Inventory_Data[[#This Row],[Opening_Stock]]+Inventory_Data[[#This Row],[Units_Received]]-Inventory_Data[[#This Row],[Units_Sold]]</f>
        <v>85</v>
      </c>
      <c r="J673">
        <v>0</v>
      </c>
      <c r="K673">
        <v>3</v>
      </c>
      <c r="L673" t="s">
        <v>63</v>
      </c>
      <c r="M673" s="3">
        <v>43.92</v>
      </c>
      <c r="N673" s="3">
        <v>57.69</v>
      </c>
      <c r="O673" s="10" t="str">
        <f>TEXT(Inventory_Data[[#This Row],[Date]],"mmm")</f>
        <v>May</v>
      </c>
    </row>
    <row r="674" spans="1:15" x14ac:dyDescent="0.2">
      <c r="A674" s="21">
        <v>45782</v>
      </c>
      <c r="B674" s="5" t="s">
        <v>100</v>
      </c>
      <c r="C674" t="s">
        <v>101</v>
      </c>
      <c r="D674" t="s">
        <v>52</v>
      </c>
      <c r="E674" t="s">
        <v>17</v>
      </c>
      <c r="F674">
        <v>70</v>
      </c>
      <c r="G674">
        <v>2</v>
      </c>
      <c r="H674">
        <v>13</v>
      </c>
      <c r="I674">
        <f>Inventory_Data[[#This Row],[Opening_Stock]]+Inventory_Data[[#This Row],[Units_Received]]-Inventory_Data[[#This Row],[Units_Sold]]</f>
        <v>59</v>
      </c>
      <c r="J674">
        <v>0</v>
      </c>
      <c r="K674">
        <v>13</v>
      </c>
      <c r="L674" t="s">
        <v>56</v>
      </c>
      <c r="M674" s="3">
        <v>175.51</v>
      </c>
      <c r="N674" s="3">
        <v>221.39</v>
      </c>
      <c r="O674" s="10" t="str">
        <f>TEXT(Inventory_Data[[#This Row],[Date]],"mmm")</f>
        <v>May</v>
      </c>
    </row>
    <row r="675" spans="1:15" x14ac:dyDescent="0.2">
      <c r="A675" s="21">
        <v>45782</v>
      </c>
      <c r="B675" s="5" t="s">
        <v>124</v>
      </c>
      <c r="C675" t="s">
        <v>125</v>
      </c>
      <c r="D675" t="s">
        <v>52</v>
      </c>
      <c r="E675" t="s">
        <v>35</v>
      </c>
      <c r="F675">
        <v>34</v>
      </c>
      <c r="G675">
        <v>12</v>
      </c>
      <c r="H675">
        <v>19</v>
      </c>
      <c r="I675">
        <f>Inventory_Data[[#This Row],[Opening_Stock]]+Inventory_Data[[#This Row],[Units_Received]]-Inventory_Data[[#This Row],[Units_Sold]]</f>
        <v>27</v>
      </c>
      <c r="J675">
        <v>0</v>
      </c>
      <c r="K675">
        <v>13</v>
      </c>
      <c r="L675" t="s">
        <v>83</v>
      </c>
      <c r="M675" s="3">
        <v>325.87</v>
      </c>
      <c r="N675" s="3">
        <v>395.95</v>
      </c>
      <c r="O675" s="10" t="str">
        <f>TEXT(Inventory_Data[[#This Row],[Date]],"mmm")</f>
        <v>May</v>
      </c>
    </row>
    <row r="676" spans="1:15" x14ac:dyDescent="0.2">
      <c r="A676" s="21">
        <v>45783</v>
      </c>
      <c r="B676" s="5" t="s">
        <v>166</v>
      </c>
      <c r="C676" t="s">
        <v>167</v>
      </c>
      <c r="D676" t="s">
        <v>16</v>
      </c>
      <c r="E676" t="s">
        <v>35</v>
      </c>
      <c r="F676">
        <v>89</v>
      </c>
      <c r="G676">
        <v>76</v>
      </c>
      <c r="H676">
        <v>62</v>
      </c>
      <c r="I676">
        <f>Inventory_Data[[#This Row],[Opening_Stock]]+Inventory_Data[[#This Row],[Units_Received]]-Inventory_Data[[#This Row],[Units_Sold]]</f>
        <v>103</v>
      </c>
      <c r="J676">
        <v>0</v>
      </c>
      <c r="K676">
        <v>4</v>
      </c>
      <c r="L676" t="s">
        <v>45</v>
      </c>
      <c r="M676" s="3">
        <v>102.63</v>
      </c>
      <c r="N676" s="3">
        <v>144.51</v>
      </c>
      <c r="O676" s="10" t="str">
        <f>TEXT(Inventory_Data[[#This Row],[Date]],"mmm")</f>
        <v>May</v>
      </c>
    </row>
    <row r="677" spans="1:15" x14ac:dyDescent="0.2">
      <c r="A677" s="21">
        <v>45783</v>
      </c>
      <c r="B677" s="5" t="s">
        <v>192</v>
      </c>
      <c r="C677" t="s">
        <v>193</v>
      </c>
      <c r="D677" t="s">
        <v>48</v>
      </c>
      <c r="E677" t="s">
        <v>21</v>
      </c>
      <c r="F677">
        <v>203</v>
      </c>
      <c r="G677">
        <v>139</v>
      </c>
      <c r="H677">
        <v>21</v>
      </c>
      <c r="I677">
        <f>Inventory_Data[[#This Row],[Opening_Stock]]+Inventory_Data[[#This Row],[Units_Received]]-Inventory_Data[[#This Row],[Units_Sold]]</f>
        <v>321</v>
      </c>
      <c r="J677">
        <v>0</v>
      </c>
      <c r="K677">
        <v>6</v>
      </c>
      <c r="L677" t="s">
        <v>49</v>
      </c>
      <c r="M677" s="3">
        <v>27.6</v>
      </c>
      <c r="N677" s="3">
        <v>40.11</v>
      </c>
      <c r="O677" s="10" t="str">
        <f>TEXT(Inventory_Data[[#This Row],[Date]],"mmm")</f>
        <v>May</v>
      </c>
    </row>
    <row r="678" spans="1:15" x14ac:dyDescent="0.2">
      <c r="A678" s="21">
        <v>45783</v>
      </c>
      <c r="B678" s="5" t="s">
        <v>122</v>
      </c>
      <c r="C678" t="s">
        <v>123</v>
      </c>
      <c r="D678" t="s">
        <v>27</v>
      </c>
      <c r="E678" t="s">
        <v>17</v>
      </c>
      <c r="F678">
        <v>285</v>
      </c>
      <c r="G678">
        <v>71</v>
      </c>
      <c r="H678">
        <v>118</v>
      </c>
      <c r="I678">
        <f>Inventory_Data[[#This Row],[Opening_Stock]]+Inventory_Data[[#This Row],[Units_Received]]-Inventory_Data[[#This Row],[Units_Sold]]</f>
        <v>238</v>
      </c>
      <c r="J678">
        <v>0</v>
      </c>
      <c r="K678">
        <v>2</v>
      </c>
      <c r="L678" t="s">
        <v>66</v>
      </c>
      <c r="M678" s="3">
        <v>10.45</v>
      </c>
      <c r="N678" s="3">
        <v>12.38</v>
      </c>
      <c r="O678" s="10" t="str">
        <f>TEXT(Inventory_Data[[#This Row],[Date]],"mmm")</f>
        <v>May</v>
      </c>
    </row>
    <row r="679" spans="1:15" x14ac:dyDescent="0.2">
      <c r="A679" s="21">
        <v>45783</v>
      </c>
      <c r="B679" s="5" t="s">
        <v>188</v>
      </c>
      <c r="C679" t="s">
        <v>189</v>
      </c>
      <c r="D679" t="s">
        <v>27</v>
      </c>
      <c r="E679" t="s">
        <v>17</v>
      </c>
      <c r="F679">
        <v>472</v>
      </c>
      <c r="G679">
        <v>244</v>
      </c>
      <c r="H679">
        <v>40</v>
      </c>
      <c r="I679">
        <f>Inventory_Data[[#This Row],[Opening_Stock]]+Inventory_Data[[#This Row],[Units_Received]]-Inventory_Data[[#This Row],[Units_Sold]]</f>
        <v>676</v>
      </c>
      <c r="J679">
        <v>0</v>
      </c>
      <c r="K679">
        <v>6</v>
      </c>
      <c r="L679" t="s">
        <v>29</v>
      </c>
      <c r="M679" s="3">
        <v>24.46</v>
      </c>
      <c r="N679" s="3">
        <v>37.47</v>
      </c>
      <c r="O679" s="10" t="str">
        <f>TEXT(Inventory_Data[[#This Row],[Date]],"mmm")</f>
        <v>May</v>
      </c>
    </row>
    <row r="680" spans="1:15" x14ac:dyDescent="0.2">
      <c r="A680" s="21">
        <v>45783</v>
      </c>
      <c r="B680" s="5" t="s">
        <v>30</v>
      </c>
      <c r="C680" t="s">
        <v>31</v>
      </c>
      <c r="D680" t="s">
        <v>27</v>
      </c>
      <c r="E680" t="s">
        <v>28</v>
      </c>
      <c r="F680">
        <v>158</v>
      </c>
      <c r="G680">
        <v>91</v>
      </c>
      <c r="H680">
        <v>149</v>
      </c>
      <c r="I680">
        <f>Inventory_Data[[#This Row],[Opening_Stock]]+Inventory_Data[[#This Row],[Units_Received]]-Inventory_Data[[#This Row],[Units_Sold]]</f>
        <v>100</v>
      </c>
      <c r="J680">
        <v>0</v>
      </c>
      <c r="K680">
        <v>1</v>
      </c>
      <c r="L680" t="s">
        <v>29</v>
      </c>
      <c r="M680" s="3">
        <v>23.31</v>
      </c>
      <c r="N680" s="3">
        <v>33.43</v>
      </c>
      <c r="O680" s="10" t="str">
        <f>TEXT(Inventory_Data[[#This Row],[Date]],"mmm")</f>
        <v>May</v>
      </c>
    </row>
    <row r="681" spans="1:15" x14ac:dyDescent="0.2">
      <c r="A681" s="21">
        <v>45783</v>
      </c>
      <c r="B681" s="5" t="s">
        <v>158</v>
      </c>
      <c r="C681" t="s">
        <v>159</v>
      </c>
      <c r="D681" t="s">
        <v>52</v>
      </c>
      <c r="E681" t="s">
        <v>21</v>
      </c>
      <c r="F681">
        <v>55</v>
      </c>
      <c r="G681">
        <v>13</v>
      </c>
      <c r="H681">
        <v>12</v>
      </c>
      <c r="I681">
        <f>Inventory_Data[[#This Row],[Opening_Stock]]+Inventory_Data[[#This Row],[Units_Received]]-Inventory_Data[[#This Row],[Units_Sold]]</f>
        <v>56</v>
      </c>
      <c r="J681">
        <v>0</v>
      </c>
      <c r="K681">
        <v>12</v>
      </c>
      <c r="L681" t="s">
        <v>53</v>
      </c>
      <c r="M681" s="3">
        <v>206.26</v>
      </c>
      <c r="N681" s="3">
        <v>265.85000000000002</v>
      </c>
      <c r="O681" s="10" t="str">
        <f>TEXT(Inventory_Data[[#This Row],[Date]],"mmm")</f>
        <v>May</v>
      </c>
    </row>
    <row r="682" spans="1:15" x14ac:dyDescent="0.2">
      <c r="A682" s="21">
        <v>45784</v>
      </c>
      <c r="B682" s="5" t="s">
        <v>73</v>
      </c>
      <c r="C682" t="s">
        <v>74</v>
      </c>
      <c r="D682" t="s">
        <v>16</v>
      </c>
      <c r="E682" t="s">
        <v>21</v>
      </c>
      <c r="F682">
        <v>125</v>
      </c>
      <c r="G682">
        <v>67</v>
      </c>
      <c r="H682">
        <v>43</v>
      </c>
      <c r="I682">
        <f>Inventory_Data[[#This Row],[Opening_Stock]]+Inventory_Data[[#This Row],[Units_Received]]-Inventory_Data[[#This Row],[Units_Sold]]</f>
        <v>149</v>
      </c>
      <c r="J682">
        <v>0</v>
      </c>
      <c r="K682">
        <v>2</v>
      </c>
      <c r="L682" t="s">
        <v>24</v>
      </c>
      <c r="M682" s="3">
        <v>80.31</v>
      </c>
      <c r="N682" s="3">
        <v>121.38</v>
      </c>
      <c r="O682" s="10" t="str">
        <f>TEXT(Inventory_Data[[#This Row],[Date]],"mmm")</f>
        <v>May</v>
      </c>
    </row>
    <row r="683" spans="1:15" x14ac:dyDescent="0.2">
      <c r="A683" s="21">
        <v>45784</v>
      </c>
      <c r="B683" s="5" t="s">
        <v>19</v>
      </c>
      <c r="C683" t="s">
        <v>20</v>
      </c>
      <c r="D683" t="s">
        <v>16</v>
      </c>
      <c r="E683" t="s">
        <v>21</v>
      </c>
      <c r="F683">
        <v>93</v>
      </c>
      <c r="G683">
        <v>52</v>
      </c>
      <c r="H683">
        <v>73</v>
      </c>
      <c r="I683">
        <f>Inventory_Data[[#This Row],[Opening_Stock]]+Inventory_Data[[#This Row],[Units_Received]]-Inventory_Data[[#This Row],[Units_Sold]]</f>
        <v>72</v>
      </c>
      <c r="J683">
        <v>0</v>
      </c>
      <c r="K683">
        <v>14</v>
      </c>
      <c r="L683" t="s">
        <v>18</v>
      </c>
      <c r="M683" s="3">
        <v>64.06</v>
      </c>
      <c r="N683" s="3">
        <v>89.66</v>
      </c>
      <c r="O683" s="10" t="str">
        <f>TEXT(Inventory_Data[[#This Row],[Date]],"mmm")</f>
        <v>May</v>
      </c>
    </row>
    <row r="684" spans="1:15" x14ac:dyDescent="0.2">
      <c r="A684" s="21">
        <v>45784</v>
      </c>
      <c r="B684" s="5" t="s">
        <v>180</v>
      </c>
      <c r="C684" t="s">
        <v>181</v>
      </c>
      <c r="D684" t="s">
        <v>34</v>
      </c>
      <c r="E684" t="s">
        <v>28</v>
      </c>
      <c r="F684">
        <v>332</v>
      </c>
      <c r="G684">
        <v>115</v>
      </c>
      <c r="H684">
        <v>132</v>
      </c>
      <c r="I684">
        <f>Inventory_Data[[#This Row],[Opening_Stock]]+Inventory_Data[[#This Row],[Units_Received]]-Inventory_Data[[#This Row],[Units_Sold]]</f>
        <v>315</v>
      </c>
      <c r="J684">
        <v>0</v>
      </c>
      <c r="K684">
        <v>13</v>
      </c>
      <c r="L684" t="s">
        <v>39</v>
      </c>
      <c r="M684" s="3">
        <v>16.22</v>
      </c>
      <c r="N684" s="3">
        <v>22.25</v>
      </c>
      <c r="O684" s="10" t="str">
        <f>TEXT(Inventory_Data[[#This Row],[Date]],"mmm")</f>
        <v>May</v>
      </c>
    </row>
    <row r="685" spans="1:15" x14ac:dyDescent="0.2">
      <c r="A685" s="21">
        <v>45784</v>
      </c>
      <c r="B685" s="5" t="s">
        <v>194</v>
      </c>
      <c r="C685" t="s">
        <v>195</v>
      </c>
      <c r="D685" t="s">
        <v>34</v>
      </c>
      <c r="E685" t="s">
        <v>21</v>
      </c>
      <c r="F685">
        <v>152</v>
      </c>
      <c r="G685">
        <v>94</v>
      </c>
      <c r="H685">
        <v>82</v>
      </c>
      <c r="I685">
        <f>Inventory_Data[[#This Row],[Opening_Stock]]+Inventory_Data[[#This Row],[Units_Received]]-Inventory_Data[[#This Row],[Units_Sold]]</f>
        <v>164</v>
      </c>
      <c r="J685">
        <v>0</v>
      </c>
      <c r="K685">
        <v>2</v>
      </c>
      <c r="L685" t="s">
        <v>39</v>
      </c>
      <c r="M685" s="3">
        <v>17.14</v>
      </c>
      <c r="N685" s="3">
        <v>24.77</v>
      </c>
      <c r="O685" s="10" t="str">
        <f>TEXT(Inventory_Data[[#This Row],[Date]],"mmm")</f>
        <v>May</v>
      </c>
    </row>
    <row r="686" spans="1:15" x14ac:dyDescent="0.2">
      <c r="A686" s="21">
        <v>45784</v>
      </c>
      <c r="B686" s="5" t="s">
        <v>37</v>
      </c>
      <c r="C686" t="s">
        <v>38</v>
      </c>
      <c r="D686" t="s">
        <v>34</v>
      </c>
      <c r="E686" t="s">
        <v>21</v>
      </c>
      <c r="F686">
        <v>72</v>
      </c>
      <c r="G686">
        <v>110</v>
      </c>
      <c r="H686">
        <v>46</v>
      </c>
      <c r="I686">
        <f>Inventory_Data[[#This Row],[Opening_Stock]]+Inventory_Data[[#This Row],[Units_Received]]-Inventory_Data[[#This Row],[Units_Sold]]</f>
        <v>136</v>
      </c>
      <c r="J686">
        <v>0</v>
      </c>
      <c r="K686">
        <v>10</v>
      </c>
      <c r="L686" t="s">
        <v>42</v>
      </c>
      <c r="M686" s="3">
        <v>28.27</v>
      </c>
      <c r="N686" s="3">
        <v>32.69</v>
      </c>
      <c r="O686" s="10" t="str">
        <f>TEXT(Inventory_Data[[#This Row],[Date]],"mmm")</f>
        <v>May</v>
      </c>
    </row>
    <row r="687" spans="1:15" x14ac:dyDescent="0.2">
      <c r="A687" s="21">
        <v>45785</v>
      </c>
      <c r="B687" s="5" t="s">
        <v>130</v>
      </c>
      <c r="C687" t="s">
        <v>131</v>
      </c>
      <c r="D687" t="s">
        <v>48</v>
      </c>
      <c r="E687" t="s">
        <v>28</v>
      </c>
      <c r="F687">
        <v>40</v>
      </c>
      <c r="G687">
        <v>68</v>
      </c>
      <c r="H687">
        <v>105</v>
      </c>
      <c r="I687">
        <f>Inventory_Data[[#This Row],[Opening_Stock]]+Inventory_Data[[#This Row],[Units_Received]]-Inventory_Data[[#This Row],[Units_Sold]]</f>
        <v>3</v>
      </c>
      <c r="J687">
        <v>0</v>
      </c>
      <c r="K687">
        <v>10</v>
      </c>
      <c r="L687" t="s">
        <v>63</v>
      </c>
      <c r="M687" s="3">
        <v>63.81</v>
      </c>
      <c r="N687" s="3">
        <v>76.48</v>
      </c>
      <c r="O687" s="10" t="str">
        <f>TEXT(Inventory_Data[[#This Row],[Date]],"mmm")</f>
        <v>May</v>
      </c>
    </row>
    <row r="688" spans="1:15" x14ac:dyDescent="0.2">
      <c r="A688" s="21">
        <v>45785</v>
      </c>
      <c r="B688" s="5" t="s">
        <v>75</v>
      </c>
      <c r="C688" t="s">
        <v>76</v>
      </c>
      <c r="D688" t="s">
        <v>48</v>
      </c>
      <c r="E688" t="s">
        <v>17</v>
      </c>
      <c r="F688">
        <v>201</v>
      </c>
      <c r="G688">
        <v>119</v>
      </c>
      <c r="H688">
        <v>91</v>
      </c>
      <c r="I688">
        <f>Inventory_Data[[#This Row],[Opening_Stock]]+Inventory_Data[[#This Row],[Units_Received]]-Inventory_Data[[#This Row],[Units_Sold]]</f>
        <v>229</v>
      </c>
      <c r="J688">
        <v>0</v>
      </c>
      <c r="K688">
        <v>4</v>
      </c>
      <c r="L688" t="s">
        <v>63</v>
      </c>
      <c r="M688" s="3">
        <v>43.57</v>
      </c>
      <c r="N688" s="3">
        <v>65.959999999999994</v>
      </c>
      <c r="O688" s="10" t="str">
        <f>TEXT(Inventory_Data[[#This Row],[Date]],"mmm")</f>
        <v>May</v>
      </c>
    </row>
    <row r="689" spans="1:15" x14ac:dyDescent="0.2">
      <c r="A689" s="21">
        <v>45785</v>
      </c>
      <c r="B689" s="5" t="s">
        <v>75</v>
      </c>
      <c r="C689" t="s">
        <v>76</v>
      </c>
      <c r="D689" t="s">
        <v>48</v>
      </c>
      <c r="E689" t="s">
        <v>21</v>
      </c>
      <c r="F689">
        <v>153</v>
      </c>
      <c r="G689">
        <v>45</v>
      </c>
      <c r="H689">
        <v>24</v>
      </c>
      <c r="I689">
        <f>Inventory_Data[[#This Row],[Opening_Stock]]+Inventory_Data[[#This Row],[Units_Received]]-Inventory_Data[[#This Row],[Units_Sold]]</f>
        <v>174</v>
      </c>
      <c r="J689">
        <v>0</v>
      </c>
      <c r="K689">
        <v>4</v>
      </c>
      <c r="L689" t="s">
        <v>49</v>
      </c>
      <c r="M689" s="3">
        <v>44.98</v>
      </c>
      <c r="N689" s="3">
        <v>53.54</v>
      </c>
      <c r="O689" s="10" t="str">
        <f>TEXT(Inventory_Data[[#This Row],[Date]],"mmm")</f>
        <v>May</v>
      </c>
    </row>
    <row r="690" spans="1:15" x14ac:dyDescent="0.2">
      <c r="A690" s="21">
        <v>45785</v>
      </c>
      <c r="B690" s="5" t="s">
        <v>116</v>
      </c>
      <c r="C690" t="s">
        <v>117</v>
      </c>
      <c r="D690" t="s">
        <v>52</v>
      </c>
      <c r="E690" t="s">
        <v>35</v>
      </c>
      <c r="F690">
        <v>45</v>
      </c>
      <c r="G690">
        <v>25</v>
      </c>
      <c r="H690">
        <v>15</v>
      </c>
      <c r="I690">
        <f>Inventory_Data[[#This Row],[Opening_Stock]]+Inventory_Data[[#This Row],[Units_Received]]-Inventory_Data[[#This Row],[Units_Sold]]</f>
        <v>55</v>
      </c>
      <c r="J690">
        <v>0</v>
      </c>
      <c r="K690">
        <v>11</v>
      </c>
      <c r="L690" t="s">
        <v>56</v>
      </c>
      <c r="M690" s="3">
        <v>259.12</v>
      </c>
      <c r="N690" s="3">
        <v>344.06</v>
      </c>
      <c r="O690" s="10" t="str">
        <f>TEXT(Inventory_Data[[#This Row],[Date]],"mmm")</f>
        <v>May</v>
      </c>
    </row>
    <row r="691" spans="1:15" x14ac:dyDescent="0.2">
      <c r="A691" s="21">
        <v>45785</v>
      </c>
      <c r="B691" s="5" t="s">
        <v>142</v>
      </c>
      <c r="C691" t="s">
        <v>143</v>
      </c>
      <c r="D691" t="s">
        <v>52</v>
      </c>
      <c r="E691" t="s">
        <v>17</v>
      </c>
      <c r="F691">
        <v>64</v>
      </c>
      <c r="G691">
        <v>17</v>
      </c>
      <c r="H691">
        <v>17</v>
      </c>
      <c r="I691">
        <f>Inventory_Data[[#This Row],[Opening_Stock]]+Inventory_Data[[#This Row],[Units_Received]]-Inventory_Data[[#This Row],[Units_Sold]]</f>
        <v>64</v>
      </c>
      <c r="J691">
        <v>0</v>
      </c>
      <c r="K691">
        <v>13</v>
      </c>
      <c r="L691" t="s">
        <v>56</v>
      </c>
      <c r="M691" s="3">
        <v>214.41</v>
      </c>
      <c r="N691" s="3">
        <v>331.94</v>
      </c>
      <c r="O691" s="10" t="str">
        <f>TEXT(Inventory_Data[[#This Row],[Date]],"mmm")</f>
        <v>May</v>
      </c>
    </row>
    <row r="692" spans="1:15" x14ac:dyDescent="0.2">
      <c r="A692" s="21">
        <v>45785</v>
      </c>
      <c r="B692" s="5" t="s">
        <v>142</v>
      </c>
      <c r="C692" t="s">
        <v>143</v>
      </c>
      <c r="D692" t="s">
        <v>52</v>
      </c>
      <c r="E692" t="s">
        <v>35</v>
      </c>
      <c r="F692">
        <v>57</v>
      </c>
      <c r="G692">
        <v>24</v>
      </c>
      <c r="H692">
        <v>10</v>
      </c>
      <c r="I692">
        <f>Inventory_Data[[#This Row],[Opening_Stock]]+Inventory_Data[[#This Row],[Units_Received]]-Inventory_Data[[#This Row],[Units_Sold]]</f>
        <v>71</v>
      </c>
      <c r="J692">
        <v>0</v>
      </c>
      <c r="K692">
        <v>3</v>
      </c>
      <c r="L692" t="s">
        <v>83</v>
      </c>
      <c r="M692" s="3">
        <v>286.64999999999998</v>
      </c>
      <c r="N692" s="3">
        <v>424.01</v>
      </c>
      <c r="O692" s="10" t="str">
        <f>TEXT(Inventory_Data[[#This Row],[Date]],"mmm")</f>
        <v>May</v>
      </c>
    </row>
    <row r="693" spans="1:15" x14ac:dyDescent="0.2">
      <c r="A693" s="21">
        <v>45785</v>
      </c>
      <c r="B693" s="5" t="s">
        <v>32</v>
      </c>
      <c r="C693" t="s">
        <v>33</v>
      </c>
      <c r="D693" t="s">
        <v>34</v>
      </c>
      <c r="E693" t="s">
        <v>17</v>
      </c>
      <c r="F693">
        <v>240</v>
      </c>
      <c r="G693">
        <v>145</v>
      </c>
      <c r="H693">
        <v>37</v>
      </c>
      <c r="I693">
        <f>Inventory_Data[[#This Row],[Opening_Stock]]+Inventory_Data[[#This Row],[Units_Received]]-Inventory_Data[[#This Row],[Units_Sold]]</f>
        <v>348</v>
      </c>
      <c r="J693">
        <v>0</v>
      </c>
      <c r="K693">
        <v>14</v>
      </c>
      <c r="L693" t="s">
        <v>36</v>
      </c>
      <c r="M693" s="3">
        <v>2.09</v>
      </c>
      <c r="N693" s="3">
        <v>2.5099999999999998</v>
      </c>
      <c r="O693" s="10" t="str">
        <f>TEXT(Inventory_Data[[#This Row],[Date]],"mmm")</f>
        <v>May</v>
      </c>
    </row>
    <row r="694" spans="1:15" x14ac:dyDescent="0.2">
      <c r="A694" s="21">
        <v>45786</v>
      </c>
      <c r="B694" s="5" t="s">
        <v>178</v>
      </c>
      <c r="C694" t="s">
        <v>179</v>
      </c>
      <c r="D694" t="s">
        <v>16</v>
      </c>
      <c r="E694" t="s">
        <v>17</v>
      </c>
      <c r="F694">
        <v>123</v>
      </c>
      <c r="G694">
        <v>73</v>
      </c>
      <c r="H694">
        <v>14</v>
      </c>
      <c r="I694">
        <f>Inventory_Data[[#This Row],[Opening_Stock]]+Inventory_Data[[#This Row],[Units_Received]]-Inventory_Data[[#This Row],[Units_Sold]]</f>
        <v>182</v>
      </c>
      <c r="J694">
        <v>0</v>
      </c>
      <c r="K694">
        <v>6</v>
      </c>
      <c r="L694" t="s">
        <v>45</v>
      </c>
      <c r="M694" s="3">
        <v>165.28</v>
      </c>
      <c r="N694" s="3">
        <v>230.8</v>
      </c>
      <c r="O694" s="10" t="str">
        <f>TEXT(Inventory_Data[[#This Row],[Date]],"mmm")</f>
        <v>May</v>
      </c>
    </row>
    <row r="695" spans="1:15" x14ac:dyDescent="0.2">
      <c r="A695" s="21">
        <v>45786</v>
      </c>
      <c r="B695" s="5" t="s">
        <v>92</v>
      </c>
      <c r="C695" t="s">
        <v>93</v>
      </c>
      <c r="D695" t="s">
        <v>27</v>
      </c>
      <c r="E695" t="s">
        <v>21</v>
      </c>
      <c r="F695">
        <v>286</v>
      </c>
      <c r="G695">
        <v>249</v>
      </c>
      <c r="H695">
        <v>118</v>
      </c>
      <c r="I695">
        <f>Inventory_Data[[#This Row],[Opening_Stock]]+Inventory_Data[[#This Row],[Units_Received]]-Inventory_Data[[#This Row],[Units_Sold]]</f>
        <v>417</v>
      </c>
      <c r="J695">
        <v>0</v>
      </c>
      <c r="K695">
        <v>2</v>
      </c>
      <c r="L695" t="s">
        <v>80</v>
      </c>
      <c r="M695" s="3">
        <v>10.93</v>
      </c>
      <c r="N695" s="3">
        <v>13.32</v>
      </c>
      <c r="O695" s="10" t="str">
        <f>TEXT(Inventory_Data[[#This Row],[Date]],"mmm")</f>
        <v>May</v>
      </c>
    </row>
    <row r="696" spans="1:15" x14ac:dyDescent="0.2">
      <c r="A696" s="21">
        <v>45786</v>
      </c>
      <c r="B696" s="5" t="s">
        <v>122</v>
      </c>
      <c r="C696" t="s">
        <v>123</v>
      </c>
      <c r="D696" t="s">
        <v>27</v>
      </c>
      <c r="E696" t="s">
        <v>35</v>
      </c>
      <c r="F696">
        <v>290</v>
      </c>
      <c r="G696">
        <v>179</v>
      </c>
      <c r="H696">
        <v>56</v>
      </c>
      <c r="I696">
        <f>Inventory_Data[[#This Row],[Opening_Stock]]+Inventory_Data[[#This Row],[Units_Received]]-Inventory_Data[[#This Row],[Units_Sold]]</f>
        <v>413</v>
      </c>
      <c r="J696">
        <v>0</v>
      </c>
      <c r="K696">
        <v>2</v>
      </c>
      <c r="L696" t="s">
        <v>80</v>
      </c>
      <c r="M696" s="3">
        <v>4.41</v>
      </c>
      <c r="N696" s="3">
        <v>5.95</v>
      </c>
      <c r="O696" s="10" t="str">
        <f>TEXT(Inventory_Data[[#This Row],[Date]],"mmm")</f>
        <v>May</v>
      </c>
    </row>
    <row r="697" spans="1:15" x14ac:dyDescent="0.2">
      <c r="A697" s="21">
        <v>45786</v>
      </c>
      <c r="B697" s="5" t="s">
        <v>78</v>
      </c>
      <c r="C697" t="s">
        <v>79</v>
      </c>
      <c r="D697" t="s">
        <v>27</v>
      </c>
      <c r="E697" t="s">
        <v>21</v>
      </c>
      <c r="F697">
        <v>161</v>
      </c>
      <c r="G697">
        <v>116</v>
      </c>
      <c r="H697">
        <v>220</v>
      </c>
      <c r="I697">
        <f>Inventory_Data[[#This Row],[Opening_Stock]]+Inventory_Data[[#This Row],[Units_Received]]-Inventory_Data[[#This Row],[Units_Sold]]</f>
        <v>57</v>
      </c>
      <c r="J697">
        <v>0</v>
      </c>
      <c r="K697">
        <v>7</v>
      </c>
      <c r="L697" t="s">
        <v>66</v>
      </c>
      <c r="M697" s="3">
        <v>14.87</v>
      </c>
      <c r="N697" s="3">
        <v>21.19</v>
      </c>
      <c r="O697" s="10" t="str">
        <f>TEXT(Inventory_Data[[#This Row],[Date]],"mmm")</f>
        <v>May</v>
      </c>
    </row>
    <row r="698" spans="1:15" x14ac:dyDescent="0.2">
      <c r="A698" s="21">
        <v>45787</v>
      </c>
      <c r="B698" s="5" t="s">
        <v>178</v>
      </c>
      <c r="C698" t="s">
        <v>179</v>
      </c>
      <c r="D698" t="s">
        <v>16</v>
      </c>
      <c r="E698" t="s">
        <v>35</v>
      </c>
      <c r="F698">
        <v>73</v>
      </c>
      <c r="G698">
        <v>40</v>
      </c>
      <c r="H698">
        <v>62</v>
      </c>
      <c r="I698">
        <f>Inventory_Data[[#This Row],[Opening_Stock]]+Inventory_Data[[#This Row],[Units_Received]]-Inventory_Data[[#This Row],[Units_Sold]]</f>
        <v>51</v>
      </c>
      <c r="J698">
        <v>0</v>
      </c>
      <c r="K698">
        <v>9</v>
      </c>
      <c r="L698" t="s">
        <v>18</v>
      </c>
      <c r="M698" s="3">
        <v>15.75</v>
      </c>
      <c r="N698" s="3">
        <v>20.13</v>
      </c>
      <c r="O698" s="10" t="str">
        <f>TEXT(Inventory_Data[[#This Row],[Date]],"mmm")</f>
        <v>May</v>
      </c>
    </row>
    <row r="699" spans="1:15" x14ac:dyDescent="0.2">
      <c r="A699" s="21">
        <v>45787</v>
      </c>
      <c r="B699" s="5" t="s">
        <v>130</v>
      </c>
      <c r="C699" t="s">
        <v>131</v>
      </c>
      <c r="D699" t="s">
        <v>48</v>
      </c>
      <c r="E699" t="s">
        <v>35</v>
      </c>
      <c r="F699">
        <v>298</v>
      </c>
      <c r="G699">
        <v>38</v>
      </c>
      <c r="H699">
        <v>32</v>
      </c>
      <c r="I699">
        <f>Inventory_Data[[#This Row],[Opening_Stock]]+Inventory_Data[[#This Row],[Units_Received]]-Inventory_Data[[#This Row],[Units_Sold]]</f>
        <v>304</v>
      </c>
      <c r="J699">
        <v>0</v>
      </c>
      <c r="K699">
        <v>9</v>
      </c>
      <c r="L699" t="s">
        <v>77</v>
      </c>
      <c r="M699" s="3">
        <v>64.47</v>
      </c>
      <c r="N699" s="3">
        <v>93.27</v>
      </c>
      <c r="O699" s="10" t="str">
        <f>TEXT(Inventory_Data[[#This Row],[Date]],"mmm")</f>
        <v>May</v>
      </c>
    </row>
    <row r="700" spans="1:15" x14ac:dyDescent="0.2">
      <c r="A700" s="21">
        <v>45787</v>
      </c>
      <c r="B700" s="5" t="s">
        <v>92</v>
      </c>
      <c r="C700" t="s">
        <v>93</v>
      </c>
      <c r="D700" t="s">
        <v>27</v>
      </c>
      <c r="E700" t="s">
        <v>28</v>
      </c>
      <c r="F700">
        <v>171</v>
      </c>
      <c r="G700">
        <v>230</v>
      </c>
      <c r="H700">
        <v>43</v>
      </c>
      <c r="I700">
        <f>Inventory_Data[[#This Row],[Opening_Stock]]+Inventory_Data[[#This Row],[Units_Received]]-Inventory_Data[[#This Row],[Units_Sold]]</f>
        <v>358</v>
      </c>
      <c r="J700">
        <v>0</v>
      </c>
      <c r="K700">
        <v>5</v>
      </c>
      <c r="L700" t="s">
        <v>66</v>
      </c>
      <c r="M700" s="3">
        <v>12.21</v>
      </c>
      <c r="N700" s="3">
        <v>17.100000000000001</v>
      </c>
      <c r="O700" s="10" t="str">
        <f>TEXT(Inventory_Data[[#This Row],[Date]],"mmm")</f>
        <v>May</v>
      </c>
    </row>
    <row r="701" spans="1:15" x14ac:dyDescent="0.2">
      <c r="A701" s="21">
        <v>45787</v>
      </c>
      <c r="B701" s="5" t="s">
        <v>188</v>
      </c>
      <c r="C701" t="s">
        <v>189</v>
      </c>
      <c r="D701" t="s">
        <v>27</v>
      </c>
      <c r="E701" t="s">
        <v>28</v>
      </c>
      <c r="F701">
        <v>324</v>
      </c>
      <c r="G701">
        <v>69</v>
      </c>
      <c r="H701">
        <v>189</v>
      </c>
      <c r="I701">
        <f>Inventory_Data[[#This Row],[Opening_Stock]]+Inventory_Data[[#This Row],[Units_Received]]-Inventory_Data[[#This Row],[Units_Sold]]</f>
        <v>204</v>
      </c>
      <c r="J701">
        <v>0</v>
      </c>
      <c r="K701">
        <v>5</v>
      </c>
      <c r="L701" t="s">
        <v>29</v>
      </c>
      <c r="M701" s="3">
        <v>21.22</v>
      </c>
      <c r="N701" s="3">
        <v>27.55</v>
      </c>
      <c r="O701" s="10" t="str">
        <f>TEXT(Inventory_Data[[#This Row],[Date]],"mmm")</f>
        <v>May</v>
      </c>
    </row>
    <row r="702" spans="1:15" x14ac:dyDescent="0.2">
      <c r="A702" s="21">
        <v>45787</v>
      </c>
      <c r="B702" s="5" t="s">
        <v>172</v>
      </c>
      <c r="C702" t="s">
        <v>173</v>
      </c>
      <c r="D702" t="s">
        <v>27</v>
      </c>
      <c r="E702" t="s">
        <v>28</v>
      </c>
      <c r="F702">
        <v>165</v>
      </c>
      <c r="G702">
        <v>165</v>
      </c>
      <c r="H702">
        <v>155</v>
      </c>
      <c r="I702">
        <f>Inventory_Data[[#This Row],[Opening_Stock]]+Inventory_Data[[#This Row],[Units_Received]]-Inventory_Data[[#This Row],[Units_Sold]]</f>
        <v>175</v>
      </c>
      <c r="J702">
        <v>0</v>
      </c>
      <c r="K702">
        <v>1</v>
      </c>
      <c r="L702" t="s">
        <v>66</v>
      </c>
      <c r="M702" s="3">
        <v>18.73</v>
      </c>
      <c r="N702" s="3">
        <v>26.29</v>
      </c>
      <c r="O702" s="10" t="str">
        <f>TEXT(Inventory_Data[[#This Row],[Date]],"mmm")</f>
        <v>May</v>
      </c>
    </row>
    <row r="703" spans="1:15" x14ac:dyDescent="0.2">
      <c r="A703" s="21">
        <v>45787</v>
      </c>
      <c r="B703" s="5" t="s">
        <v>194</v>
      </c>
      <c r="C703" t="s">
        <v>195</v>
      </c>
      <c r="D703" t="s">
        <v>34</v>
      </c>
      <c r="E703" t="s">
        <v>35</v>
      </c>
      <c r="F703">
        <v>400</v>
      </c>
      <c r="G703">
        <v>54</v>
      </c>
      <c r="H703">
        <v>97</v>
      </c>
      <c r="I703">
        <f>Inventory_Data[[#This Row],[Opening_Stock]]+Inventory_Data[[#This Row],[Units_Received]]-Inventory_Data[[#This Row],[Units_Sold]]</f>
        <v>357</v>
      </c>
      <c r="J703">
        <v>0</v>
      </c>
      <c r="K703">
        <v>14</v>
      </c>
      <c r="L703" t="s">
        <v>39</v>
      </c>
      <c r="M703" s="3">
        <v>29.88</v>
      </c>
      <c r="N703" s="3">
        <v>37.81</v>
      </c>
      <c r="O703" s="10" t="str">
        <f>TEXT(Inventory_Data[[#This Row],[Date]],"mmm")</f>
        <v>May</v>
      </c>
    </row>
    <row r="704" spans="1:15" x14ac:dyDescent="0.2">
      <c r="A704" s="21">
        <v>45787</v>
      </c>
      <c r="B704" s="5" t="s">
        <v>196</v>
      </c>
      <c r="C704" t="s">
        <v>197</v>
      </c>
      <c r="D704" t="s">
        <v>34</v>
      </c>
      <c r="E704" t="s">
        <v>28</v>
      </c>
      <c r="F704">
        <v>270</v>
      </c>
      <c r="G704">
        <v>111</v>
      </c>
      <c r="H704">
        <v>169</v>
      </c>
      <c r="I704">
        <f>Inventory_Data[[#This Row],[Opening_Stock]]+Inventory_Data[[#This Row],[Units_Received]]-Inventory_Data[[#This Row],[Units_Sold]]</f>
        <v>212</v>
      </c>
      <c r="J704">
        <v>0</v>
      </c>
      <c r="K704">
        <v>7</v>
      </c>
      <c r="L704" t="s">
        <v>36</v>
      </c>
      <c r="M704" s="3">
        <v>25.87</v>
      </c>
      <c r="N704" s="3">
        <v>29.75</v>
      </c>
      <c r="O704" s="10" t="str">
        <f>TEXT(Inventory_Data[[#This Row],[Date]],"mmm")</f>
        <v>May</v>
      </c>
    </row>
    <row r="705" spans="1:15" x14ac:dyDescent="0.2">
      <c r="A705" s="21">
        <v>45788</v>
      </c>
      <c r="B705" s="5" t="s">
        <v>130</v>
      </c>
      <c r="C705" t="s">
        <v>131</v>
      </c>
      <c r="D705" t="s">
        <v>48</v>
      </c>
      <c r="E705" t="s">
        <v>35</v>
      </c>
      <c r="F705">
        <v>235</v>
      </c>
      <c r="G705">
        <v>32</v>
      </c>
      <c r="H705">
        <v>58</v>
      </c>
      <c r="I705">
        <f>Inventory_Data[[#This Row],[Opening_Stock]]+Inventory_Data[[#This Row],[Units_Received]]-Inventory_Data[[#This Row],[Units_Sold]]</f>
        <v>209</v>
      </c>
      <c r="J705">
        <v>0</v>
      </c>
      <c r="K705">
        <v>13</v>
      </c>
      <c r="L705" t="s">
        <v>63</v>
      </c>
      <c r="M705" s="3">
        <v>13.54</v>
      </c>
      <c r="N705" s="3">
        <v>19.91</v>
      </c>
      <c r="O705" s="10" t="str">
        <f>TEXT(Inventory_Data[[#This Row],[Date]],"mmm")</f>
        <v>May</v>
      </c>
    </row>
    <row r="706" spans="1:15" x14ac:dyDescent="0.2">
      <c r="A706" s="21">
        <v>45788</v>
      </c>
      <c r="B706" s="5" t="s">
        <v>170</v>
      </c>
      <c r="C706" t="s">
        <v>171</v>
      </c>
      <c r="D706" t="s">
        <v>48</v>
      </c>
      <c r="E706" t="s">
        <v>28</v>
      </c>
      <c r="F706">
        <v>213</v>
      </c>
      <c r="G706">
        <v>92</v>
      </c>
      <c r="H706">
        <v>93</v>
      </c>
      <c r="I706">
        <f>Inventory_Data[[#This Row],[Opening_Stock]]+Inventory_Data[[#This Row],[Units_Received]]-Inventory_Data[[#This Row],[Units_Sold]]</f>
        <v>212</v>
      </c>
      <c r="J706">
        <v>0</v>
      </c>
      <c r="K706">
        <v>12</v>
      </c>
      <c r="L706" t="s">
        <v>77</v>
      </c>
      <c r="M706" s="3">
        <v>66.72</v>
      </c>
      <c r="N706" s="3">
        <v>85.92</v>
      </c>
      <c r="O706" s="10" t="str">
        <f>TEXT(Inventory_Data[[#This Row],[Date]],"mmm")</f>
        <v>May</v>
      </c>
    </row>
    <row r="707" spans="1:15" x14ac:dyDescent="0.2">
      <c r="A707" s="21">
        <v>45788</v>
      </c>
      <c r="B707" s="5" t="s">
        <v>75</v>
      </c>
      <c r="C707" t="s">
        <v>76</v>
      </c>
      <c r="D707" t="s">
        <v>48</v>
      </c>
      <c r="E707" t="s">
        <v>35</v>
      </c>
      <c r="F707">
        <v>297</v>
      </c>
      <c r="G707">
        <v>38</v>
      </c>
      <c r="H707">
        <v>29</v>
      </c>
      <c r="I707">
        <f>Inventory_Data[[#This Row],[Opening_Stock]]+Inventory_Data[[#This Row],[Units_Received]]-Inventory_Data[[#This Row],[Units_Sold]]</f>
        <v>306</v>
      </c>
      <c r="J707">
        <v>0</v>
      </c>
      <c r="K707">
        <v>11</v>
      </c>
      <c r="L707" t="s">
        <v>63</v>
      </c>
      <c r="M707" s="3">
        <v>69.37</v>
      </c>
      <c r="N707" s="3">
        <v>106.45</v>
      </c>
      <c r="O707" s="10" t="str">
        <f>TEXT(Inventory_Data[[#This Row],[Date]],"mmm")</f>
        <v>May</v>
      </c>
    </row>
    <row r="708" spans="1:15" x14ac:dyDescent="0.2">
      <c r="A708" s="21">
        <v>45788</v>
      </c>
      <c r="B708" s="5" t="s">
        <v>188</v>
      </c>
      <c r="C708" t="s">
        <v>189</v>
      </c>
      <c r="D708" t="s">
        <v>27</v>
      </c>
      <c r="E708" t="s">
        <v>17</v>
      </c>
      <c r="F708">
        <v>301</v>
      </c>
      <c r="G708">
        <v>146</v>
      </c>
      <c r="H708">
        <v>187</v>
      </c>
      <c r="I708">
        <f>Inventory_Data[[#This Row],[Opening_Stock]]+Inventory_Data[[#This Row],[Units_Received]]-Inventory_Data[[#This Row],[Units_Sold]]</f>
        <v>260</v>
      </c>
      <c r="J708">
        <v>0</v>
      </c>
      <c r="K708">
        <v>5</v>
      </c>
      <c r="L708" t="s">
        <v>29</v>
      </c>
      <c r="M708" s="3">
        <v>20.54</v>
      </c>
      <c r="N708" s="3">
        <v>26</v>
      </c>
      <c r="O708" s="10" t="str">
        <f>TEXT(Inventory_Data[[#This Row],[Date]],"mmm")</f>
        <v>May</v>
      </c>
    </row>
    <row r="709" spans="1:15" x14ac:dyDescent="0.2">
      <c r="A709" s="21">
        <v>45788</v>
      </c>
      <c r="B709" s="5" t="s">
        <v>114</v>
      </c>
      <c r="C709" t="s">
        <v>115</v>
      </c>
      <c r="D709" t="s">
        <v>27</v>
      </c>
      <c r="E709" t="s">
        <v>35</v>
      </c>
      <c r="F709">
        <v>294</v>
      </c>
      <c r="G709">
        <v>99</v>
      </c>
      <c r="H709">
        <v>109</v>
      </c>
      <c r="I709">
        <f>Inventory_Data[[#This Row],[Opening_Stock]]+Inventory_Data[[#This Row],[Units_Received]]-Inventory_Data[[#This Row],[Units_Sold]]</f>
        <v>284</v>
      </c>
      <c r="J709">
        <v>0</v>
      </c>
      <c r="K709">
        <v>4</v>
      </c>
      <c r="L709" t="s">
        <v>66</v>
      </c>
      <c r="M709" s="3">
        <v>22.42</v>
      </c>
      <c r="N709" s="3">
        <v>28.64</v>
      </c>
      <c r="O709" s="10" t="str">
        <f>TEXT(Inventory_Data[[#This Row],[Date]],"mmm")</f>
        <v>May</v>
      </c>
    </row>
    <row r="710" spans="1:15" x14ac:dyDescent="0.2">
      <c r="A710" s="21">
        <v>45788</v>
      </c>
      <c r="B710" s="5" t="s">
        <v>134</v>
      </c>
      <c r="C710" t="s">
        <v>135</v>
      </c>
      <c r="D710" t="s">
        <v>27</v>
      </c>
      <c r="E710" t="s">
        <v>21</v>
      </c>
      <c r="F710">
        <v>206</v>
      </c>
      <c r="G710">
        <v>114</v>
      </c>
      <c r="H710">
        <v>81</v>
      </c>
      <c r="I710">
        <f>Inventory_Data[[#This Row],[Opening_Stock]]+Inventory_Data[[#This Row],[Units_Received]]-Inventory_Data[[#This Row],[Units_Sold]]</f>
        <v>239</v>
      </c>
      <c r="J710">
        <v>0</v>
      </c>
      <c r="K710">
        <v>6</v>
      </c>
      <c r="L710" t="s">
        <v>66</v>
      </c>
      <c r="M710" s="3">
        <v>5.82</v>
      </c>
      <c r="N710" s="3">
        <v>7.04</v>
      </c>
      <c r="O710" s="10" t="str">
        <f>TEXT(Inventory_Data[[#This Row],[Date]],"mmm")</f>
        <v>May</v>
      </c>
    </row>
    <row r="711" spans="1:15" x14ac:dyDescent="0.2">
      <c r="A711" s="21">
        <v>45788</v>
      </c>
      <c r="B711" s="5" t="s">
        <v>158</v>
      </c>
      <c r="C711" t="s">
        <v>159</v>
      </c>
      <c r="D711" t="s">
        <v>52</v>
      </c>
      <c r="E711" t="s">
        <v>35</v>
      </c>
      <c r="F711">
        <v>24</v>
      </c>
      <c r="G711">
        <v>19</v>
      </c>
      <c r="H711">
        <v>11</v>
      </c>
      <c r="I711">
        <f>Inventory_Data[[#This Row],[Opening_Stock]]+Inventory_Data[[#This Row],[Units_Received]]-Inventory_Data[[#This Row],[Units_Sold]]</f>
        <v>32</v>
      </c>
      <c r="J711">
        <v>0</v>
      </c>
      <c r="K711">
        <v>5</v>
      </c>
      <c r="L711" t="s">
        <v>56</v>
      </c>
      <c r="M711" s="3">
        <v>66.599999999999994</v>
      </c>
      <c r="N711" s="3">
        <v>100.09</v>
      </c>
      <c r="O711" s="10" t="str">
        <f>TEXT(Inventory_Data[[#This Row],[Date]],"mmm")</f>
        <v>May</v>
      </c>
    </row>
    <row r="712" spans="1:15" x14ac:dyDescent="0.2">
      <c r="A712" s="21">
        <v>45788</v>
      </c>
      <c r="B712" s="5" t="s">
        <v>124</v>
      </c>
      <c r="C712" t="s">
        <v>125</v>
      </c>
      <c r="D712" t="s">
        <v>52</v>
      </c>
      <c r="E712" t="s">
        <v>35</v>
      </c>
      <c r="F712">
        <v>74</v>
      </c>
      <c r="G712">
        <v>18</v>
      </c>
      <c r="H712">
        <v>15</v>
      </c>
      <c r="I712">
        <f>Inventory_Data[[#This Row],[Opening_Stock]]+Inventory_Data[[#This Row],[Units_Received]]-Inventory_Data[[#This Row],[Units_Sold]]</f>
        <v>77</v>
      </c>
      <c r="J712">
        <v>0</v>
      </c>
      <c r="K712">
        <v>5</v>
      </c>
      <c r="L712" t="s">
        <v>53</v>
      </c>
      <c r="M712" s="3">
        <v>134.63999999999999</v>
      </c>
      <c r="N712" s="3">
        <v>193.88</v>
      </c>
      <c r="O712" s="10" t="str">
        <f>TEXT(Inventory_Data[[#This Row],[Date]],"mmm")</f>
        <v>May</v>
      </c>
    </row>
    <row r="713" spans="1:15" x14ac:dyDescent="0.2">
      <c r="A713" s="21">
        <v>45788</v>
      </c>
      <c r="B713" s="5" t="s">
        <v>102</v>
      </c>
      <c r="C713" t="s">
        <v>103</v>
      </c>
      <c r="D713" t="s">
        <v>52</v>
      </c>
      <c r="E713" t="s">
        <v>28</v>
      </c>
      <c r="F713">
        <v>32</v>
      </c>
      <c r="G713">
        <v>20</v>
      </c>
      <c r="H713">
        <v>13</v>
      </c>
      <c r="I713">
        <f>Inventory_Data[[#This Row],[Opening_Stock]]+Inventory_Data[[#This Row],[Units_Received]]-Inventory_Data[[#This Row],[Units_Sold]]</f>
        <v>39</v>
      </c>
      <c r="J713">
        <v>0</v>
      </c>
      <c r="K713">
        <v>12</v>
      </c>
      <c r="L713" t="s">
        <v>83</v>
      </c>
      <c r="M713" s="3">
        <v>147.09</v>
      </c>
      <c r="N713" s="3">
        <v>186.62</v>
      </c>
      <c r="O713" s="10" t="str">
        <f>TEXT(Inventory_Data[[#This Row],[Date]],"mmm")</f>
        <v>May</v>
      </c>
    </row>
    <row r="714" spans="1:15" x14ac:dyDescent="0.2">
      <c r="A714" s="21">
        <v>45789</v>
      </c>
      <c r="B714" s="5" t="s">
        <v>192</v>
      </c>
      <c r="C714" t="s">
        <v>193</v>
      </c>
      <c r="D714" t="s">
        <v>48</v>
      </c>
      <c r="E714" t="s">
        <v>35</v>
      </c>
      <c r="F714">
        <v>170</v>
      </c>
      <c r="G714">
        <v>134</v>
      </c>
      <c r="H714">
        <v>115</v>
      </c>
      <c r="I714">
        <f>Inventory_Data[[#This Row],[Opening_Stock]]+Inventory_Data[[#This Row],[Units_Received]]-Inventory_Data[[#This Row],[Units_Sold]]</f>
        <v>189</v>
      </c>
      <c r="J714">
        <v>0</v>
      </c>
      <c r="K714">
        <v>4</v>
      </c>
      <c r="L714" t="s">
        <v>49</v>
      </c>
      <c r="M714" s="3">
        <v>86.65</v>
      </c>
      <c r="N714" s="3">
        <v>131.91999999999999</v>
      </c>
      <c r="O714" s="10" t="str">
        <f>TEXT(Inventory_Data[[#This Row],[Date]],"mmm")</f>
        <v>May</v>
      </c>
    </row>
    <row r="715" spans="1:15" x14ac:dyDescent="0.2">
      <c r="A715" s="21">
        <v>45789</v>
      </c>
      <c r="B715" s="5" t="s">
        <v>92</v>
      </c>
      <c r="C715" t="s">
        <v>93</v>
      </c>
      <c r="D715" t="s">
        <v>27</v>
      </c>
      <c r="E715" t="s">
        <v>28</v>
      </c>
      <c r="F715">
        <v>376</v>
      </c>
      <c r="G715">
        <v>173</v>
      </c>
      <c r="H715">
        <v>94</v>
      </c>
      <c r="I715">
        <f>Inventory_Data[[#This Row],[Opening_Stock]]+Inventory_Data[[#This Row],[Units_Received]]-Inventory_Data[[#This Row],[Units_Sold]]</f>
        <v>455</v>
      </c>
      <c r="J715">
        <v>0</v>
      </c>
      <c r="K715">
        <v>1</v>
      </c>
      <c r="L715" t="s">
        <v>66</v>
      </c>
      <c r="M715" s="3">
        <v>7.58</v>
      </c>
      <c r="N715" s="3">
        <v>8.99</v>
      </c>
      <c r="O715" s="10" t="str">
        <f>TEXT(Inventory_Data[[#This Row],[Date]],"mmm")</f>
        <v>May</v>
      </c>
    </row>
    <row r="716" spans="1:15" x14ac:dyDescent="0.2">
      <c r="A716" s="21">
        <v>45789</v>
      </c>
      <c r="B716" s="5" t="s">
        <v>50</v>
      </c>
      <c r="C716" t="s">
        <v>51</v>
      </c>
      <c r="D716" t="s">
        <v>52</v>
      </c>
      <c r="E716" t="s">
        <v>35</v>
      </c>
      <c r="F716">
        <v>55</v>
      </c>
      <c r="G716">
        <v>18</v>
      </c>
      <c r="H716">
        <v>13</v>
      </c>
      <c r="I716">
        <f>Inventory_Data[[#This Row],[Opening_Stock]]+Inventory_Data[[#This Row],[Units_Received]]-Inventory_Data[[#This Row],[Units_Sold]]</f>
        <v>60</v>
      </c>
      <c r="J716">
        <v>0</v>
      </c>
      <c r="K716">
        <v>2</v>
      </c>
      <c r="L716" t="s">
        <v>83</v>
      </c>
      <c r="M716" s="3">
        <v>118.27</v>
      </c>
      <c r="N716" s="3">
        <v>147.83000000000001</v>
      </c>
      <c r="O716" s="10" t="str">
        <f>TEXT(Inventory_Data[[#This Row],[Date]],"mmm")</f>
        <v>May</v>
      </c>
    </row>
    <row r="717" spans="1:15" x14ac:dyDescent="0.2">
      <c r="A717" s="21">
        <v>45790</v>
      </c>
      <c r="B717" s="5" t="s">
        <v>120</v>
      </c>
      <c r="C717" t="s">
        <v>121</v>
      </c>
      <c r="D717" t="s">
        <v>16</v>
      </c>
      <c r="E717" t="s">
        <v>35</v>
      </c>
      <c r="F717">
        <v>86</v>
      </c>
      <c r="G717">
        <v>16</v>
      </c>
      <c r="H717">
        <v>27</v>
      </c>
      <c r="I717">
        <f>Inventory_Data[[#This Row],[Opening_Stock]]+Inventory_Data[[#This Row],[Units_Received]]-Inventory_Data[[#This Row],[Units_Sold]]</f>
        <v>75</v>
      </c>
      <c r="J717">
        <v>0</v>
      </c>
      <c r="K717">
        <v>14</v>
      </c>
      <c r="L717" t="s">
        <v>18</v>
      </c>
      <c r="M717" s="3">
        <v>59.18</v>
      </c>
      <c r="N717" s="3">
        <v>73.290000000000006</v>
      </c>
      <c r="O717" s="10" t="str">
        <f>TEXT(Inventory_Data[[#This Row],[Date]],"mmm")</f>
        <v>May</v>
      </c>
    </row>
    <row r="718" spans="1:15" x14ac:dyDescent="0.2">
      <c r="A718" s="21">
        <v>45790</v>
      </c>
      <c r="B718" s="5" t="s">
        <v>108</v>
      </c>
      <c r="C718" t="s">
        <v>109</v>
      </c>
      <c r="D718" t="s">
        <v>16</v>
      </c>
      <c r="E718" t="s">
        <v>21</v>
      </c>
      <c r="F718">
        <v>37</v>
      </c>
      <c r="G718">
        <v>12</v>
      </c>
      <c r="H718">
        <v>11</v>
      </c>
      <c r="I718">
        <f>Inventory_Data[[#This Row],[Opening_Stock]]+Inventory_Data[[#This Row],[Units_Received]]-Inventory_Data[[#This Row],[Units_Sold]]</f>
        <v>38</v>
      </c>
      <c r="J718">
        <v>0</v>
      </c>
      <c r="K718">
        <v>12</v>
      </c>
      <c r="L718" t="s">
        <v>18</v>
      </c>
      <c r="M718" s="3">
        <v>109.16</v>
      </c>
      <c r="N718" s="3">
        <v>158.37</v>
      </c>
      <c r="O718" s="10" t="str">
        <f>TEXT(Inventory_Data[[#This Row],[Date]],"mmm")</f>
        <v>May</v>
      </c>
    </row>
    <row r="719" spans="1:15" x14ac:dyDescent="0.2">
      <c r="A719" s="21">
        <v>45790</v>
      </c>
      <c r="B719" s="5" t="s">
        <v>90</v>
      </c>
      <c r="C719" t="s">
        <v>91</v>
      </c>
      <c r="D719" t="s">
        <v>48</v>
      </c>
      <c r="E719" t="s">
        <v>21</v>
      </c>
      <c r="F719">
        <v>78</v>
      </c>
      <c r="G719">
        <v>52</v>
      </c>
      <c r="H719">
        <v>27</v>
      </c>
      <c r="I719">
        <f>Inventory_Data[[#This Row],[Opening_Stock]]+Inventory_Data[[#This Row],[Units_Received]]-Inventory_Data[[#This Row],[Units_Sold]]</f>
        <v>103</v>
      </c>
      <c r="J719">
        <v>0</v>
      </c>
      <c r="K719">
        <v>9</v>
      </c>
      <c r="L719" t="s">
        <v>49</v>
      </c>
      <c r="M719" s="3">
        <v>69.510000000000005</v>
      </c>
      <c r="N719" s="3">
        <v>92.64</v>
      </c>
      <c r="O719" s="10" t="str">
        <f>TEXT(Inventory_Data[[#This Row],[Date]],"mmm")</f>
        <v>May</v>
      </c>
    </row>
    <row r="720" spans="1:15" x14ac:dyDescent="0.2">
      <c r="A720" s="21">
        <v>45790</v>
      </c>
      <c r="B720" s="5" t="s">
        <v>156</v>
      </c>
      <c r="C720" t="s">
        <v>157</v>
      </c>
      <c r="D720" t="s">
        <v>27</v>
      </c>
      <c r="E720" t="s">
        <v>28</v>
      </c>
      <c r="F720">
        <v>336</v>
      </c>
      <c r="G720">
        <v>183</v>
      </c>
      <c r="H720">
        <v>184</v>
      </c>
      <c r="I720">
        <f>Inventory_Data[[#This Row],[Opening_Stock]]+Inventory_Data[[#This Row],[Units_Received]]-Inventory_Data[[#This Row],[Units_Sold]]</f>
        <v>335</v>
      </c>
      <c r="J720">
        <v>0</v>
      </c>
      <c r="K720">
        <v>3</v>
      </c>
      <c r="L720" t="s">
        <v>80</v>
      </c>
      <c r="M720" s="3">
        <v>22</v>
      </c>
      <c r="N720" s="3">
        <v>33.14</v>
      </c>
      <c r="O720" s="10" t="str">
        <f>TEXT(Inventory_Data[[#This Row],[Date]],"mmm")</f>
        <v>May</v>
      </c>
    </row>
    <row r="721" spans="1:15" x14ac:dyDescent="0.2">
      <c r="A721" s="21">
        <v>45790</v>
      </c>
      <c r="B721" s="5" t="s">
        <v>172</v>
      </c>
      <c r="C721" t="s">
        <v>173</v>
      </c>
      <c r="D721" t="s">
        <v>27</v>
      </c>
      <c r="E721" t="s">
        <v>28</v>
      </c>
      <c r="F721">
        <v>465</v>
      </c>
      <c r="G721">
        <v>53</v>
      </c>
      <c r="H721">
        <v>20</v>
      </c>
      <c r="I721">
        <f>Inventory_Data[[#This Row],[Opening_Stock]]+Inventory_Data[[#This Row],[Units_Received]]-Inventory_Data[[#This Row],[Units_Sold]]</f>
        <v>498</v>
      </c>
      <c r="J721">
        <v>0</v>
      </c>
      <c r="K721">
        <v>2</v>
      </c>
      <c r="L721" t="s">
        <v>80</v>
      </c>
      <c r="M721" s="3">
        <v>22.95</v>
      </c>
      <c r="N721" s="3">
        <v>35.049999999999997</v>
      </c>
      <c r="O721" s="10" t="str">
        <f>TEXT(Inventory_Data[[#This Row],[Date]],"mmm")</f>
        <v>May</v>
      </c>
    </row>
    <row r="722" spans="1:15" x14ac:dyDescent="0.2">
      <c r="A722" s="21">
        <v>45790</v>
      </c>
      <c r="B722" s="5" t="s">
        <v>134</v>
      </c>
      <c r="C722" t="s">
        <v>135</v>
      </c>
      <c r="D722" t="s">
        <v>27</v>
      </c>
      <c r="E722" t="s">
        <v>28</v>
      </c>
      <c r="F722">
        <v>228</v>
      </c>
      <c r="G722">
        <v>133</v>
      </c>
      <c r="H722">
        <v>209</v>
      </c>
      <c r="I722">
        <f>Inventory_Data[[#This Row],[Opening_Stock]]+Inventory_Data[[#This Row],[Units_Received]]-Inventory_Data[[#This Row],[Units_Sold]]</f>
        <v>152</v>
      </c>
      <c r="J722">
        <v>0</v>
      </c>
      <c r="K722">
        <v>3</v>
      </c>
      <c r="L722" t="s">
        <v>80</v>
      </c>
      <c r="M722" s="3">
        <v>9.83</v>
      </c>
      <c r="N722" s="3">
        <v>13.75</v>
      </c>
      <c r="O722" s="10" t="str">
        <f>TEXT(Inventory_Data[[#This Row],[Date]],"mmm")</f>
        <v>May</v>
      </c>
    </row>
    <row r="723" spans="1:15" x14ac:dyDescent="0.2">
      <c r="A723" s="21">
        <v>45790</v>
      </c>
      <c r="B723" s="5" t="s">
        <v>102</v>
      </c>
      <c r="C723" t="s">
        <v>103</v>
      </c>
      <c r="D723" t="s">
        <v>52</v>
      </c>
      <c r="E723" t="s">
        <v>21</v>
      </c>
      <c r="F723">
        <v>43</v>
      </c>
      <c r="G723">
        <v>24</v>
      </c>
      <c r="H723">
        <v>13</v>
      </c>
      <c r="I723">
        <f>Inventory_Data[[#This Row],[Opening_Stock]]+Inventory_Data[[#This Row],[Units_Received]]-Inventory_Data[[#This Row],[Units_Sold]]</f>
        <v>54</v>
      </c>
      <c r="J723">
        <v>0</v>
      </c>
      <c r="K723">
        <v>12</v>
      </c>
      <c r="L723" t="s">
        <v>56</v>
      </c>
      <c r="M723" s="3">
        <v>43.49</v>
      </c>
      <c r="N723" s="3">
        <v>50.93</v>
      </c>
      <c r="O723" s="10" t="str">
        <f>TEXT(Inventory_Data[[#This Row],[Date]],"mmm")</f>
        <v>May</v>
      </c>
    </row>
    <row r="724" spans="1:15" x14ac:dyDescent="0.2">
      <c r="A724" s="21">
        <v>45790</v>
      </c>
      <c r="B724" s="5" t="s">
        <v>59</v>
      </c>
      <c r="C724" t="s">
        <v>60</v>
      </c>
      <c r="D724" t="s">
        <v>34</v>
      </c>
      <c r="E724" t="s">
        <v>35</v>
      </c>
      <c r="F724">
        <v>141</v>
      </c>
      <c r="G724">
        <v>201</v>
      </c>
      <c r="H724">
        <v>86</v>
      </c>
      <c r="I724">
        <f>Inventory_Data[[#This Row],[Opening_Stock]]+Inventory_Data[[#This Row],[Units_Received]]-Inventory_Data[[#This Row],[Units_Sold]]</f>
        <v>256</v>
      </c>
      <c r="J724">
        <v>0</v>
      </c>
      <c r="K724">
        <v>7</v>
      </c>
      <c r="L724" t="s">
        <v>42</v>
      </c>
      <c r="M724" s="3">
        <v>27.85</v>
      </c>
      <c r="N724" s="3">
        <v>39.380000000000003</v>
      </c>
      <c r="O724" s="10" t="str">
        <f>TEXT(Inventory_Data[[#This Row],[Date]],"mmm")</f>
        <v>May</v>
      </c>
    </row>
    <row r="725" spans="1:15" x14ac:dyDescent="0.2">
      <c r="A725" s="21">
        <v>45791</v>
      </c>
      <c r="B725" s="5" t="s">
        <v>162</v>
      </c>
      <c r="C725" t="s">
        <v>163</v>
      </c>
      <c r="D725" t="s">
        <v>16</v>
      </c>
      <c r="E725" t="s">
        <v>35</v>
      </c>
      <c r="F725">
        <v>82</v>
      </c>
      <c r="G725">
        <v>57</v>
      </c>
      <c r="H725">
        <v>52</v>
      </c>
      <c r="I725">
        <f>Inventory_Data[[#This Row],[Opening_Stock]]+Inventory_Data[[#This Row],[Units_Received]]-Inventory_Data[[#This Row],[Units_Sold]]</f>
        <v>87</v>
      </c>
      <c r="J725">
        <v>0</v>
      </c>
      <c r="K725">
        <v>14</v>
      </c>
      <c r="L725" t="s">
        <v>45</v>
      </c>
      <c r="M725" s="3">
        <v>56.07</v>
      </c>
      <c r="N725" s="3">
        <v>86.7</v>
      </c>
      <c r="O725" s="10" t="str">
        <f>TEXT(Inventory_Data[[#This Row],[Date]],"mmm")</f>
        <v>May</v>
      </c>
    </row>
    <row r="726" spans="1:15" x14ac:dyDescent="0.2">
      <c r="A726" s="21">
        <v>45791</v>
      </c>
      <c r="B726" s="5" t="s">
        <v>112</v>
      </c>
      <c r="C726" t="s">
        <v>113</v>
      </c>
      <c r="D726" t="s">
        <v>16</v>
      </c>
      <c r="E726" t="s">
        <v>28</v>
      </c>
      <c r="F726">
        <v>94</v>
      </c>
      <c r="G726">
        <v>38</v>
      </c>
      <c r="H726">
        <v>66</v>
      </c>
      <c r="I726">
        <f>Inventory_Data[[#This Row],[Opening_Stock]]+Inventory_Data[[#This Row],[Units_Received]]-Inventory_Data[[#This Row],[Units_Sold]]</f>
        <v>66</v>
      </c>
      <c r="J726">
        <v>0</v>
      </c>
      <c r="K726">
        <v>10</v>
      </c>
      <c r="L726" t="s">
        <v>18</v>
      </c>
      <c r="M726" s="3">
        <v>87.48</v>
      </c>
      <c r="N726" s="3">
        <v>105.24</v>
      </c>
      <c r="O726" s="10" t="str">
        <f>TEXT(Inventory_Data[[#This Row],[Date]],"mmm")</f>
        <v>May</v>
      </c>
    </row>
    <row r="727" spans="1:15" x14ac:dyDescent="0.2">
      <c r="A727" s="21">
        <v>45791</v>
      </c>
      <c r="B727" s="5" t="s">
        <v>30</v>
      </c>
      <c r="C727" t="s">
        <v>31</v>
      </c>
      <c r="D727" t="s">
        <v>27</v>
      </c>
      <c r="E727" t="s">
        <v>28</v>
      </c>
      <c r="F727">
        <v>472</v>
      </c>
      <c r="G727">
        <v>144</v>
      </c>
      <c r="H727">
        <v>169</v>
      </c>
      <c r="I727">
        <f>Inventory_Data[[#This Row],[Opening_Stock]]+Inventory_Data[[#This Row],[Units_Received]]-Inventory_Data[[#This Row],[Units_Sold]]</f>
        <v>447</v>
      </c>
      <c r="J727">
        <v>0</v>
      </c>
      <c r="K727">
        <v>2</v>
      </c>
      <c r="L727" t="s">
        <v>80</v>
      </c>
      <c r="M727" s="3">
        <v>20.95</v>
      </c>
      <c r="N727" s="3">
        <v>31.27</v>
      </c>
      <c r="O727" s="10" t="str">
        <f>TEXT(Inventory_Data[[#This Row],[Date]],"mmm")</f>
        <v>May</v>
      </c>
    </row>
    <row r="728" spans="1:15" x14ac:dyDescent="0.2">
      <c r="A728" s="21">
        <v>45791</v>
      </c>
      <c r="B728" s="5" t="s">
        <v>148</v>
      </c>
      <c r="C728" t="s">
        <v>149</v>
      </c>
      <c r="D728" t="s">
        <v>27</v>
      </c>
      <c r="E728" t="s">
        <v>28</v>
      </c>
      <c r="F728">
        <v>184</v>
      </c>
      <c r="G728">
        <v>107</v>
      </c>
      <c r="H728">
        <v>44</v>
      </c>
      <c r="I728">
        <f>Inventory_Data[[#This Row],[Opening_Stock]]+Inventory_Data[[#This Row],[Units_Received]]-Inventory_Data[[#This Row],[Units_Sold]]</f>
        <v>247</v>
      </c>
      <c r="J728">
        <v>0</v>
      </c>
      <c r="K728">
        <v>7</v>
      </c>
      <c r="L728" t="s">
        <v>80</v>
      </c>
      <c r="M728" s="3">
        <v>2.0099999999999998</v>
      </c>
      <c r="N728" s="3">
        <v>2.41</v>
      </c>
      <c r="O728" s="10" t="str">
        <f>TEXT(Inventory_Data[[#This Row],[Date]],"mmm")</f>
        <v>May</v>
      </c>
    </row>
    <row r="729" spans="1:15" x14ac:dyDescent="0.2">
      <c r="A729" s="21">
        <v>45791</v>
      </c>
      <c r="B729" s="5" t="s">
        <v>100</v>
      </c>
      <c r="C729" t="s">
        <v>101</v>
      </c>
      <c r="D729" t="s">
        <v>52</v>
      </c>
      <c r="E729" t="s">
        <v>35</v>
      </c>
      <c r="F729">
        <v>47</v>
      </c>
      <c r="G729">
        <v>15</v>
      </c>
      <c r="H729">
        <v>4</v>
      </c>
      <c r="I729">
        <f>Inventory_Data[[#This Row],[Opening_Stock]]+Inventory_Data[[#This Row],[Units_Received]]-Inventory_Data[[#This Row],[Units_Sold]]</f>
        <v>58</v>
      </c>
      <c r="J729">
        <v>0</v>
      </c>
      <c r="K729">
        <v>6</v>
      </c>
      <c r="L729" t="s">
        <v>56</v>
      </c>
      <c r="M729" s="3">
        <v>202.66</v>
      </c>
      <c r="N729" s="3">
        <v>263.89999999999998</v>
      </c>
      <c r="O729" s="10" t="str">
        <f>TEXT(Inventory_Data[[#This Row],[Date]],"mmm")</f>
        <v>May</v>
      </c>
    </row>
    <row r="730" spans="1:15" x14ac:dyDescent="0.2">
      <c r="A730" s="21">
        <v>45791</v>
      </c>
      <c r="B730" s="5" t="s">
        <v>100</v>
      </c>
      <c r="C730" t="s">
        <v>101</v>
      </c>
      <c r="D730" t="s">
        <v>52</v>
      </c>
      <c r="E730" t="s">
        <v>21</v>
      </c>
      <c r="F730">
        <v>68</v>
      </c>
      <c r="G730">
        <v>8</v>
      </c>
      <c r="H730">
        <v>9</v>
      </c>
      <c r="I730">
        <f>Inventory_Data[[#This Row],[Opening_Stock]]+Inventory_Data[[#This Row],[Units_Received]]-Inventory_Data[[#This Row],[Units_Sold]]</f>
        <v>67</v>
      </c>
      <c r="J730">
        <v>0</v>
      </c>
      <c r="K730">
        <v>14</v>
      </c>
      <c r="L730" t="s">
        <v>83</v>
      </c>
      <c r="M730" s="3">
        <v>254.14</v>
      </c>
      <c r="N730" s="3">
        <v>367.69</v>
      </c>
      <c r="O730" s="10" t="str">
        <f>TEXT(Inventory_Data[[#This Row],[Date]],"mmm")</f>
        <v>May</v>
      </c>
    </row>
    <row r="731" spans="1:15" x14ac:dyDescent="0.2">
      <c r="A731" s="21">
        <v>45791</v>
      </c>
      <c r="B731" s="5" t="s">
        <v>69</v>
      </c>
      <c r="C731" t="s">
        <v>70</v>
      </c>
      <c r="D731" t="s">
        <v>34</v>
      </c>
      <c r="E731" t="s">
        <v>21</v>
      </c>
      <c r="F731">
        <v>288</v>
      </c>
      <c r="G731">
        <v>149</v>
      </c>
      <c r="H731">
        <v>38</v>
      </c>
      <c r="I731">
        <f>Inventory_Data[[#This Row],[Opening_Stock]]+Inventory_Data[[#This Row],[Units_Received]]-Inventory_Data[[#This Row],[Units_Sold]]</f>
        <v>399</v>
      </c>
      <c r="J731">
        <v>0</v>
      </c>
      <c r="K731">
        <v>7</v>
      </c>
      <c r="L731" t="s">
        <v>39</v>
      </c>
      <c r="M731" s="3">
        <v>23.7</v>
      </c>
      <c r="N731" s="3">
        <v>36.14</v>
      </c>
      <c r="O731" s="10" t="str">
        <f>TEXT(Inventory_Data[[#This Row],[Date]],"mmm")</f>
        <v>May</v>
      </c>
    </row>
    <row r="732" spans="1:15" x14ac:dyDescent="0.2">
      <c r="A732" s="21">
        <v>45792</v>
      </c>
      <c r="B732" s="5" t="s">
        <v>154</v>
      </c>
      <c r="C732" t="s">
        <v>155</v>
      </c>
      <c r="D732" t="s">
        <v>48</v>
      </c>
      <c r="E732" t="s">
        <v>35</v>
      </c>
      <c r="F732">
        <v>234</v>
      </c>
      <c r="G732">
        <v>130</v>
      </c>
      <c r="H732">
        <v>33</v>
      </c>
      <c r="I732">
        <f>Inventory_Data[[#This Row],[Opening_Stock]]+Inventory_Data[[#This Row],[Units_Received]]-Inventory_Data[[#This Row],[Units_Sold]]</f>
        <v>331</v>
      </c>
      <c r="J732">
        <v>0</v>
      </c>
      <c r="K732">
        <v>12</v>
      </c>
      <c r="L732" t="s">
        <v>49</v>
      </c>
      <c r="M732" s="3">
        <v>76.540000000000006</v>
      </c>
      <c r="N732" s="3">
        <v>98.19</v>
      </c>
      <c r="O732" s="10" t="str">
        <f>TEXT(Inventory_Data[[#This Row],[Date]],"mmm")</f>
        <v>May</v>
      </c>
    </row>
    <row r="733" spans="1:15" x14ac:dyDescent="0.2">
      <c r="A733" s="21">
        <v>45792</v>
      </c>
      <c r="B733" s="5" t="s">
        <v>122</v>
      </c>
      <c r="C733" t="s">
        <v>123</v>
      </c>
      <c r="D733" t="s">
        <v>27</v>
      </c>
      <c r="E733" t="s">
        <v>21</v>
      </c>
      <c r="F733">
        <v>188</v>
      </c>
      <c r="G733">
        <v>115</v>
      </c>
      <c r="H733">
        <v>49</v>
      </c>
      <c r="I733">
        <f>Inventory_Data[[#This Row],[Opening_Stock]]+Inventory_Data[[#This Row],[Units_Received]]-Inventory_Data[[#This Row],[Units_Sold]]</f>
        <v>254</v>
      </c>
      <c r="J733">
        <v>0</v>
      </c>
      <c r="K733">
        <v>2</v>
      </c>
      <c r="L733" t="s">
        <v>66</v>
      </c>
      <c r="M733" s="3">
        <v>18.28</v>
      </c>
      <c r="N733" s="3">
        <v>26.79</v>
      </c>
      <c r="O733" s="10" t="str">
        <f>TEXT(Inventory_Data[[#This Row],[Date]],"mmm")</f>
        <v>May</v>
      </c>
    </row>
    <row r="734" spans="1:15" x14ac:dyDescent="0.2">
      <c r="A734" s="21">
        <v>45792</v>
      </c>
      <c r="B734" s="5" t="s">
        <v>67</v>
      </c>
      <c r="C734" t="s">
        <v>68</v>
      </c>
      <c r="D734" t="s">
        <v>52</v>
      </c>
      <c r="E734" t="s">
        <v>35</v>
      </c>
      <c r="F734">
        <v>53</v>
      </c>
      <c r="G734">
        <v>4</v>
      </c>
      <c r="H734">
        <v>6</v>
      </c>
      <c r="I734">
        <f>Inventory_Data[[#This Row],[Opening_Stock]]+Inventory_Data[[#This Row],[Units_Received]]-Inventory_Data[[#This Row],[Units_Sold]]</f>
        <v>51</v>
      </c>
      <c r="J734">
        <v>0</v>
      </c>
      <c r="K734">
        <v>3</v>
      </c>
      <c r="L734" t="s">
        <v>56</v>
      </c>
      <c r="M734" s="3">
        <v>348.1</v>
      </c>
      <c r="N734" s="3">
        <v>492.47</v>
      </c>
      <c r="O734" s="10" t="str">
        <f>TEXT(Inventory_Data[[#This Row],[Date]],"mmm")</f>
        <v>May</v>
      </c>
    </row>
    <row r="735" spans="1:15" x14ac:dyDescent="0.2">
      <c r="A735" s="21">
        <v>45793</v>
      </c>
      <c r="B735" s="5" t="s">
        <v>108</v>
      </c>
      <c r="C735" t="s">
        <v>109</v>
      </c>
      <c r="D735" t="s">
        <v>16</v>
      </c>
      <c r="E735" t="s">
        <v>21</v>
      </c>
      <c r="F735">
        <v>38</v>
      </c>
      <c r="G735">
        <v>40</v>
      </c>
      <c r="H735">
        <v>30</v>
      </c>
      <c r="I735">
        <f>Inventory_Data[[#This Row],[Opening_Stock]]+Inventory_Data[[#This Row],[Units_Received]]-Inventory_Data[[#This Row],[Units_Sold]]</f>
        <v>48</v>
      </c>
      <c r="J735">
        <v>0</v>
      </c>
      <c r="K735">
        <v>11</v>
      </c>
      <c r="L735" t="s">
        <v>45</v>
      </c>
      <c r="M735" s="3">
        <v>124.13</v>
      </c>
      <c r="N735" s="3">
        <v>157.81</v>
      </c>
      <c r="O735" s="10" t="str">
        <f>TEXT(Inventory_Data[[#This Row],[Date]],"mmm")</f>
        <v>May</v>
      </c>
    </row>
    <row r="736" spans="1:15" x14ac:dyDescent="0.2">
      <c r="A736" s="21">
        <v>45793</v>
      </c>
      <c r="B736" s="5" t="s">
        <v>69</v>
      </c>
      <c r="C736" t="s">
        <v>70</v>
      </c>
      <c r="D736" t="s">
        <v>34</v>
      </c>
      <c r="E736" t="s">
        <v>28</v>
      </c>
      <c r="F736">
        <v>232</v>
      </c>
      <c r="G736">
        <v>75</v>
      </c>
      <c r="H736">
        <v>86</v>
      </c>
      <c r="I736">
        <f>Inventory_Data[[#This Row],[Opening_Stock]]+Inventory_Data[[#This Row],[Units_Received]]-Inventory_Data[[#This Row],[Units_Sold]]</f>
        <v>221</v>
      </c>
      <c r="J736">
        <v>0</v>
      </c>
      <c r="K736">
        <v>13</v>
      </c>
      <c r="L736" t="s">
        <v>42</v>
      </c>
      <c r="M736" s="3">
        <v>22.18</v>
      </c>
      <c r="N736" s="3">
        <v>30.58</v>
      </c>
      <c r="O736" s="10" t="str">
        <f>TEXT(Inventory_Data[[#This Row],[Date]],"mmm")</f>
        <v>May</v>
      </c>
    </row>
    <row r="737" spans="1:15" x14ac:dyDescent="0.2">
      <c r="A737" s="21">
        <v>45793</v>
      </c>
      <c r="B737" s="5" t="s">
        <v>194</v>
      </c>
      <c r="C737" t="s">
        <v>195</v>
      </c>
      <c r="D737" t="s">
        <v>34</v>
      </c>
      <c r="E737" t="s">
        <v>17</v>
      </c>
      <c r="F737">
        <v>125</v>
      </c>
      <c r="G737">
        <v>198</v>
      </c>
      <c r="H737">
        <v>126</v>
      </c>
      <c r="I737">
        <f>Inventory_Data[[#This Row],[Opening_Stock]]+Inventory_Data[[#This Row],[Units_Received]]-Inventory_Data[[#This Row],[Units_Sold]]</f>
        <v>197</v>
      </c>
      <c r="J737">
        <v>0</v>
      </c>
      <c r="K737">
        <v>14</v>
      </c>
      <c r="L737" t="s">
        <v>39</v>
      </c>
      <c r="M737" s="3">
        <v>16.62</v>
      </c>
      <c r="N737" s="3">
        <v>22.6</v>
      </c>
      <c r="O737" s="10" t="str">
        <f>TEXT(Inventory_Data[[#This Row],[Date]],"mmm")</f>
        <v>May</v>
      </c>
    </row>
    <row r="738" spans="1:15" x14ac:dyDescent="0.2">
      <c r="A738" s="21">
        <v>45793</v>
      </c>
      <c r="B738" s="5" t="s">
        <v>43</v>
      </c>
      <c r="C738" t="s">
        <v>44</v>
      </c>
      <c r="D738" t="s">
        <v>34</v>
      </c>
      <c r="E738" t="s">
        <v>17</v>
      </c>
      <c r="F738">
        <v>140</v>
      </c>
      <c r="G738">
        <v>169</v>
      </c>
      <c r="H738">
        <v>84</v>
      </c>
      <c r="I738">
        <f>Inventory_Data[[#This Row],[Opening_Stock]]+Inventory_Data[[#This Row],[Units_Received]]-Inventory_Data[[#This Row],[Units_Sold]]</f>
        <v>225</v>
      </c>
      <c r="J738">
        <v>0</v>
      </c>
      <c r="K738">
        <v>7</v>
      </c>
      <c r="L738" t="s">
        <v>42</v>
      </c>
      <c r="M738" s="3">
        <v>22.44</v>
      </c>
      <c r="N738" s="3">
        <v>31.6</v>
      </c>
      <c r="O738" s="10" t="str">
        <f>TEXT(Inventory_Data[[#This Row],[Date]],"mmm")</f>
        <v>May</v>
      </c>
    </row>
    <row r="739" spans="1:15" x14ac:dyDescent="0.2">
      <c r="A739" s="21">
        <v>45794</v>
      </c>
      <c r="B739" s="5" t="s">
        <v>14</v>
      </c>
      <c r="C739" t="s">
        <v>15</v>
      </c>
      <c r="D739" t="s">
        <v>16</v>
      </c>
      <c r="E739" t="s">
        <v>28</v>
      </c>
      <c r="F739">
        <v>30</v>
      </c>
      <c r="G739">
        <v>40</v>
      </c>
      <c r="H739">
        <v>53</v>
      </c>
      <c r="I739">
        <f>Inventory_Data[[#This Row],[Opening_Stock]]+Inventory_Data[[#This Row],[Units_Received]]-Inventory_Data[[#This Row],[Units_Sold]]</f>
        <v>17</v>
      </c>
      <c r="J739">
        <v>0</v>
      </c>
      <c r="K739">
        <v>8</v>
      </c>
      <c r="L739" t="s">
        <v>45</v>
      </c>
      <c r="M739" s="3">
        <v>119.49</v>
      </c>
      <c r="N739" s="3">
        <v>151.76</v>
      </c>
      <c r="O739" s="10" t="str">
        <f>TEXT(Inventory_Data[[#This Row],[Date]],"mmm")</f>
        <v>May</v>
      </c>
    </row>
    <row r="740" spans="1:15" x14ac:dyDescent="0.2">
      <c r="A740" s="21">
        <v>45794</v>
      </c>
      <c r="B740" s="5" t="s">
        <v>170</v>
      </c>
      <c r="C740" t="s">
        <v>171</v>
      </c>
      <c r="D740" t="s">
        <v>48</v>
      </c>
      <c r="E740" t="s">
        <v>21</v>
      </c>
      <c r="F740">
        <v>229</v>
      </c>
      <c r="G740">
        <v>62</v>
      </c>
      <c r="H740">
        <v>133</v>
      </c>
      <c r="I740">
        <f>Inventory_Data[[#This Row],[Opening_Stock]]+Inventory_Data[[#This Row],[Units_Received]]-Inventory_Data[[#This Row],[Units_Sold]]</f>
        <v>158</v>
      </c>
      <c r="J740">
        <v>0</v>
      </c>
      <c r="K740">
        <v>2</v>
      </c>
      <c r="L740" t="s">
        <v>77</v>
      </c>
      <c r="M740" s="3">
        <v>35.79</v>
      </c>
      <c r="N740" s="3">
        <v>52.65</v>
      </c>
      <c r="O740" s="10" t="str">
        <f>TEXT(Inventory_Data[[#This Row],[Date]],"mmm")</f>
        <v>May</v>
      </c>
    </row>
    <row r="741" spans="1:15" x14ac:dyDescent="0.2">
      <c r="A741" s="21">
        <v>45794</v>
      </c>
      <c r="B741" s="5" t="s">
        <v>84</v>
      </c>
      <c r="C741" t="s">
        <v>85</v>
      </c>
      <c r="D741" t="s">
        <v>48</v>
      </c>
      <c r="E741" t="s">
        <v>21</v>
      </c>
      <c r="F741">
        <v>150</v>
      </c>
      <c r="G741">
        <v>41</v>
      </c>
      <c r="H741">
        <v>137</v>
      </c>
      <c r="I741">
        <f>Inventory_Data[[#This Row],[Opening_Stock]]+Inventory_Data[[#This Row],[Units_Received]]-Inventory_Data[[#This Row],[Units_Sold]]</f>
        <v>54</v>
      </c>
      <c r="J741">
        <v>0</v>
      </c>
      <c r="K741">
        <v>14</v>
      </c>
      <c r="L741" t="s">
        <v>63</v>
      </c>
      <c r="M741" s="3">
        <v>31.71</v>
      </c>
      <c r="N741" s="3">
        <v>46.73</v>
      </c>
      <c r="O741" s="10" t="str">
        <f>TEXT(Inventory_Data[[#This Row],[Date]],"mmm")</f>
        <v>May</v>
      </c>
    </row>
    <row r="742" spans="1:15" x14ac:dyDescent="0.2">
      <c r="A742" s="21">
        <v>45794</v>
      </c>
      <c r="B742" s="5" t="s">
        <v>92</v>
      </c>
      <c r="C742" t="s">
        <v>93</v>
      </c>
      <c r="D742" t="s">
        <v>27</v>
      </c>
      <c r="E742" t="s">
        <v>17</v>
      </c>
      <c r="F742">
        <v>148</v>
      </c>
      <c r="G742">
        <v>174</v>
      </c>
      <c r="H742">
        <v>146</v>
      </c>
      <c r="I742">
        <f>Inventory_Data[[#This Row],[Opening_Stock]]+Inventory_Data[[#This Row],[Units_Received]]-Inventory_Data[[#This Row],[Units_Sold]]</f>
        <v>176</v>
      </c>
      <c r="J742">
        <v>0</v>
      </c>
      <c r="K742">
        <v>7</v>
      </c>
      <c r="L742" t="s">
        <v>29</v>
      </c>
      <c r="M742" s="3">
        <v>3.76</v>
      </c>
      <c r="N742" s="3">
        <v>5.54</v>
      </c>
      <c r="O742" s="10" t="str">
        <f>TEXT(Inventory_Data[[#This Row],[Date]],"mmm")</f>
        <v>May</v>
      </c>
    </row>
    <row r="743" spans="1:15" x14ac:dyDescent="0.2">
      <c r="A743" s="21">
        <v>45794</v>
      </c>
      <c r="B743" s="5" t="s">
        <v>30</v>
      </c>
      <c r="C743" t="s">
        <v>31</v>
      </c>
      <c r="D743" t="s">
        <v>27</v>
      </c>
      <c r="E743" t="s">
        <v>28</v>
      </c>
      <c r="F743">
        <v>256</v>
      </c>
      <c r="G743">
        <v>230</v>
      </c>
      <c r="H743">
        <v>179</v>
      </c>
      <c r="I743">
        <f>Inventory_Data[[#This Row],[Opening_Stock]]+Inventory_Data[[#This Row],[Units_Received]]-Inventory_Data[[#This Row],[Units_Sold]]</f>
        <v>307</v>
      </c>
      <c r="J743">
        <v>0</v>
      </c>
      <c r="K743">
        <v>2</v>
      </c>
      <c r="L743" t="s">
        <v>80</v>
      </c>
      <c r="M743" s="3">
        <v>12.33</v>
      </c>
      <c r="N743" s="3">
        <v>18.11</v>
      </c>
      <c r="O743" s="10" t="str">
        <f>TEXT(Inventory_Data[[#This Row],[Date]],"mmm")</f>
        <v>May</v>
      </c>
    </row>
    <row r="744" spans="1:15" x14ac:dyDescent="0.2">
      <c r="A744" s="21">
        <v>45794</v>
      </c>
      <c r="B744" s="5" t="s">
        <v>172</v>
      </c>
      <c r="C744" t="s">
        <v>173</v>
      </c>
      <c r="D744" t="s">
        <v>27</v>
      </c>
      <c r="E744" t="s">
        <v>28</v>
      </c>
      <c r="F744">
        <v>428</v>
      </c>
      <c r="G744">
        <v>235</v>
      </c>
      <c r="H744">
        <v>93</v>
      </c>
      <c r="I744">
        <f>Inventory_Data[[#This Row],[Opening_Stock]]+Inventory_Data[[#This Row],[Units_Received]]-Inventory_Data[[#This Row],[Units_Sold]]</f>
        <v>570</v>
      </c>
      <c r="J744">
        <v>0</v>
      </c>
      <c r="K744">
        <v>1</v>
      </c>
      <c r="L744" t="s">
        <v>66</v>
      </c>
      <c r="M744" s="3">
        <v>23.21</v>
      </c>
      <c r="N744" s="3">
        <v>32.19</v>
      </c>
      <c r="O744" s="10" t="str">
        <f>TEXT(Inventory_Data[[#This Row],[Date]],"mmm")</f>
        <v>May</v>
      </c>
    </row>
    <row r="745" spans="1:15" x14ac:dyDescent="0.2">
      <c r="A745" s="21">
        <v>45795</v>
      </c>
      <c r="B745" s="5" t="s">
        <v>106</v>
      </c>
      <c r="C745" t="s">
        <v>107</v>
      </c>
      <c r="D745" t="s">
        <v>16</v>
      </c>
      <c r="E745" t="s">
        <v>21</v>
      </c>
      <c r="F745">
        <v>159</v>
      </c>
      <c r="G745">
        <v>82</v>
      </c>
      <c r="H745">
        <v>27</v>
      </c>
      <c r="I745">
        <f>Inventory_Data[[#This Row],[Opening_Stock]]+Inventory_Data[[#This Row],[Units_Received]]-Inventory_Data[[#This Row],[Units_Sold]]</f>
        <v>214</v>
      </c>
      <c r="J745">
        <v>0</v>
      </c>
      <c r="K745">
        <v>9</v>
      </c>
      <c r="L745" t="s">
        <v>24</v>
      </c>
      <c r="M745" s="3">
        <v>139.31</v>
      </c>
      <c r="N745" s="3">
        <v>197.96</v>
      </c>
      <c r="O745" s="10" t="str">
        <f>TEXT(Inventory_Data[[#This Row],[Date]],"mmm")</f>
        <v>May</v>
      </c>
    </row>
    <row r="746" spans="1:15" x14ac:dyDescent="0.2">
      <c r="A746" s="21">
        <v>45795</v>
      </c>
      <c r="B746" s="5" t="s">
        <v>152</v>
      </c>
      <c r="C746" t="s">
        <v>153</v>
      </c>
      <c r="D746" t="s">
        <v>16</v>
      </c>
      <c r="E746" t="s">
        <v>28</v>
      </c>
      <c r="F746">
        <v>54</v>
      </c>
      <c r="G746">
        <v>14</v>
      </c>
      <c r="H746">
        <v>18</v>
      </c>
      <c r="I746">
        <f>Inventory_Data[[#This Row],[Opening_Stock]]+Inventory_Data[[#This Row],[Units_Received]]-Inventory_Data[[#This Row],[Units_Sold]]</f>
        <v>50</v>
      </c>
      <c r="J746">
        <v>0</v>
      </c>
      <c r="K746">
        <v>13</v>
      </c>
      <c r="L746" t="s">
        <v>45</v>
      </c>
      <c r="M746" s="3">
        <v>156.47999999999999</v>
      </c>
      <c r="N746" s="3">
        <v>232.37</v>
      </c>
      <c r="O746" s="10" t="str">
        <f>TEXT(Inventory_Data[[#This Row],[Date]],"mmm")</f>
        <v>May</v>
      </c>
    </row>
    <row r="747" spans="1:15" x14ac:dyDescent="0.2">
      <c r="A747" s="21">
        <v>45796</v>
      </c>
      <c r="B747" s="5" t="s">
        <v>112</v>
      </c>
      <c r="C747" t="s">
        <v>113</v>
      </c>
      <c r="D747" t="s">
        <v>16</v>
      </c>
      <c r="E747" t="s">
        <v>28</v>
      </c>
      <c r="F747">
        <v>29</v>
      </c>
      <c r="G747">
        <v>82</v>
      </c>
      <c r="H747">
        <v>71</v>
      </c>
      <c r="I747">
        <f>Inventory_Data[[#This Row],[Opening_Stock]]+Inventory_Data[[#This Row],[Units_Received]]-Inventory_Data[[#This Row],[Units_Sold]]</f>
        <v>40</v>
      </c>
      <c r="J747">
        <v>0</v>
      </c>
      <c r="K747">
        <v>12</v>
      </c>
      <c r="L747" t="s">
        <v>18</v>
      </c>
      <c r="M747" s="3">
        <v>110.67</v>
      </c>
      <c r="N747" s="3">
        <v>129.6</v>
      </c>
      <c r="O747" s="10" t="str">
        <f>TEXT(Inventory_Data[[#This Row],[Date]],"mmm")</f>
        <v>May</v>
      </c>
    </row>
    <row r="748" spans="1:15" x14ac:dyDescent="0.2">
      <c r="A748" s="21">
        <v>45796</v>
      </c>
      <c r="B748" s="5" t="s">
        <v>120</v>
      </c>
      <c r="C748" t="s">
        <v>121</v>
      </c>
      <c r="D748" t="s">
        <v>16</v>
      </c>
      <c r="E748" t="s">
        <v>28</v>
      </c>
      <c r="F748">
        <v>140</v>
      </c>
      <c r="G748">
        <v>43</v>
      </c>
      <c r="H748">
        <v>57</v>
      </c>
      <c r="I748">
        <f>Inventory_Data[[#This Row],[Opening_Stock]]+Inventory_Data[[#This Row],[Units_Received]]-Inventory_Data[[#This Row],[Units_Sold]]</f>
        <v>126</v>
      </c>
      <c r="J748">
        <v>0</v>
      </c>
      <c r="K748">
        <v>10</v>
      </c>
      <c r="L748" t="s">
        <v>45</v>
      </c>
      <c r="M748" s="3">
        <v>154.07</v>
      </c>
      <c r="N748" s="3">
        <v>223.79</v>
      </c>
      <c r="O748" s="10" t="str">
        <f>TEXT(Inventory_Data[[#This Row],[Date]],"mmm")</f>
        <v>May</v>
      </c>
    </row>
    <row r="749" spans="1:15" x14ac:dyDescent="0.2">
      <c r="A749" s="21">
        <v>45797</v>
      </c>
      <c r="B749" s="5" t="s">
        <v>128</v>
      </c>
      <c r="C749" t="s">
        <v>129</v>
      </c>
      <c r="D749" t="s">
        <v>48</v>
      </c>
      <c r="E749" t="s">
        <v>21</v>
      </c>
      <c r="F749">
        <v>192</v>
      </c>
      <c r="G749">
        <v>52</v>
      </c>
      <c r="H749">
        <v>64</v>
      </c>
      <c r="I749">
        <f>Inventory_Data[[#This Row],[Opening_Stock]]+Inventory_Data[[#This Row],[Units_Received]]-Inventory_Data[[#This Row],[Units_Sold]]</f>
        <v>180</v>
      </c>
      <c r="J749">
        <v>0</v>
      </c>
      <c r="K749">
        <v>11</v>
      </c>
      <c r="L749" t="s">
        <v>77</v>
      </c>
      <c r="M749" s="3">
        <v>26.31</v>
      </c>
      <c r="N749" s="3">
        <v>37.01</v>
      </c>
      <c r="O749" s="10" t="str">
        <f>TEXT(Inventory_Data[[#This Row],[Date]],"mmm")</f>
        <v>May</v>
      </c>
    </row>
    <row r="750" spans="1:15" x14ac:dyDescent="0.2">
      <c r="A750" s="21">
        <v>45797</v>
      </c>
      <c r="B750" s="5" t="s">
        <v>146</v>
      </c>
      <c r="C750" t="s">
        <v>147</v>
      </c>
      <c r="D750" t="s">
        <v>48</v>
      </c>
      <c r="E750" t="s">
        <v>35</v>
      </c>
      <c r="F750">
        <v>205</v>
      </c>
      <c r="G750">
        <v>56</v>
      </c>
      <c r="H750">
        <v>77</v>
      </c>
      <c r="I750">
        <f>Inventory_Data[[#This Row],[Opening_Stock]]+Inventory_Data[[#This Row],[Units_Received]]-Inventory_Data[[#This Row],[Units_Sold]]</f>
        <v>184</v>
      </c>
      <c r="J750">
        <v>0</v>
      </c>
      <c r="K750">
        <v>3</v>
      </c>
      <c r="L750" t="s">
        <v>63</v>
      </c>
      <c r="M750" s="3">
        <v>60.88</v>
      </c>
      <c r="N750" s="3">
        <v>90.75</v>
      </c>
      <c r="O750" s="10" t="str">
        <f>TEXT(Inventory_Data[[#This Row],[Date]],"mmm")</f>
        <v>May</v>
      </c>
    </row>
    <row r="751" spans="1:15" x14ac:dyDescent="0.2">
      <c r="A751" s="21">
        <v>45797</v>
      </c>
      <c r="B751" s="5" t="s">
        <v>180</v>
      </c>
      <c r="C751" t="s">
        <v>181</v>
      </c>
      <c r="D751" t="s">
        <v>34</v>
      </c>
      <c r="E751" t="s">
        <v>35</v>
      </c>
      <c r="F751">
        <v>323</v>
      </c>
      <c r="G751">
        <v>86</v>
      </c>
      <c r="H751">
        <v>56</v>
      </c>
      <c r="I751">
        <f>Inventory_Data[[#This Row],[Opening_Stock]]+Inventory_Data[[#This Row],[Units_Received]]-Inventory_Data[[#This Row],[Units_Sold]]</f>
        <v>353</v>
      </c>
      <c r="J751">
        <v>0</v>
      </c>
      <c r="K751">
        <v>3</v>
      </c>
      <c r="L751" t="s">
        <v>42</v>
      </c>
      <c r="M751" s="3">
        <v>9.7899999999999991</v>
      </c>
      <c r="N751" s="3">
        <v>14.17</v>
      </c>
      <c r="O751" s="10" t="str">
        <f>TEXT(Inventory_Data[[#This Row],[Date]],"mmm")</f>
        <v>May</v>
      </c>
    </row>
    <row r="752" spans="1:15" x14ac:dyDescent="0.2">
      <c r="A752" s="21">
        <v>45798</v>
      </c>
      <c r="B752" s="5" t="s">
        <v>73</v>
      </c>
      <c r="C752" t="s">
        <v>74</v>
      </c>
      <c r="D752" t="s">
        <v>16</v>
      </c>
      <c r="E752" t="s">
        <v>21</v>
      </c>
      <c r="F752">
        <v>59</v>
      </c>
      <c r="G752">
        <v>73</v>
      </c>
      <c r="H752">
        <v>27</v>
      </c>
      <c r="I752">
        <f>Inventory_Data[[#This Row],[Opening_Stock]]+Inventory_Data[[#This Row],[Units_Received]]-Inventory_Data[[#This Row],[Units_Sold]]</f>
        <v>105</v>
      </c>
      <c r="J752">
        <v>0</v>
      </c>
      <c r="K752">
        <v>14</v>
      </c>
      <c r="L752" t="s">
        <v>18</v>
      </c>
      <c r="M752" s="3">
        <v>77.19</v>
      </c>
      <c r="N752" s="3">
        <v>112.91</v>
      </c>
      <c r="O752" s="10" t="str">
        <f>TEXT(Inventory_Data[[#This Row],[Date]],"mmm")</f>
        <v>May</v>
      </c>
    </row>
    <row r="753" spans="1:15" x14ac:dyDescent="0.2">
      <c r="A753" s="21">
        <v>45798</v>
      </c>
      <c r="B753" s="5" t="s">
        <v>19</v>
      </c>
      <c r="C753" t="s">
        <v>20</v>
      </c>
      <c r="D753" t="s">
        <v>16</v>
      </c>
      <c r="E753" t="s">
        <v>28</v>
      </c>
      <c r="F753">
        <v>150</v>
      </c>
      <c r="G753">
        <v>82</v>
      </c>
      <c r="H753">
        <v>45</v>
      </c>
      <c r="I753">
        <f>Inventory_Data[[#This Row],[Opening_Stock]]+Inventory_Data[[#This Row],[Units_Received]]-Inventory_Data[[#This Row],[Units_Sold]]</f>
        <v>187</v>
      </c>
      <c r="J753">
        <v>0</v>
      </c>
      <c r="K753">
        <v>8</v>
      </c>
      <c r="L753" t="s">
        <v>18</v>
      </c>
      <c r="M753" s="3">
        <v>139.37</v>
      </c>
      <c r="N753" s="3">
        <v>199.81</v>
      </c>
      <c r="O753" s="10" t="str">
        <f>TEXT(Inventory_Data[[#This Row],[Date]],"mmm")</f>
        <v>May</v>
      </c>
    </row>
    <row r="754" spans="1:15" x14ac:dyDescent="0.2">
      <c r="A754" s="21">
        <v>45798</v>
      </c>
      <c r="B754" s="5" t="s">
        <v>75</v>
      </c>
      <c r="C754" t="s">
        <v>76</v>
      </c>
      <c r="D754" t="s">
        <v>48</v>
      </c>
      <c r="E754" t="s">
        <v>17</v>
      </c>
      <c r="F754">
        <v>199</v>
      </c>
      <c r="G754">
        <v>29</v>
      </c>
      <c r="H754">
        <v>73</v>
      </c>
      <c r="I754">
        <f>Inventory_Data[[#This Row],[Opening_Stock]]+Inventory_Data[[#This Row],[Units_Received]]-Inventory_Data[[#This Row],[Units_Sold]]</f>
        <v>155</v>
      </c>
      <c r="J754">
        <v>0</v>
      </c>
      <c r="K754">
        <v>9</v>
      </c>
      <c r="L754" t="s">
        <v>49</v>
      </c>
      <c r="M754" s="3">
        <v>44.4</v>
      </c>
      <c r="N754" s="3">
        <v>54.4</v>
      </c>
      <c r="O754" s="10" t="str">
        <f>TEXT(Inventory_Data[[#This Row],[Date]],"mmm")</f>
        <v>May</v>
      </c>
    </row>
    <row r="755" spans="1:15" x14ac:dyDescent="0.2">
      <c r="A755" s="21">
        <v>45798</v>
      </c>
      <c r="B755" s="5" t="s">
        <v>164</v>
      </c>
      <c r="C755" t="s">
        <v>165</v>
      </c>
      <c r="D755" t="s">
        <v>48</v>
      </c>
      <c r="E755" t="s">
        <v>35</v>
      </c>
      <c r="F755">
        <v>127</v>
      </c>
      <c r="G755">
        <v>39</v>
      </c>
      <c r="H755">
        <v>23</v>
      </c>
      <c r="I755">
        <f>Inventory_Data[[#This Row],[Opening_Stock]]+Inventory_Data[[#This Row],[Units_Received]]-Inventory_Data[[#This Row],[Units_Sold]]</f>
        <v>143</v>
      </c>
      <c r="J755">
        <v>0</v>
      </c>
      <c r="K755">
        <v>6</v>
      </c>
      <c r="L755" t="s">
        <v>63</v>
      </c>
      <c r="M755" s="3">
        <v>50.8</v>
      </c>
      <c r="N755" s="3">
        <v>61.58</v>
      </c>
      <c r="O755" s="10" t="str">
        <f>TEXT(Inventory_Data[[#This Row],[Date]],"mmm")</f>
        <v>May</v>
      </c>
    </row>
    <row r="756" spans="1:15" x14ac:dyDescent="0.2">
      <c r="A756" s="21">
        <v>45798</v>
      </c>
      <c r="B756" s="5" t="s">
        <v>57</v>
      </c>
      <c r="C756" t="s">
        <v>58</v>
      </c>
      <c r="D756" t="s">
        <v>52</v>
      </c>
      <c r="E756" t="s">
        <v>21</v>
      </c>
      <c r="F756">
        <v>66</v>
      </c>
      <c r="G756">
        <v>20</v>
      </c>
      <c r="H756">
        <v>15</v>
      </c>
      <c r="I756">
        <f>Inventory_Data[[#This Row],[Opening_Stock]]+Inventory_Data[[#This Row],[Units_Received]]-Inventory_Data[[#This Row],[Units_Sold]]</f>
        <v>71</v>
      </c>
      <c r="J756">
        <v>0</v>
      </c>
      <c r="K756">
        <v>10</v>
      </c>
      <c r="L756" t="s">
        <v>56</v>
      </c>
      <c r="M756" s="3">
        <v>160.02000000000001</v>
      </c>
      <c r="N756" s="3">
        <v>185.56</v>
      </c>
      <c r="O756" s="10" t="str">
        <f>TEXT(Inventory_Data[[#This Row],[Date]],"mmm")</f>
        <v>May</v>
      </c>
    </row>
    <row r="757" spans="1:15" x14ac:dyDescent="0.2">
      <c r="A757" s="21">
        <v>45799</v>
      </c>
      <c r="B757" s="5" t="s">
        <v>166</v>
      </c>
      <c r="C757" t="s">
        <v>167</v>
      </c>
      <c r="D757" t="s">
        <v>16</v>
      </c>
      <c r="E757" t="s">
        <v>28</v>
      </c>
      <c r="F757">
        <v>160</v>
      </c>
      <c r="G757">
        <v>13</v>
      </c>
      <c r="H757">
        <v>54</v>
      </c>
      <c r="I757">
        <f>Inventory_Data[[#This Row],[Opening_Stock]]+Inventory_Data[[#This Row],[Units_Received]]-Inventory_Data[[#This Row],[Units_Sold]]</f>
        <v>119</v>
      </c>
      <c r="J757">
        <v>0</v>
      </c>
      <c r="K757">
        <v>4</v>
      </c>
      <c r="L757" t="s">
        <v>18</v>
      </c>
      <c r="M757" s="3">
        <v>123.95</v>
      </c>
      <c r="N757" s="3">
        <v>185.77</v>
      </c>
      <c r="O757" s="10" t="str">
        <f>TEXT(Inventory_Data[[#This Row],[Date]],"mmm")</f>
        <v>May</v>
      </c>
    </row>
    <row r="758" spans="1:15" x14ac:dyDescent="0.2">
      <c r="A758" s="21">
        <v>45799</v>
      </c>
      <c r="B758" s="5" t="s">
        <v>164</v>
      </c>
      <c r="C758" t="s">
        <v>165</v>
      </c>
      <c r="D758" t="s">
        <v>48</v>
      </c>
      <c r="E758" t="s">
        <v>35</v>
      </c>
      <c r="F758">
        <v>73</v>
      </c>
      <c r="G758">
        <v>115</v>
      </c>
      <c r="H758">
        <v>88</v>
      </c>
      <c r="I758">
        <f>Inventory_Data[[#This Row],[Opening_Stock]]+Inventory_Data[[#This Row],[Units_Received]]-Inventory_Data[[#This Row],[Units_Sold]]</f>
        <v>100</v>
      </c>
      <c r="J758">
        <v>0</v>
      </c>
      <c r="K758">
        <v>13</v>
      </c>
      <c r="L758" t="s">
        <v>77</v>
      </c>
      <c r="M758" s="3">
        <v>77.59</v>
      </c>
      <c r="N758" s="3">
        <v>116.81</v>
      </c>
      <c r="O758" s="10" t="str">
        <f>TEXT(Inventory_Data[[#This Row],[Date]],"mmm")</f>
        <v>May</v>
      </c>
    </row>
    <row r="759" spans="1:15" x14ac:dyDescent="0.2">
      <c r="A759" s="21">
        <v>45799</v>
      </c>
      <c r="B759" s="5" t="s">
        <v>25</v>
      </c>
      <c r="C759" t="s">
        <v>26</v>
      </c>
      <c r="D759" t="s">
        <v>27</v>
      </c>
      <c r="E759" t="s">
        <v>35</v>
      </c>
      <c r="F759">
        <v>414</v>
      </c>
      <c r="G759">
        <v>59</v>
      </c>
      <c r="H759">
        <v>211</v>
      </c>
      <c r="I759">
        <f>Inventory_Data[[#This Row],[Opening_Stock]]+Inventory_Data[[#This Row],[Units_Received]]-Inventory_Data[[#This Row],[Units_Sold]]</f>
        <v>262</v>
      </c>
      <c r="J759">
        <v>0</v>
      </c>
      <c r="K759">
        <v>5</v>
      </c>
      <c r="L759" t="s">
        <v>66</v>
      </c>
      <c r="M759" s="3">
        <v>14.86</v>
      </c>
      <c r="N759" s="3">
        <v>19</v>
      </c>
      <c r="O759" s="10" t="str">
        <f>TEXT(Inventory_Data[[#This Row],[Date]],"mmm")</f>
        <v>May</v>
      </c>
    </row>
    <row r="760" spans="1:15" x14ac:dyDescent="0.2">
      <c r="A760" s="21">
        <v>45800</v>
      </c>
      <c r="B760" s="5" t="s">
        <v>86</v>
      </c>
      <c r="C760" t="s">
        <v>87</v>
      </c>
      <c r="D760" t="s">
        <v>48</v>
      </c>
      <c r="E760" t="s">
        <v>17</v>
      </c>
      <c r="F760">
        <v>118</v>
      </c>
      <c r="G760">
        <v>49</v>
      </c>
      <c r="H760">
        <v>107</v>
      </c>
      <c r="I760">
        <f>Inventory_Data[[#This Row],[Opening_Stock]]+Inventory_Data[[#This Row],[Units_Received]]-Inventory_Data[[#This Row],[Units_Sold]]</f>
        <v>60</v>
      </c>
      <c r="J760">
        <v>0</v>
      </c>
      <c r="K760">
        <v>11</v>
      </c>
      <c r="L760" t="s">
        <v>49</v>
      </c>
      <c r="M760" s="3">
        <v>11.09</v>
      </c>
      <c r="N760" s="3">
        <v>16.34</v>
      </c>
      <c r="O760" s="10" t="str">
        <f>TEXT(Inventory_Data[[#This Row],[Date]],"mmm")</f>
        <v>May</v>
      </c>
    </row>
    <row r="761" spans="1:15" x14ac:dyDescent="0.2">
      <c r="A761" s="21">
        <v>45800</v>
      </c>
      <c r="B761" s="5" t="s">
        <v>90</v>
      </c>
      <c r="C761" t="s">
        <v>91</v>
      </c>
      <c r="D761" t="s">
        <v>48</v>
      </c>
      <c r="E761" t="s">
        <v>28</v>
      </c>
      <c r="F761">
        <v>54</v>
      </c>
      <c r="G761">
        <v>82</v>
      </c>
      <c r="H761">
        <v>36</v>
      </c>
      <c r="I761">
        <f>Inventory_Data[[#This Row],[Opening_Stock]]+Inventory_Data[[#This Row],[Units_Received]]-Inventory_Data[[#This Row],[Units_Sold]]</f>
        <v>100</v>
      </c>
      <c r="J761">
        <v>0</v>
      </c>
      <c r="K761">
        <v>8</v>
      </c>
      <c r="L761" t="s">
        <v>77</v>
      </c>
      <c r="M761" s="3">
        <v>75.91</v>
      </c>
      <c r="N761" s="3">
        <v>92.47</v>
      </c>
      <c r="O761" s="10" t="str">
        <f>TEXT(Inventory_Data[[#This Row],[Date]],"mmm")</f>
        <v>May</v>
      </c>
    </row>
    <row r="762" spans="1:15" x14ac:dyDescent="0.2">
      <c r="A762" s="21">
        <v>45800</v>
      </c>
      <c r="B762" s="5" t="s">
        <v>46</v>
      </c>
      <c r="C762" t="s">
        <v>47</v>
      </c>
      <c r="D762" t="s">
        <v>48</v>
      </c>
      <c r="E762" t="s">
        <v>35</v>
      </c>
      <c r="F762">
        <v>55</v>
      </c>
      <c r="G762">
        <v>148</v>
      </c>
      <c r="H762">
        <v>72</v>
      </c>
      <c r="I762">
        <f>Inventory_Data[[#This Row],[Opening_Stock]]+Inventory_Data[[#This Row],[Units_Received]]-Inventory_Data[[#This Row],[Units_Sold]]</f>
        <v>131</v>
      </c>
      <c r="J762">
        <v>0</v>
      </c>
      <c r="K762">
        <v>14</v>
      </c>
      <c r="L762" t="s">
        <v>63</v>
      </c>
      <c r="M762" s="3">
        <v>88.7</v>
      </c>
      <c r="N762" s="3">
        <v>125.7</v>
      </c>
      <c r="O762" s="10" t="str">
        <f>TEXT(Inventory_Data[[#This Row],[Date]],"mmm")</f>
        <v>May</v>
      </c>
    </row>
    <row r="763" spans="1:15" x14ac:dyDescent="0.2">
      <c r="A763" s="21">
        <v>45800</v>
      </c>
      <c r="B763" s="5" t="s">
        <v>46</v>
      </c>
      <c r="C763" t="s">
        <v>47</v>
      </c>
      <c r="D763" t="s">
        <v>48</v>
      </c>
      <c r="E763" t="s">
        <v>28</v>
      </c>
      <c r="F763">
        <v>121</v>
      </c>
      <c r="G763">
        <v>148</v>
      </c>
      <c r="H763">
        <v>39</v>
      </c>
      <c r="I763">
        <f>Inventory_Data[[#This Row],[Opening_Stock]]+Inventory_Data[[#This Row],[Units_Received]]-Inventory_Data[[#This Row],[Units_Sold]]</f>
        <v>230</v>
      </c>
      <c r="J763">
        <v>0</v>
      </c>
      <c r="K763">
        <v>2</v>
      </c>
      <c r="L763" t="s">
        <v>77</v>
      </c>
      <c r="M763" s="3">
        <v>61</v>
      </c>
      <c r="N763" s="3">
        <v>91.46</v>
      </c>
      <c r="O763" s="10" t="str">
        <f>TEXT(Inventory_Data[[#This Row],[Date]],"mmm")</f>
        <v>May</v>
      </c>
    </row>
    <row r="764" spans="1:15" x14ac:dyDescent="0.2">
      <c r="A764" s="21">
        <v>45800</v>
      </c>
      <c r="B764" s="5" t="s">
        <v>186</v>
      </c>
      <c r="C764" t="s">
        <v>187</v>
      </c>
      <c r="D764" t="s">
        <v>27</v>
      </c>
      <c r="E764" t="s">
        <v>17</v>
      </c>
      <c r="F764">
        <v>418</v>
      </c>
      <c r="G764">
        <v>42</v>
      </c>
      <c r="H764">
        <v>201</v>
      </c>
      <c r="I764">
        <f>Inventory_Data[[#This Row],[Opening_Stock]]+Inventory_Data[[#This Row],[Units_Received]]-Inventory_Data[[#This Row],[Units_Sold]]</f>
        <v>259</v>
      </c>
      <c r="J764">
        <v>0</v>
      </c>
      <c r="K764">
        <v>6</v>
      </c>
      <c r="L764" t="s">
        <v>29</v>
      </c>
      <c r="M764" s="3">
        <v>10.57</v>
      </c>
      <c r="N764" s="3">
        <v>12.45</v>
      </c>
      <c r="O764" s="10" t="str">
        <f>TEXT(Inventory_Data[[#This Row],[Date]],"mmm")</f>
        <v>May</v>
      </c>
    </row>
    <row r="765" spans="1:15" x14ac:dyDescent="0.2">
      <c r="A765" s="21">
        <v>45800</v>
      </c>
      <c r="B765" s="5" t="s">
        <v>59</v>
      </c>
      <c r="C765" t="s">
        <v>60</v>
      </c>
      <c r="D765" t="s">
        <v>34</v>
      </c>
      <c r="E765" t="s">
        <v>21</v>
      </c>
      <c r="F765">
        <v>229</v>
      </c>
      <c r="G765">
        <v>71</v>
      </c>
      <c r="H765">
        <v>27</v>
      </c>
      <c r="I765">
        <f>Inventory_Data[[#This Row],[Opening_Stock]]+Inventory_Data[[#This Row],[Units_Received]]-Inventory_Data[[#This Row],[Units_Sold]]</f>
        <v>273</v>
      </c>
      <c r="J765">
        <v>0</v>
      </c>
      <c r="K765">
        <v>11</v>
      </c>
      <c r="L765" t="s">
        <v>42</v>
      </c>
      <c r="M765" s="3">
        <v>5.09</v>
      </c>
      <c r="N765" s="3">
        <v>5.91</v>
      </c>
      <c r="O765" s="10" t="str">
        <f>TEXT(Inventory_Data[[#This Row],[Date]],"mmm")</f>
        <v>May</v>
      </c>
    </row>
    <row r="766" spans="1:15" x14ac:dyDescent="0.2">
      <c r="A766" s="21">
        <v>45801</v>
      </c>
      <c r="B766" s="5" t="s">
        <v>94</v>
      </c>
      <c r="C766" t="s">
        <v>95</v>
      </c>
      <c r="D766" t="s">
        <v>16</v>
      </c>
      <c r="E766" t="s">
        <v>21</v>
      </c>
      <c r="F766">
        <v>32</v>
      </c>
      <c r="G766">
        <v>66</v>
      </c>
      <c r="H766">
        <v>53</v>
      </c>
      <c r="I766">
        <f>Inventory_Data[[#This Row],[Opening_Stock]]+Inventory_Data[[#This Row],[Units_Received]]-Inventory_Data[[#This Row],[Units_Sold]]</f>
        <v>45</v>
      </c>
      <c r="J766">
        <v>0</v>
      </c>
      <c r="K766">
        <v>7</v>
      </c>
      <c r="L766" t="s">
        <v>18</v>
      </c>
      <c r="M766" s="3">
        <v>175.31</v>
      </c>
      <c r="N766" s="3">
        <v>239.74</v>
      </c>
      <c r="O766" s="10" t="str">
        <f>TEXT(Inventory_Data[[#This Row],[Date]],"mmm")</f>
        <v>May</v>
      </c>
    </row>
    <row r="767" spans="1:15" x14ac:dyDescent="0.2">
      <c r="A767" s="21">
        <v>45801</v>
      </c>
      <c r="B767" s="5" t="s">
        <v>190</v>
      </c>
      <c r="C767" t="s">
        <v>191</v>
      </c>
      <c r="D767" t="s">
        <v>48</v>
      </c>
      <c r="E767" t="s">
        <v>17</v>
      </c>
      <c r="F767">
        <v>283</v>
      </c>
      <c r="G767">
        <v>142</v>
      </c>
      <c r="H767">
        <v>52</v>
      </c>
      <c r="I767">
        <f>Inventory_Data[[#This Row],[Opening_Stock]]+Inventory_Data[[#This Row],[Units_Received]]-Inventory_Data[[#This Row],[Units_Sold]]</f>
        <v>373</v>
      </c>
      <c r="J767">
        <v>0</v>
      </c>
      <c r="K767">
        <v>12</v>
      </c>
      <c r="L767" t="s">
        <v>49</v>
      </c>
      <c r="M767" s="3">
        <v>56.61</v>
      </c>
      <c r="N767" s="3">
        <v>68.459999999999994</v>
      </c>
      <c r="O767" s="10" t="str">
        <f>TEXT(Inventory_Data[[#This Row],[Date]],"mmm")</f>
        <v>May</v>
      </c>
    </row>
    <row r="768" spans="1:15" x14ac:dyDescent="0.2">
      <c r="A768" s="21">
        <v>45801</v>
      </c>
      <c r="B768" s="5" t="s">
        <v>156</v>
      </c>
      <c r="C768" t="s">
        <v>157</v>
      </c>
      <c r="D768" t="s">
        <v>27</v>
      </c>
      <c r="E768" t="s">
        <v>21</v>
      </c>
      <c r="F768">
        <v>183</v>
      </c>
      <c r="G768">
        <v>62</v>
      </c>
      <c r="H768">
        <v>28</v>
      </c>
      <c r="I768">
        <f>Inventory_Data[[#This Row],[Opening_Stock]]+Inventory_Data[[#This Row],[Units_Received]]-Inventory_Data[[#This Row],[Units_Sold]]</f>
        <v>217</v>
      </c>
      <c r="J768">
        <v>0</v>
      </c>
      <c r="K768">
        <v>2</v>
      </c>
      <c r="L768" t="s">
        <v>66</v>
      </c>
      <c r="M768" s="3">
        <v>3.79</v>
      </c>
      <c r="N768" s="3">
        <v>4.9800000000000004</v>
      </c>
      <c r="O768" s="10" t="str">
        <f>TEXT(Inventory_Data[[#This Row],[Date]],"mmm")</f>
        <v>May</v>
      </c>
    </row>
    <row r="769" spans="1:15" x14ac:dyDescent="0.2">
      <c r="A769" s="21">
        <v>45801</v>
      </c>
      <c r="B769" s="5" t="s">
        <v>110</v>
      </c>
      <c r="C769" t="s">
        <v>111</v>
      </c>
      <c r="D769" t="s">
        <v>52</v>
      </c>
      <c r="E769" t="s">
        <v>17</v>
      </c>
      <c r="F769">
        <v>39</v>
      </c>
      <c r="G769">
        <v>21</v>
      </c>
      <c r="H769">
        <v>13</v>
      </c>
      <c r="I769">
        <f>Inventory_Data[[#This Row],[Opening_Stock]]+Inventory_Data[[#This Row],[Units_Received]]-Inventory_Data[[#This Row],[Units_Sold]]</f>
        <v>47</v>
      </c>
      <c r="J769">
        <v>0</v>
      </c>
      <c r="K769">
        <v>9</v>
      </c>
      <c r="L769" t="s">
        <v>53</v>
      </c>
      <c r="M769" s="3">
        <v>345.39</v>
      </c>
      <c r="N769" s="3">
        <v>397.22</v>
      </c>
      <c r="O769" s="10" t="str">
        <f>TEXT(Inventory_Data[[#This Row],[Date]],"mmm")</f>
        <v>May</v>
      </c>
    </row>
    <row r="770" spans="1:15" x14ac:dyDescent="0.2">
      <c r="A770" s="21">
        <v>45801</v>
      </c>
      <c r="B770" s="5" t="s">
        <v>54</v>
      </c>
      <c r="C770" t="s">
        <v>55</v>
      </c>
      <c r="D770" t="s">
        <v>52</v>
      </c>
      <c r="E770" t="s">
        <v>35</v>
      </c>
      <c r="F770">
        <v>55</v>
      </c>
      <c r="G770">
        <v>18</v>
      </c>
      <c r="H770">
        <v>14</v>
      </c>
      <c r="I770">
        <f>Inventory_Data[[#This Row],[Opening_Stock]]+Inventory_Data[[#This Row],[Units_Received]]-Inventory_Data[[#This Row],[Units_Sold]]</f>
        <v>59</v>
      </c>
      <c r="J770">
        <v>0</v>
      </c>
      <c r="K770">
        <v>2</v>
      </c>
      <c r="L770" t="s">
        <v>56</v>
      </c>
      <c r="M770" s="3">
        <v>321.99</v>
      </c>
      <c r="N770" s="3">
        <v>417.72</v>
      </c>
      <c r="O770" s="10" t="str">
        <f>TEXT(Inventory_Data[[#This Row],[Date]],"mmm")</f>
        <v>May</v>
      </c>
    </row>
    <row r="771" spans="1:15" x14ac:dyDescent="0.2">
      <c r="A771" s="21">
        <v>45801</v>
      </c>
      <c r="B771" s="5" t="s">
        <v>194</v>
      </c>
      <c r="C771" t="s">
        <v>195</v>
      </c>
      <c r="D771" t="s">
        <v>34</v>
      </c>
      <c r="E771" t="s">
        <v>35</v>
      </c>
      <c r="F771">
        <v>280</v>
      </c>
      <c r="G771">
        <v>114</v>
      </c>
      <c r="H771">
        <v>165</v>
      </c>
      <c r="I771">
        <f>Inventory_Data[[#This Row],[Opening_Stock]]+Inventory_Data[[#This Row],[Units_Received]]-Inventory_Data[[#This Row],[Units_Sold]]</f>
        <v>229</v>
      </c>
      <c r="J771">
        <v>0</v>
      </c>
      <c r="K771">
        <v>9</v>
      </c>
      <c r="L771" t="s">
        <v>42</v>
      </c>
      <c r="M771" s="3">
        <v>12.23</v>
      </c>
      <c r="N771" s="3">
        <v>14.39</v>
      </c>
      <c r="O771" s="10" t="str">
        <f>TEXT(Inventory_Data[[#This Row],[Date]],"mmm")</f>
        <v>May</v>
      </c>
    </row>
    <row r="772" spans="1:15" x14ac:dyDescent="0.2">
      <c r="A772" s="21">
        <v>45801</v>
      </c>
      <c r="B772" s="5" t="s">
        <v>126</v>
      </c>
      <c r="C772" t="s">
        <v>127</v>
      </c>
      <c r="D772" t="s">
        <v>34</v>
      </c>
      <c r="E772" t="s">
        <v>28</v>
      </c>
      <c r="F772">
        <v>187</v>
      </c>
      <c r="G772">
        <v>49</v>
      </c>
      <c r="H772">
        <v>169</v>
      </c>
      <c r="I772">
        <f>Inventory_Data[[#This Row],[Opening_Stock]]+Inventory_Data[[#This Row],[Units_Received]]-Inventory_Data[[#This Row],[Units_Sold]]</f>
        <v>67</v>
      </c>
      <c r="J772">
        <v>0</v>
      </c>
      <c r="K772">
        <v>7</v>
      </c>
      <c r="L772" t="s">
        <v>36</v>
      </c>
      <c r="M772" s="3">
        <v>29.76</v>
      </c>
      <c r="N772" s="3">
        <v>45.55</v>
      </c>
      <c r="O772" s="10" t="str">
        <f>TEXT(Inventory_Data[[#This Row],[Date]],"mmm")</f>
        <v>May</v>
      </c>
    </row>
    <row r="773" spans="1:15" x14ac:dyDescent="0.2">
      <c r="A773" s="21">
        <v>45801</v>
      </c>
      <c r="B773" s="5" t="s">
        <v>196</v>
      </c>
      <c r="C773" t="s">
        <v>197</v>
      </c>
      <c r="D773" t="s">
        <v>34</v>
      </c>
      <c r="E773" t="s">
        <v>35</v>
      </c>
      <c r="F773">
        <v>358</v>
      </c>
      <c r="G773">
        <v>179</v>
      </c>
      <c r="H773">
        <v>162</v>
      </c>
      <c r="I773">
        <f>Inventory_Data[[#This Row],[Opening_Stock]]+Inventory_Data[[#This Row],[Units_Received]]-Inventory_Data[[#This Row],[Units_Sold]]</f>
        <v>375</v>
      </c>
      <c r="J773">
        <v>0</v>
      </c>
      <c r="K773">
        <v>9</v>
      </c>
      <c r="L773" t="s">
        <v>39</v>
      </c>
      <c r="M773" s="3">
        <v>2.93</v>
      </c>
      <c r="N773" s="3">
        <v>3.64</v>
      </c>
      <c r="O773" s="10" t="str">
        <f>TEXT(Inventory_Data[[#This Row],[Date]],"mmm")</f>
        <v>May</v>
      </c>
    </row>
    <row r="774" spans="1:15" x14ac:dyDescent="0.2">
      <c r="A774" s="21">
        <v>45802</v>
      </c>
      <c r="B774" s="5" t="s">
        <v>132</v>
      </c>
      <c r="C774" t="s">
        <v>133</v>
      </c>
      <c r="D774" t="s">
        <v>16</v>
      </c>
      <c r="E774" t="s">
        <v>17</v>
      </c>
      <c r="F774">
        <v>107</v>
      </c>
      <c r="G774">
        <v>56</v>
      </c>
      <c r="H774">
        <v>44</v>
      </c>
      <c r="I774">
        <f>Inventory_Data[[#This Row],[Opening_Stock]]+Inventory_Data[[#This Row],[Units_Received]]-Inventory_Data[[#This Row],[Units_Sold]]</f>
        <v>119</v>
      </c>
      <c r="J774">
        <v>0</v>
      </c>
      <c r="K774">
        <v>4</v>
      </c>
      <c r="L774" t="s">
        <v>45</v>
      </c>
      <c r="M774" s="3">
        <v>87.74</v>
      </c>
      <c r="N774" s="3">
        <v>128.28</v>
      </c>
      <c r="O774" s="10" t="str">
        <f>TEXT(Inventory_Data[[#This Row],[Date]],"mmm")</f>
        <v>May</v>
      </c>
    </row>
    <row r="775" spans="1:15" x14ac:dyDescent="0.2">
      <c r="A775" s="21">
        <v>45802</v>
      </c>
      <c r="B775" s="5" t="s">
        <v>184</v>
      </c>
      <c r="C775" t="s">
        <v>185</v>
      </c>
      <c r="D775" t="s">
        <v>16</v>
      </c>
      <c r="E775" t="s">
        <v>28</v>
      </c>
      <c r="F775">
        <v>152</v>
      </c>
      <c r="G775">
        <v>76</v>
      </c>
      <c r="H775">
        <v>15</v>
      </c>
      <c r="I775">
        <f>Inventory_Data[[#This Row],[Opening_Stock]]+Inventory_Data[[#This Row],[Units_Received]]-Inventory_Data[[#This Row],[Units_Sold]]</f>
        <v>213</v>
      </c>
      <c r="J775">
        <v>0</v>
      </c>
      <c r="K775">
        <v>10</v>
      </c>
      <c r="L775" t="s">
        <v>24</v>
      </c>
      <c r="M775" s="3">
        <v>162.1</v>
      </c>
      <c r="N775" s="3">
        <v>236.78</v>
      </c>
      <c r="O775" s="10" t="str">
        <f>TEXT(Inventory_Data[[#This Row],[Date]],"mmm")</f>
        <v>May</v>
      </c>
    </row>
    <row r="776" spans="1:15" x14ac:dyDescent="0.2">
      <c r="A776" s="21">
        <v>45802</v>
      </c>
      <c r="B776" s="5" t="s">
        <v>128</v>
      </c>
      <c r="C776" t="s">
        <v>129</v>
      </c>
      <c r="D776" t="s">
        <v>48</v>
      </c>
      <c r="E776" t="s">
        <v>28</v>
      </c>
      <c r="F776">
        <v>243</v>
      </c>
      <c r="G776">
        <v>75</v>
      </c>
      <c r="H776">
        <v>50</v>
      </c>
      <c r="I776">
        <f>Inventory_Data[[#This Row],[Opening_Stock]]+Inventory_Data[[#This Row],[Units_Received]]-Inventory_Data[[#This Row],[Units_Sold]]</f>
        <v>268</v>
      </c>
      <c r="J776">
        <v>0</v>
      </c>
      <c r="K776">
        <v>12</v>
      </c>
      <c r="L776" t="s">
        <v>63</v>
      </c>
      <c r="M776" s="3">
        <v>66.44</v>
      </c>
      <c r="N776" s="3">
        <v>81.540000000000006</v>
      </c>
      <c r="O776" s="10" t="str">
        <f>TEXT(Inventory_Data[[#This Row],[Date]],"mmm")</f>
        <v>May</v>
      </c>
    </row>
    <row r="777" spans="1:15" x14ac:dyDescent="0.2">
      <c r="A777" s="21">
        <v>45802</v>
      </c>
      <c r="B777" s="5" t="s">
        <v>84</v>
      </c>
      <c r="C777" t="s">
        <v>85</v>
      </c>
      <c r="D777" t="s">
        <v>48</v>
      </c>
      <c r="E777" t="s">
        <v>17</v>
      </c>
      <c r="F777">
        <v>62</v>
      </c>
      <c r="G777">
        <v>124</v>
      </c>
      <c r="H777">
        <v>76</v>
      </c>
      <c r="I777">
        <f>Inventory_Data[[#This Row],[Opening_Stock]]+Inventory_Data[[#This Row],[Units_Received]]-Inventory_Data[[#This Row],[Units_Sold]]</f>
        <v>110</v>
      </c>
      <c r="J777">
        <v>0</v>
      </c>
      <c r="K777">
        <v>3</v>
      </c>
      <c r="L777" t="s">
        <v>49</v>
      </c>
      <c r="M777" s="3">
        <v>21.74</v>
      </c>
      <c r="N777" s="3">
        <v>27.29</v>
      </c>
      <c r="O777" s="10" t="str">
        <f>TEXT(Inventory_Data[[#This Row],[Date]],"mmm")</f>
        <v>May</v>
      </c>
    </row>
    <row r="778" spans="1:15" x14ac:dyDescent="0.2">
      <c r="A778" s="21">
        <v>45802</v>
      </c>
      <c r="B778" s="5" t="s">
        <v>61</v>
      </c>
      <c r="C778" t="s">
        <v>62</v>
      </c>
      <c r="D778" t="s">
        <v>48</v>
      </c>
      <c r="E778" t="s">
        <v>21</v>
      </c>
      <c r="F778">
        <v>52</v>
      </c>
      <c r="G778">
        <v>59</v>
      </c>
      <c r="H778">
        <v>98</v>
      </c>
      <c r="I778">
        <f>Inventory_Data[[#This Row],[Opening_Stock]]+Inventory_Data[[#This Row],[Units_Received]]-Inventory_Data[[#This Row],[Units_Sold]]</f>
        <v>13</v>
      </c>
      <c r="J778">
        <v>0</v>
      </c>
      <c r="K778">
        <v>5</v>
      </c>
      <c r="L778" t="s">
        <v>49</v>
      </c>
      <c r="M778" s="3">
        <v>77.55</v>
      </c>
      <c r="N778" s="3">
        <v>110.44</v>
      </c>
      <c r="O778" s="10" t="str">
        <f>TEXT(Inventory_Data[[#This Row],[Date]],"mmm")</f>
        <v>May</v>
      </c>
    </row>
    <row r="779" spans="1:15" x14ac:dyDescent="0.2">
      <c r="A779" s="21">
        <v>45802</v>
      </c>
      <c r="B779" s="5" t="s">
        <v>154</v>
      </c>
      <c r="C779" t="s">
        <v>155</v>
      </c>
      <c r="D779" t="s">
        <v>48</v>
      </c>
      <c r="E779" t="s">
        <v>17</v>
      </c>
      <c r="F779">
        <v>157</v>
      </c>
      <c r="G779">
        <v>53</v>
      </c>
      <c r="H779">
        <v>71</v>
      </c>
      <c r="I779">
        <f>Inventory_Data[[#This Row],[Opening_Stock]]+Inventory_Data[[#This Row],[Units_Received]]-Inventory_Data[[#This Row],[Units_Sold]]</f>
        <v>139</v>
      </c>
      <c r="J779">
        <v>0</v>
      </c>
      <c r="K779">
        <v>9</v>
      </c>
      <c r="L779" t="s">
        <v>49</v>
      </c>
      <c r="M779" s="3">
        <v>67.73</v>
      </c>
      <c r="N779" s="3">
        <v>77.89</v>
      </c>
      <c r="O779" s="10" t="str">
        <f>TEXT(Inventory_Data[[#This Row],[Date]],"mmm")</f>
        <v>May</v>
      </c>
    </row>
    <row r="780" spans="1:15" x14ac:dyDescent="0.2">
      <c r="A780" s="21">
        <v>45802</v>
      </c>
      <c r="B780" s="5" t="s">
        <v>122</v>
      </c>
      <c r="C780" t="s">
        <v>123</v>
      </c>
      <c r="D780" t="s">
        <v>27</v>
      </c>
      <c r="E780" t="s">
        <v>28</v>
      </c>
      <c r="F780">
        <v>137</v>
      </c>
      <c r="G780">
        <v>73</v>
      </c>
      <c r="H780">
        <v>39</v>
      </c>
      <c r="I780">
        <f>Inventory_Data[[#This Row],[Opening_Stock]]+Inventory_Data[[#This Row],[Units_Received]]-Inventory_Data[[#This Row],[Units_Sold]]</f>
        <v>171</v>
      </c>
      <c r="J780">
        <v>0</v>
      </c>
      <c r="K780">
        <v>2</v>
      </c>
      <c r="L780" t="s">
        <v>29</v>
      </c>
      <c r="M780" s="3">
        <v>8.18</v>
      </c>
      <c r="N780" s="3">
        <v>9.74</v>
      </c>
      <c r="O780" s="10" t="str">
        <f>TEXT(Inventory_Data[[#This Row],[Date]],"mmm")</f>
        <v>May</v>
      </c>
    </row>
    <row r="781" spans="1:15" x14ac:dyDescent="0.2">
      <c r="A781" s="21">
        <v>45802</v>
      </c>
      <c r="B781" s="5" t="s">
        <v>172</v>
      </c>
      <c r="C781" t="s">
        <v>173</v>
      </c>
      <c r="D781" t="s">
        <v>27</v>
      </c>
      <c r="E781" t="s">
        <v>21</v>
      </c>
      <c r="F781">
        <v>105</v>
      </c>
      <c r="G781">
        <v>233</v>
      </c>
      <c r="H781">
        <v>99</v>
      </c>
      <c r="I781">
        <f>Inventory_Data[[#This Row],[Opening_Stock]]+Inventory_Data[[#This Row],[Units_Received]]-Inventory_Data[[#This Row],[Units_Sold]]</f>
        <v>239</v>
      </c>
      <c r="J781">
        <v>0</v>
      </c>
      <c r="K781">
        <v>6</v>
      </c>
      <c r="L781" t="s">
        <v>66</v>
      </c>
      <c r="M781" s="3">
        <v>17.079999999999998</v>
      </c>
      <c r="N781" s="3">
        <v>21.24</v>
      </c>
      <c r="O781" s="10" t="str">
        <f>TEXT(Inventory_Data[[#This Row],[Date]],"mmm")</f>
        <v>May</v>
      </c>
    </row>
    <row r="782" spans="1:15" x14ac:dyDescent="0.2">
      <c r="A782" s="21">
        <v>45802</v>
      </c>
      <c r="B782" s="5" t="s">
        <v>37</v>
      </c>
      <c r="C782" t="s">
        <v>38</v>
      </c>
      <c r="D782" t="s">
        <v>34</v>
      </c>
      <c r="E782" t="s">
        <v>28</v>
      </c>
      <c r="F782">
        <v>65</v>
      </c>
      <c r="G782">
        <v>148</v>
      </c>
      <c r="H782">
        <v>71</v>
      </c>
      <c r="I782">
        <f>Inventory_Data[[#This Row],[Opening_Stock]]+Inventory_Data[[#This Row],[Units_Received]]-Inventory_Data[[#This Row],[Units_Sold]]</f>
        <v>142</v>
      </c>
      <c r="J782">
        <v>0</v>
      </c>
      <c r="K782">
        <v>7</v>
      </c>
      <c r="L782" t="s">
        <v>39</v>
      </c>
      <c r="M782" s="3">
        <v>10.24</v>
      </c>
      <c r="N782" s="3">
        <v>13.45</v>
      </c>
      <c r="O782" s="10" t="str">
        <f>TEXT(Inventory_Data[[#This Row],[Date]],"mmm")</f>
        <v>May</v>
      </c>
    </row>
    <row r="783" spans="1:15" x14ac:dyDescent="0.2">
      <c r="A783" s="21">
        <v>45803</v>
      </c>
      <c r="B783" s="5" t="s">
        <v>154</v>
      </c>
      <c r="C783" t="s">
        <v>155</v>
      </c>
      <c r="D783" t="s">
        <v>48</v>
      </c>
      <c r="E783" t="s">
        <v>21</v>
      </c>
      <c r="F783">
        <v>123</v>
      </c>
      <c r="G783">
        <v>39</v>
      </c>
      <c r="H783">
        <v>55</v>
      </c>
      <c r="I783">
        <f>Inventory_Data[[#This Row],[Opening_Stock]]+Inventory_Data[[#This Row],[Units_Received]]-Inventory_Data[[#This Row],[Units_Sold]]</f>
        <v>107</v>
      </c>
      <c r="J783">
        <v>0</v>
      </c>
      <c r="K783">
        <v>4</v>
      </c>
      <c r="L783" t="s">
        <v>63</v>
      </c>
      <c r="M783" s="3">
        <v>48.37</v>
      </c>
      <c r="N783" s="3">
        <v>69.19</v>
      </c>
      <c r="O783" s="10" t="str">
        <f>TEXT(Inventory_Data[[#This Row],[Date]],"mmm")</f>
        <v>May</v>
      </c>
    </row>
    <row r="784" spans="1:15" x14ac:dyDescent="0.2">
      <c r="A784" s="21">
        <v>45803</v>
      </c>
      <c r="B784" s="5" t="s">
        <v>188</v>
      </c>
      <c r="C784" t="s">
        <v>189</v>
      </c>
      <c r="D784" t="s">
        <v>27</v>
      </c>
      <c r="E784" t="s">
        <v>17</v>
      </c>
      <c r="F784">
        <v>492</v>
      </c>
      <c r="G784">
        <v>162</v>
      </c>
      <c r="H784">
        <v>130</v>
      </c>
      <c r="I784">
        <f>Inventory_Data[[#This Row],[Opening_Stock]]+Inventory_Data[[#This Row],[Units_Received]]-Inventory_Data[[#This Row],[Units_Sold]]</f>
        <v>524</v>
      </c>
      <c r="J784">
        <v>0</v>
      </c>
      <c r="K784">
        <v>3</v>
      </c>
      <c r="L784" t="s">
        <v>29</v>
      </c>
      <c r="M784" s="3">
        <v>6.24</v>
      </c>
      <c r="N784" s="3">
        <v>7.68</v>
      </c>
      <c r="O784" s="10" t="str">
        <f>TEXT(Inventory_Data[[#This Row],[Date]],"mmm")</f>
        <v>May</v>
      </c>
    </row>
    <row r="785" spans="1:15" x14ac:dyDescent="0.2">
      <c r="A785" s="21">
        <v>45803</v>
      </c>
      <c r="B785" s="5" t="s">
        <v>30</v>
      </c>
      <c r="C785" t="s">
        <v>31</v>
      </c>
      <c r="D785" t="s">
        <v>27</v>
      </c>
      <c r="E785" t="s">
        <v>17</v>
      </c>
      <c r="F785">
        <v>174</v>
      </c>
      <c r="G785">
        <v>120</v>
      </c>
      <c r="H785">
        <v>80</v>
      </c>
      <c r="I785">
        <f>Inventory_Data[[#This Row],[Opening_Stock]]+Inventory_Data[[#This Row],[Units_Received]]-Inventory_Data[[#This Row],[Units_Sold]]</f>
        <v>214</v>
      </c>
      <c r="J785">
        <v>0</v>
      </c>
      <c r="K785">
        <v>4</v>
      </c>
      <c r="L785" t="s">
        <v>29</v>
      </c>
      <c r="M785" s="3">
        <v>12.21</v>
      </c>
      <c r="N785" s="3">
        <v>16.829999999999998</v>
      </c>
      <c r="O785" s="10" t="str">
        <f>TEXT(Inventory_Data[[#This Row],[Date]],"mmm")</f>
        <v>May</v>
      </c>
    </row>
    <row r="786" spans="1:15" x14ac:dyDescent="0.2">
      <c r="A786" s="21">
        <v>45803</v>
      </c>
      <c r="B786" s="5" t="s">
        <v>100</v>
      </c>
      <c r="C786" t="s">
        <v>101</v>
      </c>
      <c r="D786" t="s">
        <v>52</v>
      </c>
      <c r="E786" t="s">
        <v>21</v>
      </c>
      <c r="F786">
        <v>30</v>
      </c>
      <c r="G786">
        <v>11</v>
      </c>
      <c r="H786">
        <v>6</v>
      </c>
      <c r="I786">
        <f>Inventory_Data[[#This Row],[Opening_Stock]]+Inventory_Data[[#This Row],[Units_Received]]-Inventory_Data[[#This Row],[Units_Sold]]</f>
        <v>35</v>
      </c>
      <c r="J786">
        <v>0</v>
      </c>
      <c r="K786">
        <v>8</v>
      </c>
      <c r="L786" t="s">
        <v>53</v>
      </c>
      <c r="M786" s="3">
        <v>275.85000000000002</v>
      </c>
      <c r="N786" s="3">
        <v>370.62</v>
      </c>
      <c r="O786" s="10" t="str">
        <f>TEXT(Inventory_Data[[#This Row],[Date]],"mmm")</f>
        <v>May</v>
      </c>
    </row>
    <row r="787" spans="1:15" x14ac:dyDescent="0.2">
      <c r="A787" s="21">
        <v>45803</v>
      </c>
      <c r="B787" s="5" t="s">
        <v>138</v>
      </c>
      <c r="C787" t="s">
        <v>139</v>
      </c>
      <c r="D787" t="s">
        <v>34</v>
      </c>
      <c r="E787" t="s">
        <v>17</v>
      </c>
      <c r="F787">
        <v>69</v>
      </c>
      <c r="G787">
        <v>184</v>
      </c>
      <c r="H787">
        <v>26</v>
      </c>
      <c r="I787">
        <f>Inventory_Data[[#This Row],[Opening_Stock]]+Inventory_Data[[#This Row],[Units_Received]]-Inventory_Data[[#This Row],[Units_Sold]]</f>
        <v>227</v>
      </c>
      <c r="J787">
        <v>0</v>
      </c>
      <c r="K787">
        <v>8</v>
      </c>
      <c r="L787" t="s">
        <v>36</v>
      </c>
      <c r="M787" s="3">
        <v>29.41</v>
      </c>
      <c r="N787" s="3">
        <v>36.979999999999997</v>
      </c>
      <c r="O787" s="10" t="str">
        <f>TEXT(Inventory_Data[[#This Row],[Date]],"mmm")</f>
        <v>May</v>
      </c>
    </row>
    <row r="788" spans="1:15" x14ac:dyDescent="0.2">
      <c r="A788" s="21">
        <v>45804</v>
      </c>
      <c r="B788" s="5" t="s">
        <v>108</v>
      </c>
      <c r="C788" t="s">
        <v>109</v>
      </c>
      <c r="D788" t="s">
        <v>16</v>
      </c>
      <c r="E788" t="s">
        <v>21</v>
      </c>
      <c r="F788">
        <v>32</v>
      </c>
      <c r="G788">
        <v>52</v>
      </c>
      <c r="H788">
        <v>64</v>
      </c>
      <c r="I788">
        <f>Inventory_Data[[#This Row],[Opening_Stock]]+Inventory_Data[[#This Row],[Units_Received]]-Inventory_Data[[#This Row],[Units_Sold]]</f>
        <v>20</v>
      </c>
      <c r="J788">
        <v>0</v>
      </c>
      <c r="K788">
        <v>14</v>
      </c>
      <c r="L788" t="s">
        <v>45</v>
      </c>
      <c r="M788" s="3">
        <v>150.18</v>
      </c>
      <c r="N788" s="3">
        <v>210.23</v>
      </c>
      <c r="O788" s="10" t="str">
        <f>TEXT(Inventory_Data[[#This Row],[Date]],"mmm")</f>
        <v>May</v>
      </c>
    </row>
    <row r="789" spans="1:15" x14ac:dyDescent="0.2">
      <c r="A789" s="21">
        <v>45804</v>
      </c>
      <c r="B789" s="5" t="s">
        <v>144</v>
      </c>
      <c r="C789" t="s">
        <v>145</v>
      </c>
      <c r="D789" t="s">
        <v>48</v>
      </c>
      <c r="E789" t="s">
        <v>21</v>
      </c>
      <c r="F789">
        <v>70</v>
      </c>
      <c r="G789">
        <v>55</v>
      </c>
      <c r="H789">
        <v>77</v>
      </c>
      <c r="I789">
        <f>Inventory_Data[[#This Row],[Opening_Stock]]+Inventory_Data[[#This Row],[Units_Received]]-Inventory_Data[[#This Row],[Units_Sold]]</f>
        <v>48</v>
      </c>
      <c r="J789">
        <v>0</v>
      </c>
      <c r="K789">
        <v>11</v>
      </c>
      <c r="L789" t="s">
        <v>77</v>
      </c>
      <c r="M789" s="3">
        <v>74.680000000000007</v>
      </c>
      <c r="N789" s="3">
        <v>114.4</v>
      </c>
      <c r="O789" s="10" t="str">
        <f>TEXT(Inventory_Data[[#This Row],[Date]],"mmm")</f>
        <v>May</v>
      </c>
    </row>
    <row r="790" spans="1:15" x14ac:dyDescent="0.2">
      <c r="A790" s="21">
        <v>45804</v>
      </c>
      <c r="B790" s="5" t="s">
        <v>146</v>
      </c>
      <c r="C790" t="s">
        <v>147</v>
      </c>
      <c r="D790" t="s">
        <v>48</v>
      </c>
      <c r="E790" t="s">
        <v>28</v>
      </c>
      <c r="F790">
        <v>51</v>
      </c>
      <c r="G790">
        <v>138</v>
      </c>
      <c r="H790">
        <v>43</v>
      </c>
      <c r="I790">
        <f>Inventory_Data[[#This Row],[Opening_Stock]]+Inventory_Data[[#This Row],[Units_Received]]-Inventory_Data[[#This Row],[Units_Sold]]</f>
        <v>146</v>
      </c>
      <c r="J790">
        <v>0</v>
      </c>
      <c r="K790">
        <v>3</v>
      </c>
      <c r="L790" t="s">
        <v>63</v>
      </c>
      <c r="M790" s="3">
        <v>75.55</v>
      </c>
      <c r="N790" s="3">
        <v>108.69</v>
      </c>
      <c r="O790" s="10" t="str">
        <f>TEXT(Inventory_Data[[#This Row],[Date]],"mmm")</f>
        <v>May</v>
      </c>
    </row>
    <row r="791" spans="1:15" x14ac:dyDescent="0.2">
      <c r="A791" s="21">
        <v>45804</v>
      </c>
      <c r="B791" s="5" t="s">
        <v>46</v>
      </c>
      <c r="C791" t="s">
        <v>47</v>
      </c>
      <c r="D791" t="s">
        <v>48</v>
      </c>
      <c r="E791" t="s">
        <v>28</v>
      </c>
      <c r="F791">
        <v>182</v>
      </c>
      <c r="G791">
        <v>51</v>
      </c>
      <c r="H791">
        <v>37</v>
      </c>
      <c r="I791">
        <f>Inventory_Data[[#This Row],[Opening_Stock]]+Inventory_Data[[#This Row],[Units_Received]]-Inventory_Data[[#This Row],[Units_Sold]]</f>
        <v>196</v>
      </c>
      <c r="J791">
        <v>0</v>
      </c>
      <c r="K791">
        <v>7</v>
      </c>
      <c r="L791" t="s">
        <v>49</v>
      </c>
      <c r="M791" s="3">
        <v>37.99</v>
      </c>
      <c r="N791" s="3">
        <v>47.11</v>
      </c>
      <c r="O791" s="10" t="str">
        <f>TEXT(Inventory_Data[[#This Row],[Date]],"mmm")</f>
        <v>May</v>
      </c>
    </row>
    <row r="792" spans="1:15" x14ac:dyDescent="0.2">
      <c r="A792" s="21">
        <v>45804</v>
      </c>
      <c r="B792" s="5" t="s">
        <v>156</v>
      </c>
      <c r="C792" t="s">
        <v>157</v>
      </c>
      <c r="D792" t="s">
        <v>27</v>
      </c>
      <c r="E792" t="s">
        <v>28</v>
      </c>
      <c r="F792">
        <v>476</v>
      </c>
      <c r="G792">
        <v>126</v>
      </c>
      <c r="H792">
        <v>169</v>
      </c>
      <c r="I792">
        <f>Inventory_Data[[#This Row],[Opening_Stock]]+Inventory_Data[[#This Row],[Units_Received]]-Inventory_Data[[#This Row],[Units_Sold]]</f>
        <v>433</v>
      </c>
      <c r="J792">
        <v>0</v>
      </c>
      <c r="K792">
        <v>1</v>
      </c>
      <c r="L792" t="s">
        <v>66</v>
      </c>
      <c r="M792" s="3">
        <v>13.61</v>
      </c>
      <c r="N792" s="3">
        <v>20.96</v>
      </c>
      <c r="O792" s="10" t="str">
        <f>TEXT(Inventory_Data[[#This Row],[Date]],"mmm")</f>
        <v>May</v>
      </c>
    </row>
    <row r="793" spans="1:15" x14ac:dyDescent="0.2">
      <c r="A793" s="21">
        <v>45804</v>
      </c>
      <c r="B793" s="5" t="s">
        <v>160</v>
      </c>
      <c r="C793" t="s">
        <v>161</v>
      </c>
      <c r="D793" t="s">
        <v>27</v>
      </c>
      <c r="E793" t="s">
        <v>35</v>
      </c>
      <c r="F793">
        <v>122</v>
      </c>
      <c r="G793">
        <v>241</v>
      </c>
      <c r="H793">
        <v>108</v>
      </c>
      <c r="I793">
        <f>Inventory_Data[[#This Row],[Opening_Stock]]+Inventory_Data[[#This Row],[Units_Received]]-Inventory_Data[[#This Row],[Units_Sold]]</f>
        <v>255</v>
      </c>
      <c r="J793">
        <v>0</v>
      </c>
      <c r="K793">
        <v>4</v>
      </c>
      <c r="L793" t="s">
        <v>66</v>
      </c>
      <c r="M793" s="3">
        <v>17.57</v>
      </c>
      <c r="N793" s="3">
        <v>24.6</v>
      </c>
      <c r="O793" s="10" t="str">
        <f>TEXT(Inventory_Data[[#This Row],[Date]],"mmm")</f>
        <v>May</v>
      </c>
    </row>
    <row r="794" spans="1:15" x14ac:dyDescent="0.2">
      <c r="A794" s="21">
        <v>45804</v>
      </c>
      <c r="B794" s="5" t="s">
        <v>134</v>
      </c>
      <c r="C794" t="s">
        <v>135</v>
      </c>
      <c r="D794" t="s">
        <v>27</v>
      </c>
      <c r="E794" t="s">
        <v>21</v>
      </c>
      <c r="F794">
        <v>421</v>
      </c>
      <c r="G794">
        <v>248</v>
      </c>
      <c r="H794">
        <v>131</v>
      </c>
      <c r="I794">
        <f>Inventory_Data[[#This Row],[Opening_Stock]]+Inventory_Data[[#This Row],[Units_Received]]-Inventory_Data[[#This Row],[Units_Sold]]</f>
        <v>538</v>
      </c>
      <c r="J794">
        <v>0</v>
      </c>
      <c r="K794">
        <v>6</v>
      </c>
      <c r="L794" t="s">
        <v>29</v>
      </c>
      <c r="M794" s="3">
        <v>10.92</v>
      </c>
      <c r="N794" s="3">
        <v>13.55</v>
      </c>
      <c r="O794" s="10" t="str">
        <f>TEXT(Inventory_Data[[#This Row],[Date]],"mmm")</f>
        <v>May</v>
      </c>
    </row>
    <row r="795" spans="1:15" x14ac:dyDescent="0.2">
      <c r="A795" s="21">
        <v>45804</v>
      </c>
      <c r="B795" s="5" t="s">
        <v>182</v>
      </c>
      <c r="C795" t="s">
        <v>183</v>
      </c>
      <c r="D795" t="s">
        <v>52</v>
      </c>
      <c r="E795" t="s">
        <v>17</v>
      </c>
      <c r="F795">
        <v>51</v>
      </c>
      <c r="G795">
        <v>20</v>
      </c>
      <c r="H795">
        <v>14</v>
      </c>
      <c r="I795">
        <f>Inventory_Data[[#This Row],[Opening_Stock]]+Inventory_Data[[#This Row],[Units_Received]]-Inventory_Data[[#This Row],[Units_Sold]]</f>
        <v>57</v>
      </c>
      <c r="J795">
        <v>0</v>
      </c>
      <c r="K795">
        <v>12</v>
      </c>
      <c r="L795" t="s">
        <v>83</v>
      </c>
      <c r="M795" s="3">
        <v>281.56</v>
      </c>
      <c r="N795" s="3">
        <v>370.67</v>
      </c>
      <c r="O795" s="10" t="str">
        <f>TEXT(Inventory_Data[[#This Row],[Date]],"mmm")</f>
        <v>May</v>
      </c>
    </row>
    <row r="796" spans="1:15" x14ac:dyDescent="0.2">
      <c r="A796" s="21">
        <v>45804</v>
      </c>
      <c r="B796" s="5" t="s">
        <v>158</v>
      </c>
      <c r="C796" t="s">
        <v>159</v>
      </c>
      <c r="D796" t="s">
        <v>52</v>
      </c>
      <c r="E796" t="s">
        <v>21</v>
      </c>
      <c r="F796">
        <v>40</v>
      </c>
      <c r="G796">
        <v>22</v>
      </c>
      <c r="H796">
        <v>3</v>
      </c>
      <c r="I796">
        <f>Inventory_Data[[#This Row],[Opening_Stock]]+Inventory_Data[[#This Row],[Units_Received]]-Inventory_Data[[#This Row],[Units_Sold]]</f>
        <v>59</v>
      </c>
      <c r="J796">
        <v>0</v>
      </c>
      <c r="K796">
        <v>13</v>
      </c>
      <c r="L796" t="s">
        <v>53</v>
      </c>
      <c r="M796" s="3">
        <v>63.56</v>
      </c>
      <c r="N796" s="3">
        <v>96.83</v>
      </c>
      <c r="O796" s="10" t="str">
        <f>TEXT(Inventory_Data[[#This Row],[Date]],"mmm")</f>
        <v>May</v>
      </c>
    </row>
    <row r="797" spans="1:15" x14ac:dyDescent="0.2">
      <c r="A797" s="21">
        <v>45804</v>
      </c>
      <c r="B797" s="5" t="s">
        <v>88</v>
      </c>
      <c r="C797" t="s">
        <v>89</v>
      </c>
      <c r="D797" t="s">
        <v>34</v>
      </c>
      <c r="E797" t="s">
        <v>35</v>
      </c>
      <c r="F797">
        <v>164</v>
      </c>
      <c r="G797">
        <v>194</v>
      </c>
      <c r="H797">
        <v>80</v>
      </c>
      <c r="I797">
        <f>Inventory_Data[[#This Row],[Opening_Stock]]+Inventory_Data[[#This Row],[Units_Received]]-Inventory_Data[[#This Row],[Units_Sold]]</f>
        <v>278</v>
      </c>
      <c r="J797">
        <v>0</v>
      </c>
      <c r="K797">
        <v>10</v>
      </c>
      <c r="L797" t="s">
        <v>39</v>
      </c>
      <c r="M797" s="3">
        <v>17.059999999999999</v>
      </c>
      <c r="N797" s="3">
        <v>23.12</v>
      </c>
      <c r="O797" s="10" t="str">
        <f>TEXT(Inventory_Data[[#This Row],[Date]],"mmm")</f>
        <v>May</v>
      </c>
    </row>
    <row r="798" spans="1:15" x14ac:dyDescent="0.2">
      <c r="A798" s="21">
        <v>45805</v>
      </c>
      <c r="B798" s="5" t="s">
        <v>86</v>
      </c>
      <c r="C798" t="s">
        <v>87</v>
      </c>
      <c r="D798" t="s">
        <v>48</v>
      </c>
      <c r="E798" t="s">
        <v>28</v>
      </c>
      <c r="F798">
        <v>183</v>
      </c>
      <c r="G798">
        <v>147</v>
      </c>
      <c r="H798">
        <v>114</v>
      </c>
      <c r="I798">
        <f>Inventory_Data[[#This Row],[Opening_Stock]]+Inventory_Data[[#This Row],[Units_Received]]-Inventory_Data[[#This Row],[Units_Sold]]</f>
        <v>216</v>
      </c>
      <c r="J798">
        <v>0</v>
      </c>
      <c r="K798">
        <v>5</v>
      </c>
      <c r="L798" t="s">
        <v>49</v>
      </c>
      <c r="M798" s="3">
        <v>73.19</v>
      </c>
      <c r="N798" s="3">
        <v>93.65</v>
      </c>
      <c r="O798" s="10" t="str">
        <f>TEXT(Inventory_Data[[#This Row],[Date]],"mmm")</f>
        <v>May</v>
      </c>
    </row>
    <row r="799" spans="1:15" x14ac:dyDescent="0.2">
      <c r="A799" s="21">
        <v>45805</v>
      </c>
      <c r="B799" s="5" t="s">
        <v>146</v>
      </c>
      <c r="C799" t="s">
        <v>147</v>
      </c>
      <c r="D799" t="s">
        <v>48</v>
      </c>
      <c r="E799" t="s">
        <v>17</v>
      </c>
      <c r="F799">
        <v>222</v>
      </c>
      <c r="G799">
        <v>42</v>
      </c>
      <c r="H799">
        <v>41</v>
      </c>
      <c r="I799">
        <f>Inventory_Data[[#This Row],[Opening_Stock]]+Inventory_Data[[#This Row],[Units_Received]]-Inventory_Data[[#This Row],[Units_Sold]]</f>
        <v>223</v>
      </c>
      <c r="J799">
        <v>0</v>
      </c>
      <c r="K799">
        <v>11</v>
      </c>
      <c r="L799" t="s">
        <v>49</v>
      </c>
      <c r="M799" s="3">
        <v>56.04</v>
      </c>
      <c r="N799" s="3">
        <v>78.45</v>
      </c>
      <c r="O799" s="10" t="str">
        <f>TEXT(Inventory_Data[[#This Row],[Date]],"mmm")</f>
        <v>May</v>
      </c>
    </row>
    <row r="800" spans="1:15" x14ac:dyDescent="0.2">
      <c r="A800" s="21">
        <v>45805</v>
      </c>
      <c r="B800" s="5" t="s">
        <v>61</v>
      </c>
      <c r="C800" t="s">
        <v>62</v>
      </c>
      <c r="D800" t="s">
        <v>48</v>
      </c>
      <c r="E800" t="s">
        <v>35</v>
      </c>
      <c r="F800">
        <v>41</v>
      </c>
      <c r="G800">
        <v>125</v>
      </c>
      <c r="H800">
        <v>117</v>
      </c>
      <c r="I800">
        <f>Inventory_Data[[#This Row],[Opening_Stock]]+Inventory_Data[[#This Row],[Units_Received]]-Inventory_Data[[#This Row],[Units_Sold]]</f>
        <v>49</v>
      </c>
      <c r="J800">
        <v>0</v>
      </c>
      <c r="K800">
        <v>9</v>
      </c>
      <c r="L800" t="s">
        <v>49</v>
      </c>
      <c r="M800" s="3">
        <v>16.16</v>
      </c>
      <c r="N800" s="3">
        <v>22.49</v>
      </c>
      <c r="O800" s="10" t="str">
        <f>TEXT(Inventory_Data[[#This Row],[Date]],"mmm")</f>
        <v>May</v>
      </c>
    </row>
    <row r="801" spans="1:15" x14ac:dyDescent="0.2">
      <c r="A801" s="21">
        <v>45805</v>
      </c>
      <c r="B801" s="5" t="s">
        <v>134</v>
      </c>
      <c r="C801" t="s">
        <v>135</v>
      </c>
      <c r="D801" t="s">
        <v>27</v>
      </c>
      <c r="E801" t="s">
        <v>17</v>
      </c>
      <c r="F801">
        <v>262</v>
      </c>
      <c r="G801">
        <v>146</v>
      </c>
      <c r="H801">
        <v>73</v>
      </c>
      <c r="I801">
        <f>Inventory_Data[[#This Row],[Opening_Stock]]+Inventory_Data[[#This Row],[Units_Received]]-Inventory_Data[[#This Row],[Units_Sold]]</f>
        <v>335</v>
      </c>
      <c r="J801">
        <v>0</v>
      </c>
      <c r="K801">
        <v>6</v>
      </c>
      <c r="L801" t="s">
        <v>29</v>
      </c>
      <c r="M801" s="3">
        <v>24.93</v>
      </c>
      <c r="N801" s="3">
        <v>31.59</v>
      </c>
      <c r="O801" s="10" t="str">
        <f>TEXT(Inventory_Data[[#This Row],[Date]],"mmm")</f>
        <v>May</v>
      </c>
    </row>
    <row r="802" spans="1:15" x14ac:dyDescent="0.2">
      <c r="A802" s="21">
        <v>45805</v>
      </c>
      <c r="B802" s="5" t="s">
        <v>186</v>
      </c>
      <c r="C802" t="s">
        <v>187</v>
      </c>
      <c r="D802" t="s">
        <v>27</v>
      </c>
      <c r="E802" t="s">
        <v>28</v>
      </c>
      <c r="F802">
        <v>498</v>
      </c>
      <c r="G802">
        <v>151</v>
      </c>
      <c r="H802">
        <v>145</v>
      </c>
      <c r="I802">
        <f>Inventory_Data[[#This Row],[Opening_Stock]]+Inventory_Data[[#This Row],[Units_Received]]-Inventory_Data[[#This Row],[Units_Sold]]</f>
        <v>504</v>
      </c>
      <c r="J802">
        <v>0</v>
      </c>
      <c r="K802">
        <v>5</v>
      </c>
      <c r="L802" t="s">
        <v>29</v>
      </c>
      <c r="M802" s="3">
        <v>24.44</v>
      </c>
      <c r="N802" s="3">
        <v>36.590000000000003</v>
      </c>
      <c r="O802" s="10" t="str">
        <f>TEXT(Inventory_Data[[#This Row],[Date]],"mmm")</f>
        <v>May</v>
      </c>
    </row>
    <row r="803" spans="1:15" x14ac:dyDescent="0.2">
      <c r="A803" s="21">
        <v>45805</v>
      </c>
      <c r="B803" s="5" t="s">
        <v>67</v>
      </c>
      <c r="C803" t="s">
        <v>68</v>
      </c>
      <c r="D803" t="s">
        <v>52</v>
      </c>
      <c r="E803" t="s">
        <v>21</v>
      </c>
      <c r="F803">
        <v>23</v>
      </c>
      <c r="G803">
        <v>17</v>
      </c>
      <c r="H803">
        <v>20</v>
      </c>
      <c r="I803">
        <f>Inventory_Data[[#This Row],[Opening_Stock]]+Inventory_Data[[#This Row],[Units_Received]]-Inventory_Data[[#This Row],[Units_Sold]]</f>
        <v>20</v>
      </c>
      <c r="J803">
        <v>0</v>
      </c>
      <c r="K803">
        <v>2</v>
      </c>
      <c r="L803" t="s">
        <v>56</v>
      </c>
      <c r="M803" s="3">
        <v>273.07</v>
      </c>
      <c r="N803" s="3">
        <v>328.94</v>
      </c>
      <c r="O803" s="10" t="str">
        <f>TEXT(Inventory_Data[[#This Row],[Date]],"mmm")</f>
        <v>May</v>
      </c>
    </row>
    <row r="804" spans="1:15" x14ac:dyDescent="0.2">
      <c r="A804" s="21">
        <v>45805</v>
      </c>
      <c r="B804" s="5" t="s">
        <v>69</v>
      </c>
      <c r="C804" t="s">
        <v>70</v>
      </c>
      <c r="D804" t="s">
        <v>34</v>
      </c>
      <c r="E804" t="s">
        <v>21</v>
      </c>
      <c r="F804">
        <v>131</v>
      </c>
      <c r="G804">
        <v>38</v>
      </c>
      <c r="H804">
        <v>124</v>
      </c>
      <c r="I804">
        <f>Inventory_Data[[#This Row],[Opening_Stock]]+Inventory_Data[[#This Row],[Units_Received]]-Inventory_Data[[#This Row],[Units_Sold]]</f>
        <v>45</v>
      </c>
      <c r="J804">
        <v>0</v>
      </c>
      <c r="K804">
        <v>6</v>
      </c>
      <c r="L804" t="s">
        <v>36</v>
      </c>
      <c r="M804" s="3">
        <v>2.89</v>
      </c>
      <c r="N804" s="3">
        <v>4.28</v>
      </c>
      <c r="O804" s="10" t="str">
        <f>TEXT(Inventory_Data[[#This Row],[Date]],"mmm")</f>
        <v>May</v>
      </c>
    </row>
    <row r="805" spans="1:15" x14ac:dyDescent="0.2">
      <c r="A805" s="21">
        <v>45805</v>
      </c>
      <c r="B805" s="5" t="s">
        <v>126</v>
      </c>
      <c r="C805" t="s">
        <v>127</v>
      </c>
      <c r="D805" t="s">
        <v>34</v>
      </c>
      <c r="E805" t="s">
        <v>21</v>
      </c>
      <c r="F805">
        <v>263</v>
      </c>
      <c r="G805">
        <v>78</v>
      </c>
      <c r="H805">
        <v>93</v>
      </c>
      <c r="I805">
        <f>Inventory_Data[[#This Row],[Opening_Stock]]+Inventory_Data[[#This Row],[Units_Received]]-Inventory_Data[[#This Row],[Units_Sold]]</f>
        <v>248</v>
      </c>
      <c r="J805">
        <v>0</v>
      </c>
      <c r="K805">
        <v>10</v>
      </c>
      <c r="L805" t="s">
        <v>36</v>
      </c>
      <c r="M805" s="3">
        <v>1</v>
      </c>
      <c r="N805" s="3">
        <v>1.35</v>
      </c>
      <c r="O805" s="10" t="str">
        <f>TEXT(Inventory_Data[[#This Row],[Date]],"mmm")</f>
        <v>May</v>
      </c>
    </row>
    <row r="806" spans="1:15" x14ac:dyDescent="0.2">
      <c r="A806" s="21">
        <v>45806</v>
      </c>
      <c r="B806" s="5" t="s">
        <v>71</v>
      </c>
      <c r="C806" t="s">
        <v>72</v>
      </c>
      <c r="D806" t="s">
        <v>16</v>
      </c>
      <c r="E806" t="s">
        <v>21</v>
      </c>
      <c r="F806">
        <v>58</v>
      </c>
      <c r="G806">
        <v>78</v>
      </c>
      <c r="H806">
        <v>52</v>
      </c>
      <c r="I806">
        <f>Inventory_Data[[#This Row],[Opening_Stock]]+Inventory_Data[[#This Row],[Units_Received]]-Inventory_Data[[#This Row],[Units_Sold]]</f>
        <v>84</v>
      </c>
      <c r="J806">
        <v>0</v>
      </c>
      <c r="K806">
        <v>14</v>
      </c>
      <c r="L806" t="s">
        <v>24</v>
      </c>
      <c r="M806" s="3">
        <v>210.96</v>
      </c>
      <c r="N806" s="3">
        <v>320.52</v>
      </c>
      <c r="O806" s="10" t="str">
        <f>TEXT(Inventory_Data[[#This Row],[Date]],"mmm")</f>
        <v>May</v>
      </c>
    </row>
    <row r="807" spans="1:15" x14ac:dyDescent="0.2">
      <c r="A807" s="21">
        <v>45806</v>
      </c>
      <c r="B807" s="5" t="s">
        <v>75</v>
      </c>
      <c r="C807" t="s">
        <v>76</v>
      </c>
      <c r="D807" t="s">
        <v>48</v>
      </c>
      <c r="E807" t="s">
        <v>28</v>
      </c>
      <c r="F807">
        <v>73</v>
      </c>
      <c r="G807">
        <v>26</v>
      </c>
      <c r="H807">
        <v>99</v>
      </c>
      <c r="I807">
        <f>Inventory_Data[[#This Row],[Opening_Stock]]+Inventory_Data[[#This Row],[Units_Received]]-Inventory_Data[[#This Row],[Units_Sold]]</f>
        <v>0</v>
      </c>
      <c r="J807">
        <v>1</v>
      </c>
      <c r="K807">
        <v>4</v>
      </c>
      <c r="L807" t="s">
        <v>49</v>
      </c>
      <c r="M807" s="3">
        <v>36.03</v>
      </c>
      <c r="N807" s="3">
        <v>43.86</v>
      </c>
      <c r="O807" s="10" t="str">
        <f>TEXT(Inventory_Data[[#This Row],[Date]],"mmm")</f>
        <v>May</v>
      </c>
    </row>
    <row r="808" spans="1:15" x14ac:dyDescent="0.2">
      <c r="A808" s="21">
        <v>45806</v>
      </c>
      <c r="B808" s="5" t="s">
        <v>190</v>
      </c>
      <c r="C808" t="s">
        <v>191</v>
      </c>
      <c r="D808" t="s">
        <v>48</v>
      </c>
      <c r="E808" t="s">
        <v>17</v>
      </c>
      <c r="F808">
        <v>258</v>
      </c>
      <c r="G808">
        <v>141</v>
      </c>
      <c r="H808">
        <v>33</v>
      </c>
      <c r="I808">
        <f>Inventory_Data[[#This Row],[Opening_Stock]]+Inventory_Data[[#This Row],[Units_Received]]-Inventory_Data[[#This Row],[Units_Sold]]</f>
        <v>366</v>
      </c>
      <c r="J808">
        <v>0</v>
      </c>
      <c r="K808">
        <v>11</v>
      </c>
      <c r="L808" t="s">
        <v>49</v>
      </c>
      <c r="M808" s="3">
        <v>86.87</v>
      </c>
      <c r="N808" s="3">
        <v>122.58</v>
      </c>
      <c r="O808" s="10" t="str">
        <f>TEXT(Inventory_Data[[#This Row],[Date]],"mmm")</f>
        <v>May</v>
      </c>
    </row>
    <row r="809" spans="1:15" x14ac:dyDescent="0.2">
      <c r="A809" s="21">
        <v>45806</v>
      </c>
      <c r="B809" s="5" t="s">
        <v>180</v>
      </c>
      <c r="C809" t="s">
        <v>181</v>
      </c>
      <c r="D809" t="s">
        <v>34</v>
      </c>
      <c r="E809" t="s">
        <v>17</v>
      </c>
      <c r="F809">
        <v>306</v>
      </c>
      <c r="G809">
        <v>37</v>
      </c>
      <c r="H809">
        <v>93</v>
      </c>
      <c r="I809">
        <f>Inventory_Data[[#This Row],[Opening_Stock]]+Inventory_Data[[#This Row],[Units_Received]]-Inventory_Data[[#This Row],[Units_Sold]]</f>
        <v>250</v>
      </c>
      <c r="J809">
        <v>0</v>
      </c>
      <c r="K809">
        <v>4</v>
      </c>
      <c r="L809" t="s">
        <v>42</v>
      </c>
      <c r="M809" s="3">
        <v>19.260000000000002</v>
      </c>
      <c r="N809" s="3">
        <v>28.8</v>
      </c>
      <c r="O809" s="10" t="str">
        <f>TEXT(Inventory_Data[[#This Row],[Date]],"mmm")</f>
        <v>May</v>
      </c>
    </row>
    <row r="810" spans="1:15" x14ac:dyDescent="0.2">
      <c r="A810" s="21">
        <v>45807</v>
      </c>
      <c r="B810" s="5" t="s">
        <v>144</v>
      </c>
      <c r="C810" t="s">
        <v>145</v>
      </c>
      <c r="D810" t="s">
        <v>48</v>
      </c>
      <c r="E810" t="s">
        <v>17</v>
      </c>
      <c r="F810">
        <v>66</v>
      </c>
      <c r="G810">
        <v>93</v>
      </c>
      <c r="H810">
        <v>70</v>
      </c>
      <c r="I810">
        <f>Inventory_Data[[#This Row],[Opening_Stock]]+Inventory_Data[[#This Row],[Units_Received]]-Inventory_Data[[#This Row],[Units_Sold]]</f>
        <v>89</v>
      </c>
      <c r="J810">
        <v>0</v>
      </c>
      <c r="K810">
        <v>11</v>
      </c>
      <c r="L810" t="s">
        <v>49</v>
      </c>
      <c r="M810" s="3">
        <v>27.38</v>
      </c>
      <c r="N810" s="3">
        <v>32.56</v>
      </c>
      <c r="O810" s="10" t="str">
        <f>TEXT(Inventory_Data[[#This Row],[Date]],"mmm")</f>
        <v>May</v>
      </c>
    </row>
    <row r="811" spans="1:15" x14ac:dyDescent="0.2">
      <c r="A811" s="21">
        <v>45807</v>
      </c>
      <c r="B811" s="5" t="s">
        <v>110</v>
      </c>
      <c r="C811" t="s">
        <v>111</v>
      </c>
      <c r="D811" t="s">
        <v>52</v>
      </c>
      <c r="E811" t="s">
        <v>35</v>
      </c>
      <c r="F811">
        <v>36</v>
      </c>
      <c r="G811">
        <v>5</v>
      </c>
      <c r="H811">
        <v>7</v>
      </c>
      <c r="I811">
        <f>Inventory_Data[[#This Row],[Opening_Stock]]+Inventory_Data[[#This Row],[Units_Received]]-Inventory_Data[[#This Row],[Units_Sold]]</f>
        <v>34</v>
      </c>
      <c r="J811">
        <v>0</v>
      </c>
      <c r="K811">
        <v>7</v>
      </c>
      <c r="L811" t="s">
        <v>56</v>
      </c>
      <c r="M811" s="3">
        <v>45.52</v>
      </c>
      <c r="N811" s="3">
        <v>66.489999999999995</v>
      </c>
      <c r="O811" s="10" t="str">
        <f>TEXT(Inventory_Data[[#This Row],[Date]],"mmm")</f>
        <v>May</v>
      </c>
    </row>
    <row r="812" spans="1:15" x14ac:dyDescent="0.2">
      <c r="A812" s="21">
        <v>45807</v>
      </c>
      <c r="B812" s="5" t="s">
        <v>67</v>
      </c>
      <c r="C812" t="s">
        <v>68</v>
      </c>
      <c r="D812" t="s">
        <v>52</v>
      </c>
      <c r="E812" t="s">
        <v>35</v>
      </c>
      <c r="F812">
        <v>80</v>
      </c>
      <c r="G812">
        <v>22</v>
      </c>
      <c r="H812">
        <v>15</v>
      </c>
      <c r="I812">
        <f>Inventory_Data[[#This Row],[Opening_Stock]]+Inventory_Data[[#This Row],[Units_Received]]-Inventory_Data[[#This Row],[Units_Sold]]</f>
        <v>87</v>
      </c>
      <c r="J812">
        <v>0</v>
      </c>
      <c r="K812">
        <v>2</v>
      </c>
      <c r="L812" t="s">
        <v>56</v>
      </c>
      <c r="M812" s="3">
        <v>144.1</v>
      </c>
      <c r="N812" s="3">
        <v>188.55</v>
      </c>
      <c r="O812" s="10" t="str">
        <f>TEXT(Inventory_Data[[#This Row],[Date]],"mmm")</f>
        <v>May</v>
      </c>
    </row>
    <row r="813" spans="1:15" x14ac:dyDescent="0.2">
      <c r="A813" s="21">
        <v>45807</v>
      </c>
      <c r="B813" s="5" t="s">
        <v>104</v>
      </c>
      <c r="C813" t="s">
        <v>105</v>
      </c>
      <c r="D813" t="s">
        <v>34</v>
      </c>
      <c r="E813" t="s">
        <v>28</v>
      </c>
      <c r="F813">
        <v>348</v>
      </c>
      <c r="G813">
        <v>47</v>
      </c>
      <c r="H813">
        <v>87</v>
      </c>
      <c r="I813">
        <f>Inventory_Data[[#This Row],[Opening_Stock]]+Inventory_Data[[#This Row],[Units_Received]]-Inventory_Data[[#This Row],[Units_Sold]]</f>
        <v>308</v>
      </c>
      <c r="J813">
        <v>0</v>
      </c>
      <c r="K813">
        <v>2</v>
      </c>
      <c r="L813" t="s">
        <v>42</v>
      </c>
      <c r="M813" s="3">
        <v>28.1</v>
      </c>
      <c r="N813" s="3">
        <v>40.479999999999997</v>
      </c>
      <c r="O813" s="10" t="str">
        <f>TEXT(Inventory_Data[[#This Row],[Date]],"mmm")</f>
        <v>May</v>
      </c>
    </row>
    <row r="814" spans="1:15" x14ac:dyDescent="0.2">
      <c r="A814" s="21">
        <v>45807</v>
      </c>
      <c r="B814" s="5" t="s">
        <v>126</v>
      </c>
      <c r="C814" t="s">
        <v>127</v>
      </c>
      <c r="D814" t="s">
        <v>34</v>
      </c>
      <c r="E814" t="s">
        <v>17</v>
      </c>
      <c r="F814">
        <v>208</v>
      </c>
      <c r="G814">
        <v>71</v>
      </c>
      <c r="H814">
        <v>171</v>
      </c>
      <c r="I814">
        <f>Inventory_Data[[#This Row],[Opening_Stock]]+Inventory_Data[[#This Row],[Units_Received]]-Inventory_Data[[#This Row],[Units_Sold]]</f>
        <v>108</v>
      </c>
      <c r="J814">
        <v>0</v>
      </c>
      <c r="K814">
        <v>2</v>
      </c>
      <c r="L814" t="s">
        <v>39</v>
      </c>
      <c r="M814" s="3">
        <v>22.82</v>
      </c>
      <c r="N814" s="3">
        <v>26.52</v>
      </c>
      <c r="O814" s="10" t="str">
        <f>TEXT(Inventory_Data[[#This Row],[Date]],"mmm")</f>
        <v>May</v>
      </c>
    </row>
    <row r="815" spans="1:15" x14ac:dyDescent="0.2">
      <c r="A815" s="21">
        <v>45808</v>
      </c>
      <c r="B815" s="5" t="s">
        <v>22</v>
      </c>
      <c r="C815" t="s">
        <v>23</v>
      </c>
      <c r="D815" t="s">
        <v>16</v>
      </c>
      <c r="E815" t="s">
        <v>28</v>
      </c>
      <c r="F815">
        <v>144</v>
      </c>
      <c r="G815">
        <v>33</v>
      </c>
      <c r="H815">
        <v>25</v>
      </c>
      <c r="I815">
        <f>Inventory_Data[[#This Row],[Opening_Stock]]+Inventory_Data[[#This Row],[Units_Received]]-Inventory_Data[[#This Row],[Units_Sold]]</f>
        <v>152</v>
      </c>
      <c r="J815">
        <v>0</v>
      </c>
      <c r="K815">
        <v>11</v>
      </c>
      <c r="L815" t="s">
        <v>24</v>
      </c>
      <c r="M815" s="3">
        <v>127.07</v>
      </c>
      <c r="N815" s="3">
        <v>188.82</v>
      </c>
      <c r="O815" s="10" t="str">
        <f>TEXT(Inventory_Data[[#This Row],[Date]],"mmm")</f>
        <v>May</v>
      </c>
    </row>
    <row r="816" spans="1:15" x14ac:dyDescent="0.2">
      <c r="A816" s="21">
        <v>45808</v>
      </c>
      <c r="B816" s="5" t="s">
        <v>22</v>
      </c>
      <c r="C816" t="s">
        <v>23</v>
      </c>
      <c r="D816" t="s">
        <v>16</v>
      </c>
      <c r="E816" t="s">
        <v>17</v>
      </c>
      <c r="F816">
        <v>57</v>
      </c>
      <c r="G816">
        <v>42</v>
      </c>
      <c r="H816">
        <v>46</v>
      </c>
      <c r="I816">
        <f>Inventory_Data[[#This Row],[Opening_Stock]]+Inventory_Data[[#This Row],[Units_Received]]-Inventory_Data[[#This Row],[Units_Sold]]</f>
        <v>53</v>
      </c>
      <c r="J816">
        <v>0</v>
      </c>
      <c r="K816">
        <v>14</v>
      </c>
      <c r="L816" t="s">
        <v>18</v>
      </c>
      <c r="M816" s="3">
        <v>152.29</v>
      </c>
      <c r="N816" s="3">
        <v>233.7</v>
      </c>
      <c r="O816" s="10" t="str">
        <f>TEXT(Inventory_Data[[#This Row],[Date]],"mmm")</f>
        <v>May</v>
      </c>
    </row>
    <row r="817" spans="1:15" x14ac:dyDescent="0.2">
      <c r="A817" s="21">
        <v>45808</v>
      </c>
      <c r="B817" s="5" t="s">
        <v>184</v>
      </c>
      <c r="C817" t="s">
        <v>185</v>
      </c>
      <c r="D817" t="s">
        <v>16</v>
      </c>
      <c r="E817" t="s">
        <v>35</v>
      </c>
      <c r="F817">
        <v>90</v>
      </c>
      <c r="G817">
        <v>59</v>
      </c>
      <c r="H817">
        <v>77</v>
      </c>
      <c r="I817">
        <f>Inventory_Data[[#This Row],[Opening_Stock]]+Inventory_Data[[#This Row],[Units_Received]]-Inventory_Data[[#This Row],[Units_Sold]]</f>
        <v>72</v>
      </c>
      <c r="J817">
        <v>0</v>
      </c>
      <c r="K817">
        <v>14</v>
      </c>
      <c r="L817" t="s">
        <v>45</v>
      </c>
      <c r="M817" s="3">
        <v>133.28</v>
      </c>
      <c r="N817" s="3">
        <v>171.69</v>
      </c>
      <c r="O817" s="10" t="str">
        <f>TEXT(Inventory_Data[[#This Row],[Date]],"mmm")</f>
        <v>May</v>
      </c>
    </row>
    <row r="818" spans="1:15" x14ac:dyDescent="0.2">
      <c r="A818" s="21">
        <v>45808</v>
      </c>
      <c r="B818" s="5" t="s">
        <v>81</v>
      </c>
      <c r="C818" t="s">
        <v>82</v>
      </c>
      <c r="D818" t="s">
        <v>52</v>
      </c>
      <c r="E818" t="s">
        <v>35</v>
      </c>
      <c r="F818">
        <v>80</v>
      </c>
      <c r="G818">
        <v>10</v>
      </c>
      <c r="H818">
        <v>13</v>
      </c>
      <c r="I818">
        <f>Inventory_Data[[#This Row],[Opening_Stock]]+Inventory_Data[[#This Row],[Units_Received]]-Inventory_Data[[#This Row],[Units_Sold]]</f>
        <v>77</v>
      </c>
      <c r="J818">
        <v>0</v>
      </c>
      <c r="K818">
        <v>3</v>
      </c>
      <c r="L818" t="s">
        <v>56</v>
      </c>
      <c r="M818" s="3">
        <v>204.42</v>
      </c>
      <c r="N818" s="3">
        <v>269.08</v>
      </c>
      <c r="O818" s="10" t="str">
        <f>TEXT(Inventory_Data[[#This Row],[Date]],"mmm")</f>
        <v>May</v>
      </c>
    </row>
    <row r="819" spans="1:15" x14ac:dyDescent="0.2">
      <c r="A819" s="21">
        <v>45808</v>
      </c>
      <c r="B819" s="5" t="s">
        <v>104</v>
      </c>
      <c r="C819" t="s">
        <v>105</v>
      </c>
      <c r="D819" t="s">
        <v>34</v>
      </c>
      <c r="E819" t="s">
        <v>21</v>
      </c>
      <c r="F819">
        <v>370</v>
      </c>
      <c r="G819">
        <v>75</v>
      </c>
      <c r="H819">
        <v>46</v>
      </c>
      <c r="I819">
        <f>Inventory_Data[[#This Row],[Opening_Stock]]+Inventory_Data[[#This Row],[Units_Received]]-Inventory_Data[[#This Row],[Units_Sold]]</f>
        <v>399</v>
      </c>
      <c r="J819">
        <v>0</v>
      </c>
      <c r="K819">
        <v>8</v>
      </c>
      <c r="L819" t="s">
        <v>39</v>
      </c>
      <c r="M819" s="3">
        <v>28.63</v>
      </c>
      <c r="N819" s="3">
        <v>36.67</v>
      </c>
      <c r="O819" s="10" t="str">
        <f>TEXT(Inventory_Data[[#This Row],[Date]],"mmm")</f>
        <v>May</v>
      </c>
    </row>
    <row r="820" spans="1:15" x14ac:dyDescent="0.2">
      <c r="A820" s="21">
        <v>45808</v>
      </c>
      <c r="B820" s="5" t="s">
        <v>43</v>
      </c>
      <c r="C820" t="s">
        <v>44</v>
      </c>
      <c r="D820" t="s">
        <v>34</v>
      </c>
      <c r="E820" t="s">
        <v>17</v>
      </c>
      <c r="F820">
        <v>128</v>
      </c>
      <c r="G820">
        <v>113</v>
      </c>
      <c r="H820">
        <v>117</v>
      </c>
      <c r="I820">
        <f>Inventory_Data[[#This Row],[Opening_Stock]]+Inventory_Data[[#This Row],[Units_Received]]-Inventory_Data[[#This Row],[Units_Sold]]</f>
        <v>124</v>
      </c>
      <c r="J820">
        <v>0</v>
      </c>
      <c r="K820">
        <v>8</v>
      </c>
      <c r="L820" t="s">
        <v>36</v>
      </c>
      <c r="M820" s="3">
        <v>2.52</v>
      </c>
      <c r="N820" s="3">
        <v>3</v>
      </c>
      <c r="O820" s="10" t="str">
        <f>TEXT(Inventory_Data[[#This Row],[Date]],"mmm")</f>
        <v>May</v>
      </c>
    </row>
    <row r="821" spans="1:15" x14ac:dyDescent="0.2">
      <c r="A821" s="21">
        <v>45809</v>
      </c>
      <c r="B821" s="5" t="s">
        <v>71</v>
      </c>
      <c r="C821" t="s">
        <v>72</v>
      </c>
      <c r="D821" t="s">
        <v>16</v>
      </c>
      <c r="E821" t="s">
        <v>21</v>
      </c>
      <c r="F821">
        <v>121</v>
      </c>
      <c r="G821">
        <v>13</v>
      </c>
      <c r="H821">
        <v>23</v>
      </c>
      <c r="I821">
        <f>Inventory_Data[[#This Row],[Opening_Stock]]+Inventory_Data[[#This Row],[Units_Received]]-Inventory_Data[[#This Row],[Units_Sold]]</f>
        <v>111</v>
      </c>
      <c r="J821">
        <v>0</v>
      </c>
      <c r="K821">
        <v>7</v>
      </c>
      <c r="L821" t="s">
        <v>24</v>
      </c>
      <c r="M821" s="3">
        <v>199.78</v>
      </c>
      <c r="N821" s="3">
        <v>299.89999999999998</v>
      </c>
      <c r="O821" s="10" t="str">
        <f>TEXT(Inventory_Data[[#This Row],[Date]],"mmm")</f>
        <v>Jun</v>
      </c>
    </row>
    <row r="822" spans="1:15" x14ac:dyDescent="0.2">
      <c r="A822" s="21">
        <v>45809</v>
      </c>
      <c r="B822" s="5" t="s">
        <v>14</v>
      </c>
      <c r="C822" t="s">
        <v>15</v>
      </c>
      <c r="D822" t="s">
        <v>16</v>
      </c>
      <c r="E822" t="s">
        <v>21</v>
      </c>
      <c r="F822">
        <v>76</v>
      </c>
      <c r="G822">
        <v>56</v>
      </c>
      <c r="H822">
        <v>35</v>
      </c>
      <c r="I822">
        <f>Inventory_Data[[#This Row],[Opening_Stock]]+Inventory_Data[[#This Row],[Units_Received]]-Inventory_Data[[#This Row],[Units_Sold]]</f>
        <v>97</v>
      </c>
      <c r="J822">
        <v>0</v>
      </c>
      <c r="K822">
        <v>10</v>
      </c>
      <c r="L822" t="s">
        <v>18</v>
      </c>
      <c r="M822" s="3">
        <v>156.44999999999999</v>
      </c>
      <c r="N822" s="3">
        <v>223.1</v>
      </c>
      <c r="O822" s="10" t="str">
        <f>TEXT(Inventory_Data[[#This Row],[Date]],"mmm")</f>
        <v>Jun</v>
      </c>
    </row>
    <row r="823" spans="1:15" x14ac:dyDescent="0.2">
      <c r="A823" s="21">
        <v>45809</v>
      </c>
      <c r="B823" s="5" t="s">
        <v>112</v>
      </c>
      <c r="C823" t="s">
        <v>113</v>
      </c>
      <c r="D823" t="s">
        <v>16</v>
      </c>
      <c r="E823" t="s">
        <v>21</v>
      </c>
      <c r="F823">
        <v>78</v>
      </c>
      <c r="G823">
        <v>42</v>
      </c>
      <c r="H823">
        <v>45</v>
      </c>
      <c r="I823">
        <f>Inventory_Data[[#This Row],[Opening_Stock]]+Inventory_Data[[#This Row],[Units_Received]]-Inventory_Data[[#This Row],[Units_Sold]]</f>
        <v>75</v>
      </c>
      <c r="J823">
        <v>0</v>
      </c>
      <c r="K823">
        <v>10</v>
      </c>
      <c r="L823" t="s">
        <v>18</v>
      </c>
      <c r="M823" s="3">
        <v>126.7</v>
      </c>
      <c r="N823" s="3">
        <v>160.07</v>
      </c>
      <c r="O823" s="10" t="str">
        <f>TEXT(Inventory_Data[[#This Row],[Date]],"mmm")</f>
        <v>Jun</v>
      </c>
    </row>
    <row r="824" spans="1:15" x14ac:dyDescent="0.2">
      <c r="A824" s="21">
        <v>45809</v>
      </c>
      <c r="B824" s="5" t="s">
        <v>94</v>
      </c>
      <c r="C824" t="s">
        <v>95</v>
      </c>
      <c r="D824" t="s">
        <v>16</v>
      </c>
      <c r="E824" t="s">
        <v>17</v>
      </c>
      <c r="F824">
        <v>162</v>
      </c>
      <c r="G824">
        <v>26</v>
      </c>
      <c r="H824">
        <v>58</v>
      </c>
      <c r="I824">
        <f>Inventory_Data[[#This Row],[Opening_Stock]]+Inventory_Data[[#This Row],[Units_Received]]-Inventory_Data[[#This Row],[Units_Sold]]</f>
        <v>130</v>
      </c>
      <c r="J824">
        <v>0</v>
      </c>
      <c r="K824">
        <v>3</v>
      </c>
      <c r="L824" t="s">
        <v>24</v>
      </c>
      <c r="M824" s="3">
        <v>135.02000000000001</v>
      </c>
      <c r="N824" s="3">
        <v>172.32</v>
      </c>
      <c r="O824" s="10" t="str">
        <f>TEXT(Inventory_Data[[#This Row],[Date]],"mmm")</f>
        <v>Jun</v>
      </c>
    </row>
    <row r="825" spans="1:15" x14ac:dyDescent="0.2">
      <c r="A825" s="21">
        <v>45809</v>
      </c>
      <c r="B825" s="5" t="s">
        <v>184</v>
      </c>
      <c r="C825" t="s">
        <v>185</v>
      </c>
      <c r="D825" t="s">
        <v>16</v>
      </c>
      <c r="E825" t="s">
        <v>35</v>
      </c>
      <c r="F825">
        <v>135</v>
      </c>
      <c r="G825">
        <v>27</v>
      </c>
      <c r="H825">
        <v>41</v>
      </c>
      <c r="I825">
        <f>Inventory_Data[[#This Row],[Opening_Stock]]+Inventory_Data[[#This Row],[Units_Received]]-Inventory_Data[[#This Row],[Units_Sold]]</f>
        <v>121</v>
      </c>
      <c r="J825">
        <v>0</v>
      </c>
      <c r="K825">
        <v>11</v>
      </c>
      <c r="L825" t="s">
        <v>45</v>
      </c>
      <c r="M825" s="3">
        <v>116.18</v>
      </c>
      <c r="N825" s="3">
        <v>154.69</v>
      </c>
      <c r="O825" s="10" t="str">
        <f>TEXT(Inventory_Data[[#This Row],[Date]],"mmm")</f>
        <v>Jun</v>
      </c>
    </row>
    <row r="826" spans="1:15" x14ac:dyDescent="0.2">
      <c r="A826" s="21">
        <v>45809</v>
      </c>
      <c r="B826" s="5" t="s">
        <v>160</v>
      </c>
      <c r="C826" t="s">
        <v>161</v>
      </c>
      <c r="D826" t="s">
        <v>27</v>
      </c>
      <c r="E826" t="s">
        <v>21</v>
      </c>
      <c r="F826">
        <v>139</v>
      </c>
      <c r="G826">
        <v>137</v>
      </c>
      <c r="H826">
        <v>190</v>
      </c>
      <c r="I826">
        <f>Inventory_Data[[#This Row],[Opening_Stock]]+Inventory_Data[[#This Row],[Units_Received]]-Inventory_Data[[#This Row],[Units_Sold]]</f>
        <v>86</v>
      </c>
      <c r="J826">
        <v>0</v>
      </c>
      <c r="K826">
        <v>6</v>
      </c>
      <c r="L826" t="s">
        <v>80</v>
      </c>
      <c r="M826" s="3">
        <v>5.37</v>
      </c>
      <c r="N826" s="3">
        <v>7.96</v>
      </c>
      <c r="O826" s="10" t="str">
        <f>TEXT(Inventory_Data[[#This Row],[Date]],"mmm")</f>
        <v>Jun</v>
      </c>
    </row>
    <row r="827" spans="1:15" x14ac:dyDescent="0.2">
      <c r="A827" s="21">
        <v>45809</v>
      </c>
      <c r="B827" s="5" t="s">
        <v>64</v>
      </c>
      <c r="C827" t="s">
        <v>65</v>
      </c>
      <c r="D827" t="s">
        <v>27</v>
      </c>
      <c r="E827" t="s">
        <v>28</v>
      </c>
      <c r="F827">
        <v>157</v>
      </c>
      <c r="G827">
        <v>233</v>
      </c>
      <c r="H827">
        <v>48</v>
      </c>
      <c r="I827">
        <f>Inventory_Data[[#This Row],[Opening_Stock]]+Inventory_Data[[#This Row],[Units_Received]]-Inventory_Data[[#This Row],[Units_Sold]]</f>
        <v>342</v>
      </c>
      <c r="J827">
        <v>0</v>
      </c>
      <c r="K827">
        <v>7</v>
      </c>
      <c r="L827" t="s">
        <v>66</v>
      </c>
      <c r="M827" s="3">
        <v>22.48</v>
      </c>
      <c r="N827" s="3">
        <v>31.04</v>
      </c>
      <c r="O827" s="10" t="str">
        <f>TEXT(Inventory_Data[[#This Row],[Date]],"mmm")</f>
        <v>Jun</v>
      </c>
    </row>
    <row r="828" spans="1:15" x14ac:dyDescent="0.2">
      <c r="A828" s="21">
        <v>45809</v>
      </c>
      <c r="B828" s="5" t="s">
        <v>186</v>
      </c>
      <c r="C828" t="s">
        <v>187</v>
      </c>
      <c r="D828" t="s">
        <v>27</v>
      </c>
      <c r="E828" t="s">
        <v>28</v>
      </c>
      <c r="F828">
        <v>92</v>
      </c>
      <c r="G828">
        <v>179</v>
      </c>
      <c r="H828">
        <v>104</v>
      </c>
      <c r="I828">
        <f>Inventory_Data[[#This Row],[Opening_Stock]]+Inventory_Data[[#This Row],[Units_Received]]-Inventory_Data[[#This Row],[Units_Sold]]</f>
        <v>167</v>
      </c>
      <c r="J828">
        <v>0</v>
      </c>
      <c r="K828">
        <v>2</v>
      </c>
      <c r="L828" t="s">
        <v>66</v>
      </c>
      <c r="M828" s="3">
        <v>12.05</v>
      </c>
      <c r="N828" s="3">
        <v>17.64</v>
      </c>
      <c r="O828" s="10" t="str">
        <f>TEXT(Inventory_Data[[#This Row],[Date]],"mmm")</f>
        <v>Jun</v>
      </c>
    </row>
    <row r="829" spans="1:15" x14ac:dyDescent="0.2">
      <c r="A829" s="21">
        <v>45809</v>
      </c>
      <c r="B829" s="5" t="s">
        <v>104</v>
      </c>
      <c r="C829" t="s">
        <v>105</v>
      </c>
      <c r="D829" t="s">
        <v>34</v>
      </c>
      <c r="E829" t="s">
        <v>35</v>
      </c>
      <c r="F829">
        <v>399</v>
      </c>
      <c r="G829">
        <v>111</v>
      </c>
      <c r="H829">
        <v>160</v>
      </c>
      <c r="I829">
        <f>Inventory_Data[[#This Row],[Opening_Stock]]+Inventory_Data[[#This Row],[Units_Received]]-Inventory_Data[[#This Row],[Units_Sold]]</f>
        <v>350</v>
      </c>
      <c r="J829">
        <v>0</v>
      </c>
      <c r="K829">
        <v>3</v>
      </c>
      <c r="L829" t="s">
        <v>36</v>
      </c>
      <c r="M829" s="3">
        <v>20.29</v>
      </c>
      <c r="N829" s="3">
        <v>29.83</v>
      </c>
      <c r="O829" s="10" t="str">
        <f>TEXT(Inventory_Data[[#This Row],[Date]],"mmm")</f>
        <v>Jun</v>
      </c>
    </row>
    <row r="830" spans="1:15" x14ac:dyDescent="0.2">
      <c r="A830" s="21">
        <v>45809</v>
      </c>
      <c r="B830" s="5" t="s">
        <v>126</v>
      </c>
      <c r="C830" t="s">
        <v>127</v>
      </c>
      <c r="D830" t="s">
        <v>34</v>
      </c>
      <c r="E830" t="s">
        <v>17</v>
      </c>
      <c r="F830">
        <v>103</v>
      </c>
      <c r="G830">
        <v>171</v>
      </c>
      <c r="H830">
        <v>146</v>
      </c>
      <c r="I830">
        <f>Inventory_Data[[#This Row],[Opening_Stock]]+Inventory_Data[[#This Row],[Units_Received]]-Inventory_Data[[#This Row],[Units_Sold]]</f>
        <v>128</v>
      </c>
      <c r="J830">
        <v>0</v>
      </c>
      <c r="K830">
        <v>14</v>
      </c>
      <c r="L830" t="s">
        <v>36</v>
      </c>
      <c r="M830" s="3">
        <v>11.86</v>
      </c>
      <c r="N830" s="3">
        <v>14.02</v>
      </c>
      <c r="O830" s="10" t="str">
        <f>TEXT(Inventory_Data[[#This Row],[Date]],"mmm")</f>
        <v>Jun</v>
      </c>
    </row>
    <row r="831" spans="1:15" x14ac:dyDescent="0.2">
      <c r="A831" s="21">
        <v>45810</v>
      </c>
      <c r="B831" s="5" t="s">
        <v>108</v>
      </c>
      <c r="C831" t="s">
        <v>109</v>
      </c>
      <c r="D831" t="s">
        <v>16</v>
      </c>
      <c r="E831" t="s">
        <v>35</v>
      </c>
      <c r="F831">
        <v>43</v>
      </c>
      <c r="G831">
        <v>69</v>
      </c>
      <c r="H831">
        <v>59</v>
      </c>
      <c r="I831">
        <f>Inventory_Data[[#This Row],[Opening_Stock]]+Inventory_Data[[#This Row],[Units_Received]]-Inventory_Data[[#This Row],[Units_Sold]]</f>
        <v>53</v>
      </c>
      <c r="J831">
        <v>0</v>
      </c>
      <c r="K831">
        <v>14</v>
      </c>
      <c r="L831" t="s">
        <v>18</v>
      </c>
      <c r="M831" s="3">
        <v>139.53</v>
      </c>
      <c r="N831" s="3">
        <v>189.66</v>
      </c>
      <c r="O831" s="10" t="str">
        <f>TEXT(Inventory_Data[[#This Row],[Date]],"mmm")</f>
        <v>Jun</v>
      </c>
    </row>
    <row r="832" spans="1:15" x14ac:dyDescent="0.2">
      <c r="A832" s="21">
        <v>45810</v>
      </c>
      <c r="B832" s="5" t="s">
        <v>90</v>
      </c>
      <c r="C832" t="s">
        <v>91</v>
      </c>
      <c r="D832" t="s">
        <v>48</v>
      </c>
      <c r="E832" t="s">
        <v>35</v>
      </c>
      <c r="F832">
        <v>90</v>
      </c>
      <c r="G832">
        <v>106</v>
      </c>
      <c r="H832">
        <v>77</v>
      </c>
      <c r="I832">
        <f>Inventory_Data[[#This Row],[Opening_Stock]]+Inventory_Data[[#This Row],[Units_Received]]-Inventory_Data[[#This Row],[Units_Sold]]</f>
        <v>119</v>
      </c>
      <c r="J832">
        <v>0</v>
      </c>
      <c r="K832">
        <v>5</v>
      </c>
      <c r="L832" t="s">
        <v>77</v>
      </c>
      <c r="M832" s="3">
        <v>16.3</v>
      </c>
      <c r="N832" s="3">
        <v>24.43</v>
      </c>
      <c r="O832" s="10" t="str">
        <f>TEXT(Inventory_Data[[#This Row],[Date]],"mmm")</f>
        <v>Jun</v>
      </c>
    </row>
    <row r="833" spans="1:15" x14ac:dyDescent="0.2">
      <c r="A833" s="21">
        <v>45810</v>
      </c>
      <c r="B833" s="5" t="s">
        <v>25</v>
      </c>
      <c r="C833" t="s">
        <v>26</v>
      </c>
      <c r="D833" t="s">
        <v>27</v>
      </c>
      <c r="E833" t="s">
        <v>21</v>
      </c>
      <c r="F833">
        <v>329</v>
      </c>
      <c r="G833">
        <v>126</v>
      </c>
      <c r="H833">
        <v>161</v>
      </c>
      <c r="I833">
        <f>Inventory_Data[[#This Row],[Opening_Stock]]+Inventory_Data[[#This Row],[Units_Received]]-Inventory_Data[[#This Row],[Units_Sold]]</f>
        <v>294</v>
      </c>
      <c r="J833">
        <v>0</v>
      </c>
      <c r="K833">
        <v>6</v>
      </c>
      <c r="L833" t="s">
        <v>66</v>
      </c>
      <c r="M833" s="3">
        <v>21.49</v>
      </c>
      <c r="N833" s="3">
        <v>27.78</v>
      </c>
      <c r="O833" s="10" t="str">
        <f>TEXT(Inventory_Data[[#This Row],[Date]],"mmm")</f>
        <v>Jun</v>
      </c>
    </row>
    <row r="834" spans="1:15" x14ac:dyDescent="0.2">
      <c r="A834" s="21">
        <v>45810</v>
      </c>
      <c r="B834" s="5" t="s">
        <v>182</v>
      </c>
      <c r="C834" t="s">
        <v>183</v>
      </c>
      <c r="D834" t="s">
        <v>52</v>
      </c>
      <c r="E834" t="s">
        <v>28</v>
      </c>
      <c r="F834">
        <v>26</v>
      </c>
      <c r="G834">
        <v>8</v>
      </c>
      <c r="H834">
        <v>8</v>
      </c>
      <c r="I834">
        <f>Inventory_Data[[#This Row],[Opening_Stock]]+Inventory_Data[[#This Row],[Units_Received]]-Inventory_Data[[#This Row],[Units_Sold]]</f>
        <v>26</v>
      </c>
      <c r="J834">
        <v>0</v>
      </c>
      <c r="K834">
        <v>8</v>
      </c>
      <c r="L834" t="s">
        <v>53</v>
      </c>
      <c r="M834" s="3">
        <v>185.81</v>
      </c>
      <c r="N834" s="3">
        <v>276.79000000000002</v>
      </c>
      <c r="O834" s="10" t="str">
        <f>TEXT(Inventory_Data[[#This Row],[Date]],"mmm")</f>
        <v>Jun</v>
      </c>
    </row>
    <row r="835" spans="1:15" x14ac:dyDescent="0.2">
      <c r="A835" s="21">
        <v>45810</v>
      </c>
      <c r="B835" s="5" t="s">
        <v>124</v>
      </c>
      <c r="C835" t="s">
        <v>125</v>
      </c>
      <c r="D835" t="s">
        <v>52</v>
      </c>
      <c r="E835" t="s">
        <v>17</v>
      </c>
      <c r="F835">
        <v>69</v>
      </c>
      <c r="G835">
        <v>10</v>
      </c>
      <c r="H835">
        <v>18</v>
      </c>
      <c r="I835">
        <f>Inventory_Data[[#This Row],[Opening_Stock]]+Inventory_Data[[#This Row],[Units_Received]]-Inventory_Data[[#This Row],[Units_Sold]]</f>
        <v>61</v>
      </c>
      <c r="J835">
        <v>0</v>
      </c>
      <c r="K835">
        <v>5</v>
      </c>
      <c r="L835" t="s">
        <v>56</v>
      </c>
      <c r="M835" s="3">
        <v>315.20999999999998</v>
      </c>
      <c r="N835" s="3">
        <v>418.97</v>
      </c>
      <c r="O835" s="10" t="str">
        <f>TEXT(Inventory_Data[[#This Row],[Date]],"mmm")</f>
        <v>Jun</v>
      </c>
    </row>
    <row r="836" spans="1:15" x14ac:dyDescent="0.2">
      <c r="A836" s="21">
        <v>45810</v>
      </c>
      <c r="B836" s="5" t="s">
        <v>102</v>
      </c>
      <c r="C836" t="s">
        <v>103</v>
      </c>
      <c r="D836" t="s">
        <v>52</v>
      </c>
      <c r="E836" t="s">
        <v>21</v>
      </c>
      <c r="F836">
        <v>45</v>
      </c>
      <c r="G836">
        <v>6</v>
      </c>
      <c r="H836">
        <v>10</v>
      </c>
      <c r="I836">
        <f>Inventory_Data[[#This Row],[Opening_Stock]]+Inventory_Data[[#This Row],[Units_Received]]-Inventory_Data[[#This Row],[Units_Sold]]</f>
        <v>41</v>
      </c>
      <c r="J836">
        <v>0</v>
      </c>
      <c r="K836">
        <v>12</v>
      </c>
      <c r="L836" t="s">
        <v>56</v>
      </c>
      <c r="M836" s="3">
        <v>39.97</v>
      </c>
      <c r="N836" s="3">
        <v>58.89</v>
      </c>
      <c r="O836" s="10" t="str">
        <f>TEXT(Inventory_Data[[#This Row],[Date]],"mmm")</f>
        <v>Jun</v>
      </c>
    </row>
    <row r="837" spans="1:15" x14ac:dyDescent="0.2">
      <c r="A837" s="21">
        <v>45810</v>
      </c>
      <c r="B837" s="5" t="s">
        <v>32</v>
      </c>
      <c r="C837" t="s">
        <v>33</v>
      </c>
      <c r="D837" t="s">
        <v>34</v>
      </c>
      <c r="E837" t="s">
        <v>17</v>
      </c>
      <c r="F837">
        <v>118</v>
      </c>
      <c r="G837">
        <v>86</v>
      </c>
      <c r="H837">
        <v>54</v>
      </c>
      <c r="I837">
        <f>Inventory_Data[[#This Row],[Opening_Stock]]+Inventory_Data[[#This Row],[Units_Received]]-Inventory_Data[[#This Row],[Units_Sold]]</f>
        <v>150</v>
      </c>
      <c r="J837">
        <v>0</v>
      </c>
      <c r="K837">
        <v>14</v>
      </c>
      <c r="L837" t="s">
        <v>42</v>
      </c>
      <c r="M837" s="3">
        <v>7.23</v>
      </c>
      <c r="N837" s="3">
        <v>9.5399999999999991</v>
      </c>
      <c r="O837" s="10" t="str">
        <f>TEXT(Inventory_Data[[#This Row],[Date]],"mmm")</f>
        <v>Jun</v>
      </c>
    </row>
    <row r="838" spans="1:15" x14ac:dyDescent="0.2">
      <c r="A838" s="21">
        <v>45811</v>
      </c>
      <c r="B838" s="5" t="s">
        <v>132</v>
      </c>
      <c r="C838" t="s">
        <v>133</v>
      </c>
      <c r="D838" t="s">
        <v>16</v>
      </c>
      <c r="E838" t="s">
        <v>21</v>
      </c>
      <c r="F838">
        <v>61</v>
      </c>
      <c r="G838">
        <v>71</v>
      </c>
      <c r="H838">
        <v>15</v>
      </c>
      <c r="I838">
        <f>Inventory_Data[[#This Row],[Opening_Stock]]+Inventory_Data[[#This Row],[Units_Received]]-Inventory_Data[[#This Row],[Units_Sold]]</f>
        <v>117</v>
      </c>
      <c r="J838">
        <v>0</v>
      </c>
      <c r="K838">
        <v>8</v>
      </c>
      <c r="L838" t="s">
        <v>24</v>
      </c>
      <c r="M838" s="3">
        <v>40.72</v>
      </c>
      <c r="N838" s="3">
        <v>59.41</v>
      </c>
      <c r="O838" s="10" t="str">
        <f>TEXT(Inventory_Data[[#This Row],[Date]],"mmm")</f>
        <v>Jun</v>
      </c>
    </row>
    <row r="839" spans="1:15" x14ac:dyDescent="0.2">
      <c r="A839" s="21">
        <v>45811</v>
      </c>
      <c r="B839" s="5" t="s">
        <v>132</v>
      </c>
      <c r="C839" t="s">
        <v>133</v>
      </c>
      <c r="D839" t="s">
        <v>16</v>
      </c>
      <c r="E839" t="s">
        <v>35</v>
      </c>
      <c r="F839">
        <v>102</v>
      </c>
      <c r="G839">
        <v>65</v>
      </c>
      <c r="H839">
        <v>51</v>
      </c>
      <c r="I839">
        <f>Inventory_Data[[#This Row],[Opening_Stock]]+Inventory_Data[[#This Row],[Units_Received]]-Inventory_Data[[#This Row],[Units_Sold]]</f>
        <v>116</v>
      </c>
      <c r="J839">
        <v>0</v>
      </c>
      <c r="K839">
        <v>11</v>
      </c>
      <c r="L839" t="s">
        <v>24</v>
      </c>
      <c r="M839" s="3">
        <v>194.37</v>
      </c>
      <c r="N839" s="3">
        <v>229.96</v>
      </c>
      <c r="O839" s="10" t="str">
        <f>TEXT(Inventory_Data[[#This Row],[Date]],"mmm")</f>
        <v>Jun</v>
      </c>
    </row>
    <row r="840" spans="1:15" x14ac:dyDescent="0.2">
      <c r="A840" s="21">
        <v>45811</v>
      </c>
      <c r="B840" s="5" t="s">
        <v>22</v>
      </c>
      <c r="C840" t="s">
        <v>23</v>
      </c>
      <c r="D840" t="s">
        <v>16</v>
      </c>
      <c r="E840" t="s">
        <v>28</v>
      </c>
      <c r="F840">
        <v>163</v>
      </c>
      <c r="G840">
        <v>68</v>
      </c>
      <c r="H840">
        <v>10</v>
      </c>
      <c r="I840">
        <f>Inventory_Data[[#This Row],[Opening_Stock]]+Inventory_Data[[#This Row],[Units_Received]]-Inventory_Data[[#This Row],[Units_Sold]]</f>
        <v>221</v>
      </c>
      <c r="J840">
        <v>0</v>
      </c>
      <c r="K840">
        <v>3</v>
      </c>
      <c r="L840" t="s">
        <v>45</v>
      </c>
      <c r="M840" s="3">
        <v>46.57</v>
      </c>
      <c r="N840" s="3">
        <v>58.49</v>
      </c>
      <c r="O840" s="10" t="str">
        <f>TEXT(Inventory_Data[[#This Row],[Date]],"mmm")</f>
        <v>Jun</v>
      </c>
    </row>
    <row r="841" spans="1:15" x14ac:dyDescent="0.2">
      <c r="A841" s="21">
        <v>45811</v>
      </c>
      <c r="B841" s="5" t="s">
        <v>78</v>
      </c>
      <c r="C841" t="s">
        <v>79</v>
      </c>
      <c r="D841" t="s">
        <v>27</v>
      </c>
      <c r="E841" t="s">
        <v>17</v>
      </c>
      <c r="F841">
        <v>275</v>
      </c>
      <c r="G841">
        <v>126</v>
      </c>
      <c r="H841">
        <v>172</v>
      </c>
      <c r="I841">
        <f>Inventory_Data[[#This Row],[Opening_Stock]]+Inventory_Data[[#This Row],[Units_Received]]-Inventory_Data[[#This Row],[Units_Sold]]</f>
        <v>229</v>
      </c>
      <c r="J841">
        <v>0</v>
      </c>
      <c r="K841">
        <v>6</v>
      </c>
      <c r="L841" t="s">
        <v>29</v>
      </c>
      <c r="M841" s="3">
        <v>8.98</v>
      </c>
      <c r="N841" s="3">
        <v>11.57</v>
      </c>
      <c r="O841" s="10" t="str">
        <f>TEXT(Inventory_Data[[#This Row],[Date]],"mmm")</f>
        <v>Jun</v>
      </c>
    </row>
    <row r="842" spans="1:15" x14ac:dyDescent="0.2">
      <c r="A842" s="21">
        <v>45811</v>
      </c>
      <c r="B842" s="5" t="s">
        <v>54</v>
      </c>
      <c r="C842" t="s">
        <v>55</v>
      </c>
      <c r="D842" t="s">
        <v>52</v>
      </c>
      <c r="E842" t="s">
        <v>35</v>
      </c>
      <c r="F842">
        <v>67</v>
      </c>
      <c r="G842">
        <v>15</v>
      </c>
      <c r="H842">
        <v>11</v>
      </c>
      <c r="I842">
        <f>Inventory_Data[[#This Row],[Opening_Stock]]+Inventory_Data[[#This Row],[Units_Received]]-Inventory_Data[[#This Row],[Units_Sold]]</f>
        <v>71</v>
      </c>
      <c r="J842">
        <v>0</v>
      </c>
      <c r="K842">
        <v>11</v>
      </c>
      <c r="L842" t="s">
        <v>56</v>
      </c>
      <c r="M842" s="3">
        <v>164.31</v>
      </c>
      <c r="N842" s="3">
        <v>230.26</v>
      </c>
      <c r="O842" s="10" t="str">
        <f>TEXT(Inventory_Data[[#This Row],[Date]],"mmm")</f>
        <v>Jun</v>
      </c>
    </row>
    <row r="843" spans="1:15" x14ac:dyDescent="0.2">
      <c r="A843" s="21">
        <v>45811</v>
      </c>
      <c r="B843" s="5" t="s">
        <v>67</v>
      </c>
      <c r="C843" t="s">
        <v>68</v>
      </c>
      <c r="D843" t="s">
        <v>52</v>
      </c>
      <c r="E843" t="s">
        <v>28</v>
      </c>
      <c r="F843">
        <v>38</v>
      </c>
      <c r="G843">
        <v>4</v>
      </c>
      <c r="H843">
        <v>9</v>
      </c>
      <c r="I843">
        <f>Inventory_Data[[#This Row],[Opening_Stock]]+Inventory_Data[[#This Row],[Units_Received]]-Inventory_Data[[#This Row],[Units_Sold]]</f>
        <v>33</v>
      </c>
      <c r="J843">
        <v>0</v>
      </c>
      <c r="K843">
        <v>11</v>
      </c>
      <c r="L843" t="s">
        <v>53</v>
      </c>
      <c r="M843" s="3">
        <v>154.82</v>
      </c>
      <c r="N843" s="3">
        <v>203.99</v>
      </c>
      <c r="O843" s="10" t="str">
        <f>TEXT(Inventory_Data[[#This Row],[Date]],"mmm")</f>
        <v>Jun</v>
      </c>
    </row>
    <row r="844" spans="1:15" x14ac:dyDescent="0.2">
      <c r="A844" s="21">
        <v>45811</v>
      </c>
      <c r="B844" s="5" t="s">
        <v>32</v>
      </c>
      <c r="C844" t="s">
        <v>33</v>
      </c>
      <c r="D844" t="s">
        <v>34</v>
      </c>
      <c r="E844" t="s">
        <v>35</v>
      </c>
      <c r="F844">
        <v>167</v>
      </c>
      <c r="G844">
        <v>82</v>
      </c>
      <c r="H844">
        <v>156</v>
      </c>
      <c r="I844">
        <f>Inventory_Data[[#This Row],[Opening_Stock]]+Inventory_Data[[#This Row],[Units_Received]]-Inventory_Data[[#This Row],[Units_Sold]]</f>
        <v>93</v>
      </c>
      <c r="J844">
        <v>0</v>
      </c>
      <c r="K844">
        <v>12</v>
      </c>
      <c r="L844" t="s">
        <v>39</v>
      </c>
      <c r="M844" s="3">
        <v>25.19</v>
      </c>
      <c r="N844" s="3">
        <v>33.9</v>
      </c>
      <c r="O844" s="10" t="str">
        <f>TEXT(Inventory_Data[[#This Row],[Date]],"mmm")</f>
        <v>Jun</v>
      </c>
    </row>
    <row r="845" spans="1:15" x14ac:dyDescent="0.2">
      <c r="A845" s="21">
        <v>45811</v>
      </c>
      <c r="B845" s="5" t="s">
        <v>69</v>
      </c>
      <c r="C845" t="s">
        <v>70</v>
      </c>
      <c r="D845" t="s">
        <v>34</v>
      </c>
      <c r="E845" t="s">
        <v>35</v>
      </c>
      <c r="F845">
        <v>91</v>
      </c>
      <c r="G845">
        <v>189</v>
      </c>
      <c r="H845">
        <v>75</v>
      </c>
      <c r="I845">
        <f>Inventory_Data[[#This Row],[Opening_Stock]]+Inventory_Data[[#This Row],[Units_Received]]-Inventory_Data[[#This Row],[Units_Sold]]</f>
        <v>205</v>
      </c>
      <c r="J845">
        <v>0</v>
      </c>
      <c r="K845">
        <v>6</v>
      </c>
      <c r="L845" t="s">
        <v>39</v>
      </c>
      <c r="M845" s="3">
        <v>7.79</v>
      </c>
      <c r="N845" s="3">
        <v>9.11</v>
      </c>
      <c r="O845" s="10" t="str">
        <f>TEXT(Inventory_Data[[#This Row],[Date]],"mmm")</f>
        <v>Jun</v>
      </c>
    </row>
    <row r="846" spans="1:15" x14ac:dyDescent="0.2">
      <c r="A846" s="21">
        <v>45812</v>
      </c>
      <c r="B846" s="5" t="s">
        <v>146</v>
      </c>
      <c r="C846" t="s">
        <v>147</v>
      </c>
      <c r="D846" t="s">
        <v>48</v>
      </c>
      <c r="E846" t="s">
        <v>28</v>
      </c>
      <c r="F846">
        <v>122</v>
      </c>
      <c r="G846">
        <v>96</v>
      </c>
      <c r="H846">
        <v>35</v>
      </c>
      <c r="I846">
        <f>Inventory_Data[[#This Row],[Opening_Stock]]+Inventory_Data[[#This Row],[Units_Received]]-Inventory_Data[[#This Row],[Units_Sold]]</f>
        <v>183</v>
      </c>
      <c r="J846">
        <v>0</v>
      </c>
      <c r="K846">
        <v>7</v>
      </c>
      <c r="L846" t="s">
        <v>49</v>
      </c>
      <c r="M846" s="3">
        <v>40.65</v>
      </c>
      <c r="N846" s="3">
        <v>56.18</v>
      </c>
      <c r="O846" s="10" t="str">
        <f>TEXT(Inventory_Data[[#This Row],[Date]],"mmm")</f>
        <v>Jun</v>
      </c>
    </row>
    <row r="847" spans="1:15" x14ac:dyDescent="0.2">
      <c r="A847" s="21">
        <v>45812</v>
      </c>
      <c r="B847" s="5" t="s">
        <v>64</v>
      </c>
      <c r="C847" t="s">
        <v>65</v>
      </c>
      <c r="D847" t="s">
        <v>27</v>
      </c>
      <c r="E847" t="s">
        <v>17</v>
      </c>
      <c r="F847">
        <v>304</v>
      </c>
      <c r="G847">
        <v>55</v>
      </c>
      <c r="H847">
        <v>73</v>
      </c>
      <c r="I847">
        <f>Inventory_Data[[#This Row],[Opening_Stock]]+Inventory_Data[[#This Row],[Units_Received]]-Inventory_Data[[#This Row],[Units_Sold]]</f>
        <v>286</v>
      </c>
      <c r="J847">
        <v>0</v>
      </c>
      <c r="K847">
        <v>6</v>
      </c>
      <c r="L847" t="s">
        <v>29</v>
      </c>
      <c r="M847" s="3">
        <v>5.35</v>
      </c>
      <c r="N847" s="3">
        <v>8.0299999999999994</v>
      </c>
      <c r="O847" s="10" t="str">
        <f>TEXT(Inventory_Data[[#This Row],[Date]],"mmm")</f>
        <v>Jun</v>
      </c>
    </row>
    <row r="848" spans="1:15" x14ac:dyDescent="0.2">
      <c r="A848" s="21">
        <v>45812</v>
      </c>
      <c r="B848" s="5" t="s">
        <v>148</v>
      </c>
      <c r="C848" t="s">
        <v>149</v>
      </c>
      <c r="D848" t="s">
        <v>27</v>
      </c>
      <c r="E848" t="s">
        <v>17</v>
      </c>
      <c r="F848">
        <v>85</v>
      </c>
      <c r="G848">
        <v>148</v>
      </c>
      <c r="H848">
        <v>54</v>
      </c>
      <c r="I848">
        <f>Inventory_Data[[#This Row],[Opening_Stock]]+Inventory_Data[[#This Row],[Units_Received]]-Inventory_Data[[#This Row],[Units_Sold]]</f>
        <v>179</v>
      </c>
      <c r="J848">
        <v>0</v>
      </c>
      <c r="K848">
        <v>7</v>
      </c>
      <c r="L848" t="s">
        <v>29</v>
      </c>
      <c r="M848" s="3">
        <v>6.46</v>
      </c>
      <c r="N848" s="3">
        <v>9.65</v>
      </c>
      <c r="O848" s="10" t="str">
        <f>TEXT(Inventory_Data[[#This Row],[Date]],"mmm")</f>
        <v>Jun</v>
      </c>
    </row>
    <row r="849" spans="1:15" x14ac:dyDescent="0.2">
      <c r="A849" s="21">
        <v>45812</v>
      </c>
      <c r="B849" s="5" t="s">
        <v>140</v>
      </c>
      <c r="C849" t="s">
        <v>141</v>
      </c>
      <c r="D849" t="s">
        <v>52</v>
      </c>
      <c r="E849" t="s">
        <v>35</v>
      </c>
      <c r="F849">
        <v>49</v>
      </c>
      <c r="G849">
        <v>20</v>
      </c>
      <c r="H849">
        <v>15</v>
      </c>
      <c r="I849">
        <f>Inventory_Data[[#This Row],[Opening_Stock]]+Inventory_Data[[#This Row],[Units_Received]]-Inventory_Data[[#This Row],[Units_Sold]]</f>
        <v>54</v>
      </c>
      <c r="J849">
        <v>0</v>
      </c>
      <c r="K849">
        <v>2</v>
      </c>
      <c r="L849" t="s">
        <v>56</v>
      </c>
      <c r="M849" s="3">
        <v>332.54</v>
      </c>
      <c r="N849" s="3">
        <v>479.97</v>
      </c>
      <c r="O849" s="10" t="str">
        <f>TEXT(Inventory_Data[[#This Row],[Date]],"mmm")</f>
        <v>Jun</v>
      </c>
    </row>
    <row r="850" spans="1:15" x14ac:dyDescent="0.2">
      <c r="A850" s="21">
        <v>45813</v>
      </c>
      <c r="B850" s="5" t="s">
        <v>46</v>
      </c>
      <c r="C850" t="s">
        <v>47</v>
      </c>
      <c r="D850" t="s">
        <v>48</v>
      </c>
      <c r="E850" t="s">
        <v>21</v>
      </c>
      <c r="F850">
        <v>153</v>
      </c>
      <c r="G850">
        <v>144</v>
      </c>
      <c r="H850">
        <v>138</v>
      </c>
      <c r="I850">
        <f>Inventory_Data[[#This Row],[Opening_Stock]]+Inventory_Data[[#This Row],[Units_Received]]-Inventory_Data[[#This Row],[Units_Sold]]</f>
        <v>159</v>
      </c>
      <c r="J850">
        <v>0</v>
      </c>
      <c r="K850">
        <v>5</v>
      </c>
      <c r="L850" t="s">
        <v>49</v>
      </c>
      <c r="M850" s="3">
        <v>78.900000000000006</v>
      </c>
      <c r="N850" s="3">
        <v>94.48</v>
      </c>
      <c r="O850" s="10" t="str">
        <f>TEXT(Inventory_Data[[#This Row],[Date]],"mmm")</f>
        <v>Jun</v>
      </c>
    </row>
    <row r="851" spans="1:15" x14ac:dyDescent="0.2">
      <c r="A851" s="21">
        <v>45813</v>
      </c>
      <c r="B851" s="5" t="s">
        <v>150</v>
      </c>
      <c r="C851" t="s">
        <v>151</v>
      </c>
      <c r="D851" t="s">
        <v>52</v>
      </c>
      <c r="E851" t="s">
        <v>21</v>
      </c>
      <c r="F851">
        <v>61</v>
      </c>
      <c r="G851">
        <v>24</v>
      </c>
      <c r="H851">
        <v>11</v>
      </c>
      <c r="I851">
        <f>Inventory_Data[[#This Row],[Opening_Stock]]+Inventory_Data[[#This Row],[Units_Received]]-Inventory_Data[[#This Row],[Units_Sold]]</f>
        <v>74</v>
      </c>
      <c r="J851">
        <v>0</v>
      </c>
      <c r="K851">
        <v>5</v>
      </c>
      <c r="L851" t="s">
        <v>53</v>
      </c>
      <c r="M851" s="3">
        <v>153.79</v>
      </c>
      <c r="N851" s="3">
        <v>219.54</v>
      </c>
      <c r="O851" s="10" t="str">
        <f>TEXT(Inventory_Data[[#This Row],[Date]],"mmm")</f>
        <v>Jun</v>
      </c>
    </row>
    <row r="852" spans="1:15" x14ac:dyDescent="0.2">
      <c r="A852" s="21">
        <v>45814</v>
      </c>
      <c r="B852" s="5" t="s">
        <v>132</v>
      </c>
      <c r="C852" t="s">
        <v>133</v>
      </c>
      <c r="D852" t="s">
        <v>16</v>
      </c>
      <c r="E852" t="s">
        <v>17</v>
      </c>
      <c r="F852">
        <v>98</v>
      </c>
      <c r="G852">
        <v>65</v>
      </c>
      <c r="H852">
        <v>57</v>
      </c>
      <c r="I852">
        <f>Inventory_Data[[#This Row],[Opening_Stock]]+Inventory_Data[[#This Row],[Units_Received]]-Inventory_Data[[#This Row],[Units_Sold]]</f>
        <v>106</v>
      </c>
      <c r="J852">
        <v>0</v>
      </c>
      <c r="K852">
        <v>5</v>
      </c>
      <c r="L852" t="s">
        <v>24</v>
      </c>
      <c r="M852" s="3">
        <v>70.31</v>
      </c>
      <c r="N852" s="3">
        <v>95.24</v>
      </c>
      <c r="O852" s="10" t="str">
        <f>TEXT(Inventory_Data[[#This Row],[Date]],"mmm")</f>
        <v>Jun</v>
      </c>
    </row>
    <row r="853" spans="1:15" x14ac:dyDescent="0.2">
      <c r="A853" s="21">
        <v>45814</v>
      </c>
      <c r="B853" s="5" t="s">
        <v>112</v>
      </c>
      <c r="C853" t="s">
        <v>113</v>
      </c>
      <c r="D853" t="s">
        <v>16</v>
      </c>
      <c r="E853" t="s">
        <v>28</v>
      </c>
      <c r="F853">
        <v>31</v>
      </c>
      <c r="G853">
        <v>56</v>
      </c>
      <c r="H853">
        <v>22</v>
      </c>
      <c r="I853">
        <f>Inventory_Data[[#This Row],[Opening_Stock]]+Inventory_Data[[#This Row],[Units_Received]]-Inventory_Data[[#This Row],[Units_Sold]]</f>
        <v>65</v>
      </c>
      <c r="J853">
        <v>0</v>
      </c>
      <c r="K853">
        <v>6</v>
      </c>
      <c r="L853" t="s">
        <v>24</v>
      </c>
      <c r="M853" s="3">
        <v>169.78</v>
      </c>
      <c r="N853" s="3">
        <v>226.52</v>
      </c>
      <c r="O853" s="10" t="str">
        <f>TEXT(Inventory_Data[[#This Row],[Date]],"mmm")</f>
        <v>Jun</v>
      </c>
    </row>
    <row r="854" spans="1:15" x14ac:dyDescent="0.2">
      <c r="A854" s="21">
        <v>45814</v>
      </c>
      <c r="B854" s="5" t="s">
        <v>164</v>
      </c>
      <c r="C854" t="s">
        <v>165</v>
      </c>
      <c r="D854" t="s">
        <v>48</v>
      </c>
      <c r="E854" t="s">
        <v>28</v>
      </c>
      <c r="F854">
        <v>72</v>
      </c>
      <c r="G854">
        <v>77</v>
      </c>
      <c r="H854">
        <v>37</v>
      </c>
      <c r="I854">
        <f>Inventory_Data[[#This Row],[Opening_Stock]]+Inventory_Data[[#This Row],[Units_Received]]-Inventory_Data[[#This Row],[Units_Sold]]</f>
        <v>112</v>
      </c>
      <c r="J854">
        <v>0</v>
      </c>
      <c r="K854">
        <v>4</v>
      </c>
      <c r="L854" t="s">
        <v>63</v>
      </c>
      <c r="M854" s="3">
        <v>78.67</v>
      </c>
      <c r="N854" s="3">
        <v>105.48</v>
      </c>
      <c r="O854" s="10" t="str">
        <f>TEXT(Inventory_Data[[#This Row],[Date]],"mmm")</f>
        <v>Jun</v>
      </c>
    </row>
    <row r="855" spans="1:15" x14ac:dyDescent="0.2">
      <c r="A855" s="21">
        <v>45814</v>
      </c>
      <c r="B855" s="5" t="s">
        <v>154</v>
      </c>
      <c r="C855" t="s">
        <v>155</v>
      </c>
      <c r="D855" t="s">
        <v>48</v>
      </c>
      <c r="E855" t="s">
        <v>35</v>
      </c>
      <c r="F855">
        <v>275</v>
      </c>
      <c r="G855">
        <v>44</v>
      </c>
      <c r="H855">
        <v>114</v>
      </c>
      <c r="I855">
        <f>Inventory_Data[[#This Row],[Opening_Stock]]+Inventory_Data[[#This Row],[Units_Received]]-Inventory_Data[[#This Row],[Units_Sold]]</f>
        <v>205</v>
      </c>
      <c r="J855">
        <v>0</v>
      </c>
      <c r="K855">
        <v>7</v>
      </c>
      <c r="L855" t="s">
        <v>63</v>
      </c>
      <c r="M855" s="3">
        <v>54.93</v>
      </c>
      <c r="N855" s="3">
        <v>85.12</v>
      </c>
      <c r="O855" s="10" t="str">
        <f>TEXT(Inventory_Data[[#This Row],[Date]],"mmm")</f>
        <v>Jun</v>
      </c>
    </row>
    <row r="856" spans="1:15" x14ac:dyDescent="0.2">
      <c r="A856" s="21">
        <v>45814</v>
      </c>
      <c r="B856" s="5" t="s">
        <v>156</v>
      </c>
      <c r="C856" t="s">
        <v>157</v>
      </c>
      <c r="D856" t="s">
        <v>27</v>
      </c>
      <c r="E856" t="s">
        <v>28</v>
      </c>
      <c r="F856">
        <v>366</v>
      </c>
      <c r="G856">
        <v>124</v>
      </c>
      <c r="H856">
        <v>179</v>
      </c>
      <c r="I856">
        <f>Inventory_Data[[#This Row],[Opening_Stock]]+Inventory_Data[[#This Row],[Units_Received]]-Inventory_Data[[#This Row],[Units_Sold]]</f>
        <v>311</v>
      </c>
      <c r="J856">
        <v>0</v>
      </c>
      <c r="K856">
        <v>6</v>
      </c>
      <c r="L856" t="s">
        <v>80</v>
      </c>
      <c r="M856" s="3">
        <v>9.56</v>
      </c>
      <c r="N856" s="3">
        <v>12.08</v>
      </c>
      <c r="O856" s="10" t="str">
        <f>TEXT(Inventory_Data[[#This Row],[Date]],"mmm")</f>
        <v>Jun</v>
      </c>
    </row>
    <row r="857" spans="1:15" x14ac:dyDescent="0.2">
      <c r="A857" s="21">
        <v>45814</v>
      </c>
      <c r="B857" s="5" t="s">
        <v>136</v>
      </c>
      <c r="C857" t="s">
        <v>137</v>
      </c>
      <c r="D857" t="s">
        <v>27</v>
      </c>
      <c r="E857" t="s">
        <v>21</v>
      </c>
      <c r="F857">
        <v>183</v>
      </c>
      <c r="G857">
        <v>114</v>
      </c>
      <c r="H857">
        <v>147</v>
      </c>
      <c r="I857">
        <f>Inventory_Data[[#This Row],[Opening_Stock]]+Inventory_Data[[#This Row],[Units_Received]]-Inventory_Data[[#This Row],[Units_Sold]]</f>
        <v>150</v>
      </c>
      <c r="J857">
        <v>0</v>
      </c>
      <c r="K857">
        <v>7</v>
      </c>
      <c r="L857" t="s">
        <v>29</v>
      </c>
      <c r="M857" s="3">
        <v>3.65</v>
      </c>
      <c r="N857" s="3">
        <v>5.52</v>
      </c>
      <c r="O857" s="10" t="str">
        <f>TEXT(Inventory_Data[[#This Row],[Date]],"mmm")</f>
        <v>Jun</v>
      </c>
    </row>
    <row r="858" spans="1:15" x14ac:dyDescent="0.2">
      <c r="A858" s="21">
        <v>45815</v>
      </c>
      <c r="B858" s="5" t="s">
        <v>106</v>
      </c>
      <c r="C858" t="s">
        <v>107</v>
      </c>
      <c r="D858" t="s">
        <v>16</v>
      </c>
      <c r="E858" t="s">
        <v>35</v>
      </c>
      <c r="F858">
        <v>48</v>
      </c>
      <c r="G858">
        <v>17</v>
      </c>
      <c r="H858">
        <v>16</v>
      </c>
      <c r="I858">
        <f>Inventory_Data[[#This Row],[Opening_Stock]]+Inventory_Data[[#This Row],[Units_Received]]-Inventory_Data[[#This Row],[Units_Sold]]</f>
        <v>49</v>
      </c>
      <c r="J858">
        <v>0</v>
      </c>
      <c r="K858">
        <v>10</v>
      </c>
      <c r="L858" t="s">
        <v>24</v>
      </c>
      <c r="M858" s="3">
        <v>45.29</v>
      </c>
      <c r="N858" s="3">
        <v>59.84</v>
      </c>
      <c r="O858" s="10" t="str">
        <f>TEXT(Inventory_Data[[#This Row],[Date]],"mmm")</f>
        <v>Jun</v>
      </c>
    </row>
    <row r="859" spans="1:15" x14ac:dyDescent="0.2">
      <c r="A859" s="21">
        <v>45815</v>
      </c>
      <c r="B859" s="5" t="s">
        <v>120</v>
      </c>
      <c r="C859" t="s">
        <v>121</v>
      </c>
      <c r="D859" t="s">
        <v>16</v>
      </c>
      <c r="E859" t="s">
        <v>28</v>
      </c>
      <c r="F859">
        <v>129</v>
      </c>
      <c r="G859">
        <v>29</v>
      </c>
      <c r="H859">
        <v>57</v>
      </c>
      <c r="I859">
        <f>Inventory_Data[[#This Row],[Opening_Stock]]+Inventory_Data[[#This Row],[Units_Received]]-Inventory_Data[[#This Row],[Units_Sold]]</f>
        <v>101</v>
      </c>
      <c r="J859">
        <v>0</v>
      </c>
      <c r="K859">
        <v>8</v>
      </c>
      <c r="L859" t="s">
        <v>24</v>
      </c>
      <c r="M859" s="3">
        <v>96.17</v>
      </c>
      <c r="N859" s="3">
        <v>136.34</v>
      </c>
      <c r="O859" s="10" t="str">
        <f>TEXT(Inventory_Data[[#This Row],[Date]],"mmm")</f>
        <v>Jun</v>
      </c>
    </row>
    <row r="860" spans="1:15" x14ac:dyDescent="0.2">
      <c r="A860" s="21">
        <v>45815</v>
      </c>
      <c r="B860" s="5" t="s">
        <v>64</v>
      </c>
      <c r="C860" t="s">
        <v>65</v>
      </c>
      <c r="D860" t="s">
        <v>27</v>
      </c>
      <c r="E860" t="s">
        <v>35</v>
      </c>
      <c r="F860">
        <v>438</v>
      </c>
      <c r="G860">
        <v>164</v>
      </c>
      <c r="H860">
        <v>121</v>
      </c>
      <c r="I860">
        <f>Inventory_Data[[#This Row],[Opening_Stock]]+Inventory_Data[[#This Row],[Units_Received]]-Inventory_Data[[#This Row],[Units_Sold]]</f>
        <v>481</v>
      </c>
      <c r="J860">
        <v>0</v>
      </c>
      <c r="K860">
        <v>1</v>
      </c>
      <c r="L860" t="s">
        <v>29</v>
      </c>
      <c r="M860" s="3">
        <v>11.18</v>
      </c>
      <c r="N860" s="3">
        <v>14.71</v>
      </c>
      <c r="O860" s="10" t="str">
        <f>TEXT(Inventory_Data[[#This Row],[Date]],"mmm")</f>
        <v>Jun</v>
      </c>
    </row>
    <row r="861" spans="1:15" x14ac:dyDescent="0.2">
      <c r="A861" s="21">
        <v>45815</v>
      </c>
      <c r="B861" s="5" t="s">
        <v>100</v>
      </c>
      <c r="C861" t="s">
        <v>101</v>
      </c>
      <c r="D861" t="s">
        <v>52</v>
      </c>
      <c r="E861" t="s">
        <v>35</v>
      </c>
      <c r="F861">
        <v>70</v>
      </c>
      <c r="G861">
        <v>5</v>
      </c>
      <c r="H861">
        <v>17</v>
      </c>
      <c r="I861">
        <f>Inventory_Data[[#This Row],[Opening_Stock]]+Inventory_Data[[#This Row],[Units_Received]]-Inventory_Data[[#This Row],[Units_Sold]]</f>
        <v>58</v>
      </c>
      <c r="J861">
        <v>0</v>
      </c>
      <c r="K861">
        <v>3</v>
      </c>
      <c r="L861" t="s">
        <v>56</v>
      </c>
      <c r="M861" s="3">
        <v>234.55</v>
      </c>
      <c r="N861" s="3">
        <v>301.60000000000002</v>
      </c>
      <c r="O861" s="10" t="str">
        <f>TEXT(Inventory_Data[[#This Row],[Date]],"mmm")</f>
        <v>Jun</v>
      </c>
    </row>
    <row r="862" spans="1:15" x14ac:dyDescent="0.2">
      <c r="A862" s="21">
        <v>45815</v>
      </c>
      <c r="B862" s="5" t="s">
        <v>110</v>
      </c>
      <c r="C862" t="s">
        <v>111</v>
      </c>
      <c r="D862" t="s">
        <v>52</v>
      </c>
      <c r="E862" t="s">
        <v>35</v>
      </c>
      <c r="F862">
        <v>29</v>
      </c>
      <c r="G862">
        <v>25</v>
      </c>
      <c r="H862">
        <v>18</v>
      </c>
      <c r="I862">
        <f>Inventory_Data[[#This Row],[Opening_Stock]]+Inventory_Data[[#This Row],[Units_Received]]-Inventory_Data[[#This Row],[Units_Sold]]</f>
        <v>36</v>
      </c>
      <c r="J862">
        <v>0</v>
      </c>
      <c r="K862">
        <v>11</v>
      </c>
      <c r="L862" t="s">
        <v>56</v>
      </c>
      <c r="M862" s="3">
        <v>322.29000000000002</v>
      </c>
      <c r="N862" s="3">
        <v>372.11</v>
      </c>
      <c r="O862" s="10" t="str">
        <f>TEXT(Inventory_Data[[#This Row],[Date]],"mmm")</f>
        <v>Jun</v>
      </c>
    </row>
    <row r="863" spans="1:15" x14ac:dyDescent="0.2">
      <c r="A863" s="21">
        <v>45815</v>
      </c>
      <c r="B863" s="5" t="s">
        <v>32</v>
      </c>
      <c r="C863" t="s">
        <v>33</v>
      </c>
      <c r="D863" t="s">
        <v>34</v>
      </c>
      <c r="E863" t="s">
        <v>35</v>
      </c>
      <c r="F863">
        <v>84</v>
      </c>
      <c r="G863">
        <v>141</v>
      </c>
      <c r="H863">
        <v>169</v>
      </c>
      <c r="I863">
        <f>Inventory_Data[[#This Row],[Opening_Stock]]+Inventory_Data[[#This Row],[Units_Received]]-Inventory_Data[[#This Row],[Units_Sold]]</f>
        <v>56</v>
      </c>
      <c r="J863">
        <v>0</v>
      </c>
      <c r="K863">
        <v>4</v>
      </c>
      <c r="L863" t="s">
        <v>36</v>
      </c>
      <c r="M863" s="3">
        <v>6.27</v>
      </c>
      <c r="N863" s="3">
        <v>8.14</v>
      </c>
      <c r="O863" s="10" t="str">
        <f>TEXT(Inventory_Data[[#This Row],[Date]],"mmm")</f>
        <v>Jun</v>
      </c>
    </row>
    <row r="864" spans="1:15" x14ac:dyDescent="0.2">
      <c r="A864" s="21">
        <v>45815</v>
      </c>
      <c r="B864" s="5" t="s">
        <v>37</v>
      </c>
      <c r="C864" t="s">
        <v>38</v>
      </c>
      <c r="D864" t="s">
        <v>34</v>
      </c>
      <c r="E864" t="s">
        <v>28</v>
      </c>
      <c r="F864">
        <v>304</v>
      </c>
      <c r="G864">
        <v>57</v>
      </c>
      <c r="H864">
        <v>133</v>
      </c>
      <c r="I864">
        <f>Inventory_Data[[#This Row],[Opening_Stock]]+Inventory_Data[[#This Row],[Units_Received]]-Inventory_Data[[#This Row],[Units_Sold]]</f>
        <v>228</v>
      </c>
      <c r="J864">
        <v>0</v>
      </c>
      <c r="K864">
        <v>12</v>
      </c>
      <c r="L864" t="s">
        <v>39</v>
      </c>
      <c r="M864" s="3">
        <v>29.19</v>
      </c>
      <c r="N864" s="3">
        <v>43.5</v>
      </c>
      <c r="O864" s="10" t="str">
        <f>TEXT(Inventory_Data[[#This Row],[Date]],"mmm")</f>
        <v>Jun</v>
      </c>
    </row>
    <row r="865" spans="1:15" x14ac:dyDescent="0.2">
      <c r="A865" s="21">
        <v>45816</v>
      </c>
      <c r="B865" s="5" t="s">
        <v>188</v>
      </c>
      <c r="C865" t="s">
        <v>189</v>
      </c>
      <c r="D865" t="s">
        <v>27</v>
      </c>
      <c r="E865" t="s">
        <v>17</v>
      </c>
      <c r="F865">
        <v>407</v>
      </c>
      <c r="G865">
        <v>201</v>
      </c>
      <c r="H865">
        <v>123</v>
      </c>
      <c r="I865">
        <f>Inventory_Data[[#This Row],[Opening_Stock]]+Inventory_Data[[#This Row],[Units_Received]]-Inventory_Data[[#This Row],[Units_Sold]]</f>
        <v>485</v>
      </c>
      <c r="J865">
        <v>0</v>
      </c>
      <c r="K865">
        <v>1</v>
      </c>
      <c r="L865" t="s">
        <v>66</v>
      </c>
      <c r="M865" s="3">
        <v>20.38</v>
      </c>
      <c r="N865" s="3">
        <v>27.7</v>
      </c>
      <c r="O865" s="10" t="str">
        <f>TEXT(Inventory_Data[[#This Row],[Date]],"mmm")</f>
        <v>Jun</v>
      </c>
    </row>
    <row r="866" spans="1:15" x14ac:dyDescent="0.2">
      <c r="A866" s="21">
        <v>45816</v>
      </c>
      <c r="B866" s="5" t="s">
        <v>182</v>
      </c>
      <c r="C866" t="s">
        <v>183</v>
      </c>
      <c r="D866" t="s">
        <v>52</v>
      </c>
      <c r="E866" t="s">
        <v>17</v>
      </c>
      <c r="F866">
        <v>28</v>
      </c>
      <c r="G866">
        <v>6</v>
      </c>
      <c r="H866">
        <v>20</v>
      </c>
      <c r="I866">
        <f>Inventory_Data[[#This Row],[Opening_Stock]]+Inventory_Data[[#This Row],[Units_Received]]-Inventory_Data[[#This Row],[Units_Sold]]</f>
        <v>14</v>
      </c>
      <c r="J866">
        <v>0</v>
      </c>
      <c r="K866">
        <v>14</v>
      </c>
      <c r="L866" t="s">
        <v>53</v>
      </c>
      <c r="M866" s="3">
        <v>287.64999999999998</v>
      </c>
      <c r="N866" s="3">
        <v>351.07</v>
      </c>
      <c r="O866" s="10" t="str">
        <f>TEXT(Inventory_Data[[#This Row],[Date]],"mmm")</f>
        <v>Jun</v>
      </c>
    </row>
    <row r="867" spans="1:15" x14ac:dyDescent="0.2">
      <c r="A867" s="21">
        <v>45816</v>
      </c>
      <c r="B867" s="5" t="s">
        <v>32</v>
      </c>
      <c r="C867" t="s">
        <v>33</v>
      </c>
      <c r="D867" t="s">
        <v>34</v>
      </c>
      <c r="E867" t="s">
        <v>21</v>
      </c>
      <c r="F867">
        <v>253</v>
      </c>
      <c r="G867">
        <v>61</v>
      </c>
      <c r="H867">
        <v>120</v>
      </c>
      <c r="I867">
        <f>Inventory_Data[[#This Row],[Opening_Stock]]+Inventory_Data[[#This Row],[Units_Received]]-Inventory_Data[[#This Row],[Units_Sold]]</f>
        <v>194</v>
      </c>
      <c r="J867">
        <v>0</v>
      </c>
      <c r="K867">
        <v>13</v>
      </c>
      <c r="L867" t="s">
        <v>42</v>
      </c>
      <c r="M867" s="3">
        <v>28.9</v>
      </c>
      <c r="N867" s="3">
        <v>36.590000000000003</v>
      </c>
      <c r="O867" s="10" t="str">
        <f>TEXT(Inventory_Data[[#This Row],[Date]],"mmm")</f>
        <v>Jun</v>
      </c>
    </row>
    <row r="868" spans="1:15" x14ac:dyDescent="0.2">
      <c r="A868" s="21">
        <v>45817</v>
      </c>
      <c r="B868" s="5" t="s">
        <v>166</v>
      </c>
      <c r="C868" t="s">
        <v>167</v>
      </c>
      <c r="D868" t="s">
        <v>16</v>
      </c>
      <c r="E868" t="s">
        <v>21</v>
      </c>
      <c r="F868">
        <v>58</v>
      </c>
      <c r="G868">
        <v>33</v>
      </c>
      <c r="H868">
        <v>38</v>
      </c>
      <c r="I868">
        <f>Inventory_Data[[#This Row],[Opening_Stock]]+Inventory_Data[[#This Row],[Units_Received]]-Inventory_Data[[#This Row],[Units_Sold]]</f>
        <v>53</v>
      </c>
      <c r="J868">
        <v>0</v>
      </c>
      <c r="K868">
        <v>8</v>
      </c>
      <c r="L868" t="s">
        <v>18</v>
      </c>
      <c r="M868" s="3">
        <v>149.01</v>
      </c>
      <c r="N868" s="3">
        <v>217.49</v>
      </c>
      <c r="O868" s="10" t="str">
        <f>TEXT(Inventory_Data[[#This Row],[Date]],"mmm")</f>
        <v>Jun</v>
      </c>
    </row>
    <row r="869" spans="1:15" x14ac:dyDescent="0.2">
      <c r="A869" s="21">
        <v>45817</v>
      </c>
      <c r="B869" s="5" t="s">
        <v>162</v>
      </c>
      <c r="C869" t="s">
        <v>163</v>
      </c>
      <c r="D869" t="s">
        <v>16</v>
      </c>
      <c r="E869" t="s">
        <v>35</v>
      </c>
      <c r="F869">
        <v>64</v>
      </c>
      <c r="G869">
        <v>29</v>
      </c>
      <c r="H869">
        <v>28</v>
      </c>
      <c r="I869">
        <f>Inventory_Data[[#This Row],[Opening_Stock]]+Inventory_Data[[#This Row],[Units_Received]]-Inventory_Data[[#This Row],[Units_Sold]]</f>
        <v>65</v>
      </c>
      <c r="J869">
        <v>0</v>
      </c>
      <c r="K869">
        <v>14</v>
      </c>
      <c r="L869" t="s">
        <v>18</v>
      </c>
      <c r="M869" s="3">
        <v>30.43</v>
      </c>
      <c r="N869" s="3">
        <v>36.36</v>
      </c>
      <c r="O869" s="10" t="str">
        <f>TEXT(Inventory_Data[[#This Row],[Date]],"mmm")</f>
        <v>Jun</v>
      </c>
    </row>
    <row r="870" spans="1:15" x14ac:dyDescent="0.2">
      <c r="A870" s="21">
        <v>45817</v>
      </c>
      <c r="B870" s="5" t="s">
        <v>112</v>
      </c>
      <c r="C870" t="s">
        <v>113</v>
      </c>
      <c r="D870" t="s">
        <v>16</v>
      </c>
      <c r="E870" t="s">
        <v>17</v>
      </c>
      <c r="F870">
        <v>136</v>
      </c>
      <c r="G870">
        <v>20</v>
      </c>
      <c r="H870">
        <v>58</v>
      </c>
      <c r="I870">
        <f>Inventory_Data[[#This Row],[Opening_Stock]]+Inventory_Data[[#This Row],[Units_Received]]-Inventory_Data[[#This Row],[Units_Sold]]</f>
        <v>98</v>
      </c>
      <c r="J870">
        <v>0</v>
      </c>
      <c r="K870">
        <v>14</v>
      </c>
      <c r="L870" t="s">
        <v>45</v>
      </c>
      <c r="M870" s="3">
        <v>108.99</v>
      </c>
      <c r="N870" s="3">
        <v>126.99</v>
      </c>
      <c r="O870" s="10" t="str">
        <f>TEXT(Inventory_Data[[#This Row],[Date]],"mmm")</f>
        <v>Jun</v>
      </c>
    </row>
    <row r="871" spans="1:15" x14ac:dyDescent="0.2">
      <c r="A871" s="21">
        <v>45817</v>
      </c>
      <c r="B871" s="5" t="s">
        <v>170</v>
      </c>
      <c r="C871" t="s">
        <v>171</v>
      </c>
      <c r="D871" t="s">
        <v>48</v>
      </c>
      <c r="E871" t="s">
        <v>35</v>
      </c>
      <c r="F871">
        <v>270</v>
      </c>
      <c r="G871">
        <v>54</v>
      </c>
      <c r="H871">
        <v>87</v>
      </c>
      <c r="I871">
        <f>Inventory_Data[[#This Row],[Opening_Stock]]+Inventory_Data[[#This Row],[Units_Received]]-Inventory_Data[[#This Row],[Units_Sold]]</f>
        <v>237</v>
      </c>
      <c r="J871">
        <v>0</v>
      </c>
      <c r="K871">
        <v>7</v>
      </c>
      <c r="L871" t="s">
        <v>49</v>
      </c>
      <c r="M871" s="3">
        <v>44.74</v>
      </c>
      <c r="N871" s="3">
        <v>57.65</v>
      </c>
      <c r="O871" s="10" t="str">
        <f>TEXT(Inventory_Data[[#This Row],[Date]],"mmm")</f>
        <v>Jun</v>
      </c>
    </row>
    <row r="872" spans="1:15" x14ac:dyDescent="0.2">
      <c r="A872" s="21">
        <v>45817</v>
      </c>
      <c r="B872" s="5" t="s">
        <v>90</v>
      </c>
      <c r="C872" t="s">
        <v>91</v>
      </c>
      <c r="D872" t="s">
        <v>48</v>
      </c>
      <c r="E872" t="s">
        <v>28</v>
      </c>
      <c r="F872">
        <v>252</v>
      </c>
      <c r="G872">
        <v>150</v>
      </c>
      <c r="H872">
        <v>85</v>
      </c>
      <c r="I872">
        <f>Inventory_Data[[#This Row],[Opening_Stock]]+Inventory_Data[[#This Row],[Units_Received]]-Inventory_Data[[#This Row],[Units_Sold]]</f>
        <v>317</v>
      </c>
      <c r="J872">
        <v>0</v>
      </c>
      <c r="K872">
        <v>13</v>
      </c>
      <c r="L872" t="s">
        <v>63</v>
      </c>
      <c r="M872" s="3">
        <v>51.09</v>
      </c>
      <c r="N872" s="3">
        <v>63.75</v>
      </c>
      <c r="O872" s="10" t="str">
        <f>TEXT(Inventory_Data[[#This Row],[Date]],"mmm")</f>
        <v>Jun</v>
      </c>
    </row>
    <row r="873" spans="1:15" x14ac:dyDescent="0.2">
      <c r="A873" s="21">
        <v>45817</v>
      </c>
      <c r="B873" s="5" t="s">
        <v>92</v>
      </c>
      <c r="C873" t="s">
        <v>93</v>
      </c>
      <c r="D873" t="s">
        <v>27</v>
      </c>
      <c r="E873" t="s">
        <v>17</v>
      </c>
      <c r="F873">
        <v>255</v>
      </c>
      <c r="G873">
        <v>106</v>
      </c>
      <c r="H873">
        <v>193</v>
      </c>
      <c r="I873">
        <f>Inventory_Data[[#This Row],[Opening_Stock]]+Inventory_Data[[#This Row],[Units_Received]]-Inventory_Data[[#This Row],[Units_Sold]]</f>
        <v>168</v>
      </c>
      <c r="J873">
        <v>0</v>
      </c>
      <c r="K873">
        <v>1</v>
      </c>
      <c r="L873" t="s">
        <v>66</v>
      </c>
      <c r="M873" s="3">
        <v>11.5</v>
      </c>
      <c r="N873" s="3">
        <v>17.260000000000002</v>
      </c>
      <c r="O873" s="10" t="str">
        <f>TEXT(Inventory_Data[[#This Row],[Date]],"mmm")</f>
        <v>Jun</v>
      </c>
    </row>
    <row r="874" spans="1:15" x14ac:dyDescent="0.2">
      <c r="A874" s="21">
        <v>45817</v>
      </c>
      <c r="B874" s="5" t="s">
        <v>98</v>
      </c>
      <c r="C874" t="s">
        <v>99</v>
      </c>
      <c r="D874" t="s">
        <v>27</v>
      </c>
      <c r="E874" t="s">
        <v>28</v>
      </c>
      <c r="F874">
        <v>343</v>
      </c>
      <c r="G874">
        <v>110</v>
      </c>
      <c r="H874">
        <v>127</v>
      </c>
      <c r="I874">
        <f>Inventory_Data[[#This Row],[Opening_Stock]]+Inventory_Data[[#This Row],[Units_Received]]-Inventory_Data[[#This Row],[Units_Sold]]</f>
        <v>326</v>
      </c>
      <c r="J874">
        <v>0</v>
      </c>
      <c r="K874">
        <v>3</v>
      </c>
      <c r="L874" t="s">
        <v>80</v>
      </c>
      <c r="M874" s="3">
        <v>10.73</v>
      </c>
      <c r="N874" s="3">
        <v>13.7</v>
      </c>
      <c r="O874" s="10" t="str">
        <f>TEXT(Inventory_Data[[#This Row],[Date]],"mmm")</f>
        <v>Jun</v>
      </c>
    </row>
    <row r="875" spans="1:15" x14ac:dyDescent="0.2">
      <c r="A875" s="21">
        <v>45817</v>
      </c>
      <c r="B875" s="5" t="s">
        <v>186</v>
      </c>
      <c r="C875" t="s">
        <v>187</v>
      </c>
      <c r="D875" t="s">
        <v>27</v>
      </c>
      <c r="E875" t="s">
        <v>28</v>
      </c>
      <c r="F875">
        <v>190</v>
      </c>
      <c r="G875">
        <v>90</v>
      </c>
      <c r="H875">
        <v>220</v>
      </c>
      <c r="I875">
        <f>Inventory_Data[[#This Row],[Opening_Stock]]+Inventory_Data[[#This Row],[Units_Received]]-Inventory_Data[[#This Row],[Units_Sold]]</f>
        <v>60</v>
      </c>
      <c r="J875">
        <v>0</v>
      </c>
      <c r="K875">
        <v>3</v>
      </c>
      <c r="L875" t="s">
        <v>66</v>
      </c>
      <c r="M875" s="3">
        <v>21.08</v>
      </c>
      <c r="N875" s="3">
        <v>29.35</v>
      </c>
      <c r="O875" s="10" t="str">
        <f>TEXT(Inventory_Data[[#This Row],[Date]],"mmm")</f>
        <v>Jun</v>
      </c>
    </row>
    <row r="876" spans="1:15" x14ac:dyDescent="0.2">
      <c r="A876" s="21">
        <v>45817</v>
      </c>
      <c r="B876" s="5" t="s">
        <v>174</v>
      </c>
      <c r="C876" t="s">
        <v>175</v>
      </c>
      <c r="D876" t="s">
        <v>52</v>
      </c>
      <c r="E876" t="s">
        <v>17</v>
      </c>
      <c r="F876">
        <v>46</v>
      </c>
      <c r="G876">
        <v>10</v>
      </c>
      <c r="H876">
        <v>17</v>
      </c>
      <c r="I876">
        <f>Inventory_Data[[#This Row],[Opening_Stock]]+Inventory_Data[[#This Row],[Units_Received]]-Inventory_Data[[#This Row],[Units_Sold]]</f>
        <v>39</v>
      </c>
      <c r="J876">
        <v>0</v>
      </c>
      <c r="K876">
        <v>4</v>
      </c>
      <c r="L876" t="s">
        <v>56</v>
      </c>
      <c r="M876" s="3">
        <v>282.75</v>
      </c>
      <c r="N876" s="3">
        <v>436.14</v>
      </c>
      <c r="O876" s="10" t="str">
        <f>TEXT(Inventory_Data[[#This Row],[Date]],"mmm")</f>
        <v>Jun</v>
      </c>
    </row>
    <row r="877" spans="1:15" x14ac:dyDescent="0.2">
      <c r="A877" s="21">
        <v>45817</v>
      </c>
      <c r="B877" s="5" t="s">
        <v>126</v>
      </c>
      <c r="C877" t="s">
        <v>127</v>
      </c>
      <c r="D877" t="s">
        <v>34</v>
      </c>
      <c r="E877" t="s">
        <v>17</v>
      </c>
      <c r="F877">
        <v>172</v>
      </c>
      <c r="G877">
        <v>105</v>
      </c>
      <c r="H877">
        <v>136</v>
      </c>
      <c r="I877">
        <f>Inventory_Data[[#This Row],[Opening_Stock]]+Inventory_Data[[#This Row],[Units_Received]]-Inventory_Data[[#This Row],[Units_Sold]]</f>
        <v>141</v>
      </c>
      <c r="J877">
        <v>0</v>
      </c>
      <c r="K877">
        <v>4</v>
      </c>
      <c r="L877" t="s">
        <v>36</v>
      </c>
      <c r="M877" s="3">
        <v>11.29</v>
      </c>
      <c r="N877" s="3">
        <v>17.239999999999998</v>
      </c>
      <c r="O877" s="10" t="str">
        <f>TEXT(Inventory_Data[[#This Row],[Date]],"mmm")</f>
        <v>Jun</v>
      </c>
    </row>
    <row r="878" spans="1:15" x14ac:dyDescent="0.2">
      <c r="A878" s="21">
        <v>45818</v>
      </c>
      <c r="B878" s="5" t="s">
        <v>192</v>
      </c>
      <c r="C878" t="s">
        <v>193</v>
      </c>
      <c r="D878" t="s">
        <v>48</v>
      </c>
      <c r="E878" t="s">
        <v>28</v>
      </c>
      <c r="F878">
        <v>101</v>
      </c>
      <c r="G878">
        <v>105</v>
      </c>
      <c r="H878">
        <v>87</v>
      </c>
      <c r="I878">
        <f>Inventory_Data[[#This Row],[Opening_Stock]]+Inventory_Data[[#This Row],[Units_Received]]-Inventory_Data[[#This Row],[Units_Sold]]</f>
        <v>119</v>
      </c>
      <c r="J878">
        <v>0</v>
      </c>
      <c r="K878">
        <v>11</v>
      </c>
      <c r="L878" t="s">
        <v>49</v>
      </c>
      <c r="M878" s="3">
        <v>22.79</v>
      </c>
      <c r="N878" s="3">
        <v>30.39</v>
      </c>
      <c r="O878" s="10" t="str">
        <f>TEXT(Inventory_Data[[#This Row],[Date]],"mmm")</f>
        <v>Jun</v>
      </c>
    </row>
    <row r="879" spans="1:15" x14ac:dyDescent="0.2">
      <c r="A879" s="21">
        <v>45818</v>
      </c>
      <c r="B879" s="5" t="s">
        <v>192</v>
      </c>
      <c r="C879" t="s">
        <v>193</v>
      </c>
      <c r="D879" t="s">
        <v>48</v>
      </c>
      <c r="E879" t="s">
        <v>35</v>
      </c>
      <c r="F879">
        <v>119</v>
      </c>
      <c r="G879">
        <v>41</v>
      </c>
      <c r="H879">
        <v>84</v>
      </c>
      <c r="I879">
        <f>Inventory_Data[[#This Row],[Opening_Stock]]+Inventory_Data[[#This Row],[Units_Received]]-Inventory_Data[[#This Row],[Units_Sold]]</f>
        <v>76</v>
      </c>
      <c r="J879">
        <v>0</v>
      </c>
      <c r="K879">
        <v>9</v>
      </c>
      <c r="L879" t="s">
        <v>77</v>
      </c>
      <c r="M879" s="3">
        <v>56.89</v>
      </c>
      <c r="N879" s="3">
        <v>81.569999999999993</v>
      </c>
      <c r="O879" s="10" t="str">
        <f>TEXT(Inventory_Data[[#This Row],[Date]],"mmm")</f>
        <v>Jun</v>
      </c>
    </row>
    <row r="880" spans="1:15" x14ac:dyDescent="0.2">
      <c r="A880" s="21">
        <v>45818</v>
      </c>
      <c r="B880" s="5" t="s">
        <v>146</v>
      </c>
      <c r="C880" t="s">
        <v>147</v>
      </c>
      <c r="D880" t="s">
        <v>48</v>
      </c>
      <c r="E880" t="s">
        <v>21</v>
      </c>
      <c r="F880">
        <v>232</v>
      </c>
      <c r="G880">
        <v>41</v>
      </c>
      <c r="H880">
        <v>107</v>
      </c>
      <c r="I880">
        <f>Inventory_Data[[#This Row],[Opening_Stock]]+Inventory_Data[[#This Row],[Units_Received]]-Inventory_Data[[#This Row],[Units_Sold]]</f>
        <v>166</v>
      </c>
      <c r="J880">
        <v>0</v>
      </c>
      <c r="K880">
        <v>9</v>
      </c>
      <c r="L880" t="s">
        <v>49</v>
      </c>
      <c r="M880" s="3">
        <v>31.16</v>
      </c>
      <c r="N880" s="3">
        <v>47.68</v>
      </c>
      <c r="O880" s="10" t="str">
        <f>TEXT(Inventory_Data[[#This Row],[Date]],"mmm")</f>
        <v>Jun</v>
      </c>
    </row>
    <row r="881" spans="1:15" x14ac:dyDescent="0.2">
      <c r="A881" s="21">
        <v>45818</v>
      </c>
      <c r="B881" s="5" t="s">
        <v>75</v>
      </c>
      <c r="C881" t="s">
        <v>76</v>
      </c>
      <c r="D881" t="s">
        <v>48</v>
      </c>
      <c r="E881" t="s">
        <v>35</v>
      </c>
      <c r="F881">
        <v>228</v>
      </c>
      <c r="G881">
        <v>85</v>
      </c>
      <c r="H881">
        <v>51</v>
      </c>
      <c r="I881">
        <f>Inventory_Data[[#This Row],[Opening_Stock]]+Inventory_Data[[#This Row],[Units_Received]]-Inventory_Data[[#This Row],[Units_Sold]]</f>
        <v>262</v>
      </c>
      <c r="J881">
        <v>0</v>
      </c>
      <c r="K881">
        <v>2</v>
      </c>
      <c r="L881" t="s">
        <v>63</v>
      </c>
      <c r="M881" s="3">
        <v>18.55</v>
      </c>
      <c r="N881" s="3">
        <v>24.64</v>
      </c>
      <c r="O881" s="10" t="str">
        <f>TEXT(Inventory_Data[[#This Row],[Date]],"mmm")</f>
        <v>Jun</v>
      </c>
    </row>
    <row r="882" spans="1:15" x14ac:dyDescent="0.2">
      <c r="A882" s="21">
        <v>45818</v>
      </c>
      <c r="B882" s="5" t="s">
        <v>98</v>
      </c>
      <c r="C882" t="s">
        <v>99</v>
      </c>
      <c r="D882" t="s">
        <v>27</v>
      </c>
      <c r="E882" t="s">
        <v>28</v>
      </c>
      <c r="F882">
        <v>122</v>
      </c>
      <c r="G882">
        <v>96</v>
      </c>
      <c r="H882">
        <v>69</v>
      </c>
      <c r="I882">
        <f>Inventory_Data[[#This Row],[Opening_Stock]]+Inventory_Data[[#This Row],[Units_Received]]-Inventory_Data[[#This Row],[Units_Sold]]</f>
        <v>149</v>
      </c>
      <c r="J882">
        <v>0</v>
      </c>
      <c r="K882">
        <v>4</v>
      </c>
      <c r="L882" t="s">
        <v>66</v>
      </c>
      <c r="M882" s="3">
        <v>11.26</v>
      </c>
      <c r="N882" s="3">
        <v>13.63</v>
      </c>
      <c r="O882" s="10" t="str">
        <f>TEXT(Inventory_Data[[#This Row],[Date]],"mmm")</f>
        <v>Jun</v>
      </c>
    </row>
    <row r="883" spans="1:15" x14ac:dyDescent="0.2">
      <c r="A883" s="21">
        <v>45818</v>
      </c>
      <c r="B883" s="5" t="s">
        <v>100</v>
      </c>
      <c r="C883" t="s">
        <v>101</v>
      </c>
      <c r="D883" t="s">
        <v>52</v>
      </c>
      <c r="E883" t="s">
        <v>35</v>
      </c>
      <c r="F883">
        <v>72</v>
      </c>
      <c r="G883">
        <v>23</v>
      </c>
      <c r="H883">
        <v>16</v>
      </c>
      <c r="I883">
        <f>Inventory_Data[[#This Row],[Opening_Stock]]+Inventory_Data[[#This Row],[Units_Received]]-Inventory_Data[[#This Row],[Units_Sold]]</f>
        <v>79</v>
      </c>
      <c r="J883">
        <v>0</v>
      </c>
      <c r="K883">
        <v>8</v>
      </c>
      <c r="L883" t="s">
        <v>56</v>
      </c>
      <c r="M883" s="3">
        <v>31.37</v>
      </c>
      <c r="N883" s="3">
        <v>44.5</v>
      </c>
      <c r="O883" s="10" t="str">
        <f>TEXT(Inventory_Data[[#This Row],[Date]],"mmm")</f>
        <v>Jun</v>
      </c>
    </row>
    <row r="884" spans="1:15" x14ac:dyDescent="0.2">
      <c r="A884" s="21">
        <v>45818</v>
      </c>
      <c r="B884" s="5" t="s">
        <v>54</v>
      </c>
      <c r="C884" t="s">
        <v>55</v>
      </c>
      <c r="D884" t="s">
        <v>52</v>
      </c>
      <c r="E884" t="s">
        <v>17</v>
      </c>
      <c r="F884">
        <v>24</v>
      </c>
      <c r="G884">
        <v>5</v>
      </c>
      <c r="H884">
        <v>11</v>
      </c>
      <c r="I884">
        <f>Inventory_Data[[#This Row],[Opening_Stock]]+Inventory_Data[[#This Row],[Units_Received]]-Inventory_Data[[#This Row],[Units_Sold]]</f>
        <v>18</v>
      </c>
      <c r="J884">
        <v>0</v>
      </c>
      <c r="K884">
        <v>4</v>
      </c>
      <c r="L884" t="s">
        <v>83</v>
      </c>
      <c r="M884" s="3">
        <v>44.59</v>
      </c>
      <c r="N884" s="3">
        <v>67.95</v>
      </c>
      <c r="O884" s="10" t="str">
        <f>TEXT(Inventory_Data[[#This Row],[Date]],"mmm")</f>
        <v>Jun</v>
      </c>
    </row>
    <row r="885" spans="1:15" x14ac:dyDescent="0.2">
      <c r="A885" s="21">
        <v>45818</v>
      </c>
      <c r="B885" s="5" t="s">
        <v>57</v>
      </c>
      <c r="C885" t="s">
        <v>58</v>
      </c>
      <c r="D885" t="s">
        <v>52</v>
      </c>
      <c r="E885" t="s">
        <v>28</v>
      </c>
      <c r="F885">
        <v>49</v>
      </c>
      <c r="G885">
        <v>8</v>
      </c>
      <c r="H885">
        <v>17</v>
      </c>
      <c r="I885">
        <f>Inventory_Data[[#This Row],[Opening_Stock]]+Inventory_Data[[#This Row],[Units_Received]]-Inventory_Data[[#This Row],[Units_Sold]]</f>
        <v>40</v>
      </c>
      <c r="J885">
        <v>0</v>
      </c>
      <c r="K885">
        <v>6</v>
      </c>
      <c r="L885" t="s">
        <v>53</v>
      </c>
      <c r="M885" s="3">
        <v>310.18</v>
      </c>
      <c r="N885" s="3">
        <v>448.36</v>
      </c>
      <c r="O885" s="10" t="str">
        <f>TEXT(Inventory_Data[[#This Row],[Date]],"mmm")</f>
        <v>Jun</v>
      </c>
    </row>
    <row r="886" spans="1:15" x14ac:dyDescent="0.2">
      <c r="A886" s="21">
        <v>45818</v>
      </c>
      <c r="B886" s="5" t="s">
        <v>69</v>
      </c>
      <c r="C886" t="s">
        <v>70</v>
      </c>
      <c r="D886" t="s">
        <v>34</v>
      </c>
      <c r="E886" t="s">
        <v>28</v>
      </c>
      <c r="F886">
        <v>306</v>
      </c>
      <c r="G886">
        <v>34</v>
      </c>
      <c r="H886">
        <v>131</v>
      </c>
      <c r="I886">
        <f>Inventory_Data[[#This Row],[Opening_Stock]]+Inventory_Data[[#This Row],[Units_Received]]-Inventory_Data[[#This Row],[Units_Sold]]</f>
        <v>209</v>
      </c>
      <c r="J886">
        <v>0</v>
      </c>
      <c r="K886">
        <v>3</v>
      </c>
      <c r="L886" t="s">
        <v>39</v>
      </c>
      <c r="M886" s="3">
        <v>14.65</v>
      </c>
      <c r="N886" s="3">
        <v>22.41</v>
      </c>
      <c r="O886" s="10" t="str">
        <f>TEXT(Inventory_Data[[#This Row],[Date]],"mmm")</f>
        <v>Jun</v>
      </c>
    </row>
    <row r="887" spans="1:15" x14ac:dyDescent="0.2">
      <c r="A887" s="21">
        <v>45819</v>
      </c>
      <c r="B887" s="5" t="s">
        <v>178</v>
      </c>
      <c r="C887" t="s">
        <v>179</v>
      </c>
      <c r="D887" t="s">
        <v>16</v>
      </c>
      <c r="E887" t="s">
        <v>35</v>
      </c>
      <c r="F887">
        <v>140</v>
      </c>
      <c r="G887">
        <v>24</v>
      </c>
      <c r="H887">
        <v>42</v>
      </c>
      <c r="I887">
        <f>Inventory_Data[[#This Row],[Opening_Stock]]+Inventory_Data[[#This Row],[Units_Received]]-Inventory_Data[[#This Row],[Units_Sold]]</f>
        <v>122</v>
      </c>
      <c r="J887">
        <v>0</v>
      </c>
      <c r="K887">
        <v>6</v>
      </c>
      <c r="L887" t="s">
        <v>18</v>
      </c>
      <c r="M887" s="3">
        <v>96.82</v>
      </c>
      <c r="N887" s="3">
        <v>120.73</v>
      </c>
      <c r="O887" s="10" t="str">
        <f>TEXT(Inventory_Data[[#This Row],[Date]],"mmm")</f>
        <v>Jun</v>
      </c>
    </row>
    <row r="888" spans="1:15" x14ac:dyDescent="0.2">
      <c r="A888" s="21">
        <v>45819</v>
      </c>
      <c r="B888" s="5" t="s">
        <v>184</v>
      </c>
      <c r="C888" t="s">
        <v>185</v>
      </c>
      <c r="D888" t="s">
        <v>16</v>
      </c>
      <c r="E888" t="s">
        <v>17</v>
      </c>
      <c r="F888">
        <v>101</v>
      </c>
      <c r="G888">
        <v>54</v>
      </c>
      <c r="H888">
        <v>36</v>
      </c>
      <c r="I888">
        <f>Inventory_Data[[#This Row],[Opening_Stock]]+Inventory_Data[[#This Row],[Units_Received]]-Inventory_Data[[#This Row],[Units_Sold]]</f>
        <v>119</v>
      </c>
      <c r="J888">
        <v>0</v>
      </c>
      <c r="K888">
        <v>5</v>
      </c>
      <c r="L888" t="s">
        <v>18</v>
      </c>
      <c r="M888" s="3">
        <v>91.14</v>
      </c>
      <c r="N888" s="3">
        <v>114.5</v>
      </c>
      <c r="O888" s="10" t="str">
        <f>TEXT(Inventory_Data[[#This Row],[Date]],"mmm")</f>
        <v>Jun</v>
      </c>
    </row>
    <row r="889" spans="1:15" x14ac:dyDescent="0.2">
      <c r="A889" s="21">
        <v>45819</v>
      </c>
      <c r="B889" s="5" t="s">
        <v>50</v>
      </c>
      <c r="C889" t="s">
        <v>51</v>
      </c>
      <c r="D889" t="s">
        <v>52</v>
      </c>
      <c r="E889" t="s">
        <v>35</v>
      </c>
      <c r="F889">
        <v>44</v>
      </c>
      <c r="G889">
        <v>8</v>
      </c>
      <c r="H889">
        <v>19</v>
      </c>
      <c r="I889">
        <f>Inventory_Data[[#This Row],[Opening_Stock]]+Inventory_Data[[#This Row],[Units_Received]]-Inventory_Data[[#This Row],[Units_Sold]]</f>
        <v>33</v>
      </c>
      <c r="J889">
        <v>0</v>
      </c>
      <c r="K889">
        <v>5</v>
      </c>
      <c r="L889" t="s">
        <v>53</v>
      </c>
      <c r="M889" s="3">
        <v>315.14</v>
      </c>
      <c r="N889" s="3">
        <v>473.95</v>
      </c>
      <c r="O889" s="10" t="str">
        <f>TEXT(Inventory_Data[[#This Row],[Date]],"mmm")</f>
        <v>Jun</v>
      </c>
    </row>
    <row r="890" spans="1:15" x14ac:dyDescent="0.2">
      <c r="A890" s="21">
        <v>45819</v>
      </c>
      <c r="B890" s="5" t="s">
        <v>54</v>
      </c>
      <c r="C890" t="s">
        <v>55</v>
      </c>
      <c r="D890" t="s">
        <v>52</v>
      </c>
      <c r="E890" t="s">
        <v>35</v>
      </c>
      <c r="F890">
        <v>13</v>
      </c>
      <c r="G890">
        <v>23</v>
      </c>
      <c r="H890">
        <v>14</v>
      </c>
      <c r="I890">
        <f>Inventory_Data[[#This Row],[Opening_Stock]]+Inventory_Data[[#This Row],[Units_Received]]-Inventory_Data[[#This Row],[Units_Sold]]</f>
        <v>22</v>
      </c>
      <c r="J890">
        <v>0</v>
      </c>
      <c r="K890">
        <v>4</v>
      </c>
      <c r="L890" t="s">
        <v>83</v>
      </c>
      <c r="M890" s="3">
        <v>230.03</v>
      </c>
      <c r="N890" s="3">
        <v>296.7</v>
      </c>
      <c r="O890" s="10" t="str">
        <f>TEXT(Inventory_Data[[#This Row],[Date]],"mmm")</f>
        <v>Jun</v>
      </c>
    </row>
    <row r="891" spans="1:15" x14ac:dyDescent="0.2">
      <c r="A891" s="21">
        <v>45820</v>
      </c>
      <c r="B891" s="5" t="s">
        <v>92</v>
      </c>
      <c r="C891" t="s">
        <v>93</v>
      </c>
      <c r="D891" t="s">
        <v>27</v>
      </c>
      <c r="E891" t="s">
        <v>21</v>
      </c>
      <c r="F891">
        <v>460</v>
      </c>
      <c r="G891">
        <v>171</v>
      </c>
      <c r="H891">
        <v>39</v>
      </c>
      <c r="I891">
        <f>Inventory_Data[[#This Row],[Opening_Stock]]+Inventory_Data[[#This Row],[Units_Received]]-Inventory_Data[[#This Row],[Units_Sold]]</f>
        <v>592</v>
      </c>
      <c r="J891">
        <v>0</v>
      </c>
      <c r="K891">
        <v>2</v>
      </c>
      <c r="L891" t="s">
        <v>29</v>
      </c>
      <c r="M891" s="3">
        <v>22.38</v>
      </c>
      <c r="N891" s="3">
        <v>31.05</v>
      </c>
      <c r="O891" s="10" t="str">
        <f>TEXT(Inventory_Data[[#This Row],[Date]],"mmm")</f>
        <v>Jun</v>
      </c>
    </row>
    <row r="892" spans="1:15" x14ac:dyDescent="0.2">
      <c r="A892" s="21">
        <v>45820</v>
      </c>
      <c r="B892" s="5" t="s">
        <v>188</v>
      </c>
      <c r="C892" t="s">
        <v>189</v>
      </c>
      <c r="D892" t="s">
        <v>27</v>
      </c>
      <c r="E892" t="s">
        <v>21</v>
      </c>
      <c r="F892">
        <v>379</v>
      </c>
      <c r="G892">
        <v>53</v>
      </c>
      <c r="H892">
        <v>48</v>
      </c>
      <c r="I892">
        <f>Inventory_Data[[#This Row],[Opening_Stock]]+Inventory_Data[[#This Row],[Units_Received]]-Inventory_Data[[#This Row],[Units_Sold]]</f>
        <v>384</v>
      </c>
      <c r="J892">
        <v>0</v>
      </c>
      <c r="K892">
        <v>2</v>
      </c>
      <c r="L892" t="s">
        <v>80</v>
      </c>
      <c r="M892" s="3">
        <v>18.420000000000002</v>
      </c>
      <c r="N892" s="3">
        <v>26.61</v>
      </c>
      <c r="O892" s="10" t="str">
        <f>TEXT(Inventory_Data[[#This Row],[Date]],"mmm")</f>
        <v>Jun</v>
      </c>
    </row>
    <row r="893" spans="1:15" x14ac:dyDescent="0.2">
      <c r="A893" s="21">
        <v>45820</v>
      </c>
      <c r="B893" s="5" t="s">
        <v>98</v>
      </c>
      <c r="C893" t="s">
        <v>99</v>
      </c>
      <c r="D893" t="s">
        <v>27</v>
      </c>
      <c r="E893" t="s">
        <v>35</v>
      </c>
      <c r="F893">
        <v>367</v>
      </c>
      <c r="G893">
        <v>145</v>
      </c>
      <c r="H893">
        <v>165</v>
      </c>
      <c r="I893">
        <f>Inventory_Data[[#This Row],[Opening_Stock]]+Inventory_Data[[#This Row],[Units_Received]]-Inventory_Data[[#This Row],[Units_Sold]]</f>
        <v>347</v>
      </c>
      <c r="J893">
        <v>0</v>
      </c>
      <c r="K893">
        <v>7</v>
      </c>
      <c r="L893" t="s">
        <v>29</v>
      </c>
      <c r="M893" s="3">
        <v>13.13</v>
      </c>
      <c r="N893" s="3">
        <v>17.8</v>
      </c>
      <c r="O893" s="10" t="str">
        <f>TEXT(Inventory_Data[[#This Row],[Date]],"mmm")</f>
        <v>Jun</v>
      </c>
    </row>
    <row r="894" spans="1:15" x14ac:dyDescent="0.2">
      <c r="A894" s="21">
        <v>45820</v>
      </c>
      <c r="B894" s="5" t="s">
        <v>134</v>
      </c>
      <c r="C894" t="s">
        <v>135</v>
      </c>
      <c r="D894" t="s">
        <v>27</v>
      </c>
      <c r="E894" t="s">
        <v>35</v>
      </c>
      <c r="F894">
        <v>258</v>
      </c>
      <c r="G894">
        <v>172</v>
      </c>
      <c r="H894">
        <v>74</v>
      </c>
      <c r="I894">
        <f>Inventory_Data[[#This Row],[Opening_Stock]]+Inventory_Data[[#This Row],[Units_Received]]-Inventory_Data[[#This Row],[Units_Sold]]</f>
        <v>356</v>
      </c>
      <c r="J894">
        <v>0</v>
      </c>
      <c r="K894">
        <v>5</v>
      </c>
      <c r="L894" t="s">
        <v>66</v>
      </c>
      <c r="M894" s="3">
        <v>13.78</v>
      </c>
      <c r="N894" s="3">
        <v>16.600000000000001</v>
      </c>
      <c r="O894" s="10" t="str">
        <f>TEXT(Inventory_Data[[#This Row],[Date]],"mmm")</f>
        <v>Jun</v>
      </c>
    </row>
    <row r="895" spans="1:15" x14ac:dyDescent="0.2">
      <c r="A895" s="21">
        <v>45820</v>
      </c>
      <c r="B895" s="5" t="s">
        <v>136</v>
      </c>
      <c r="C895" t="s">
        <v>137</v>
      </c>
      <c r="D895" t="s">
        <v>27</v>
      </c>
      <c r="E895" t="s">
        <v>21</v>
      </c>
      <c r="F895">
        <v>96</v>
      </c>
      <c r="G895">
        <v>57</v>
      </c>
      <c r="H895">
        <v>153</v>
      </c>
      <c r="I895">
        <f>Inventory_Data[[#This Row],[Opening_Stock]]+Inventory_Data[[#This Row],[Units_Received]]-Inventory_Data[[#This Row],[Units_Sold]]</f>
        <v>0</v>
      </c>
      <c r="J895">
        <v>1</v>
      </c>
      <c r="K895">
        <v>4</v>
      </c>
      <c r="L895" t="s">
        <v>29</v>
      </c>
      <c r="M895" s="3">
        <v>10.89</v>
      </c>
      <c r="N895" s="3">
        <v>15.02</v>
      </c>
      <c r="O895" s="10" t="str">
        <f>TEXT(Inventory_Data[[#This Row],[Date]],"mmm")</f>
        <v>Jun</v>
      </c>
    </row>
    <row r="896" spans="1:15" x14ac:dyDescent="0.2">
      <c r="A896" s="21">
        <v>45820</v>
      </c>
      <c r="B896" s="5" t="s">
        <v>50</v>
      </c>
      <c r="C896" t="s">
        <v>51</v>
      </c>
      <c r="D896" t="s">
        <v>52</v>
      </c>
      <c r="E896" t="s">
        <v>28</v>
      </c>
      <c r="F896">
        <v>30</v>
      </c>
      <c r="G896">
        <v>20</v>
      </c>
      <c r="H896">
        <v>11</v>
      </c>
      <c r="I896">
        <f>Inventory_Data[[#This Row],[Opening_Stock]]+Inventory_Data[[#This Row],[Units_Received]]-Inventory_Data[[#This Row],[Units_Sold]]</f>
        <v>39</v>
      </c>
      <c r="J896">
        <v>0</v>
      </c>
      <c r="K896">
        <v>6</v>
      </c>
      <c r="L896" t="s">
        <v>56</v>
      </c>
      <c r="M896" s="3">
        <v>296.55</v>
      </c>
      <c r="N896" s="3">
        <v>388.38</v>
      </c>
      <c r="O896" s="10" t="str">
        <f>TEXT(Inventory_Data[[#This Row],[Date]],"mmm")</f>
        <v>Jun</v>
      </c>
    </row>
    <row r="897" spans="1:15" x14ac:dyDescent="0.2">
      <c r="A897" s="21">
        <v>45820</v>
      </c>
      <c r="B897" s="5" t="s">
        <v>180</v>
      </c>
      <c r="C897" t="s">
        <v>181</v>
      </c>
      <c r="D897" t="s">
        <v>34</v>
      </c>
      <c r="E897" t="s">
        <v>17</v>
      </c>
      <c r="F897">
        <v>245</v>
      </c>
      <c r="G897">
        <v>190</v>
      </c>
      <c r="H897">
        <v>122</v>
      </c>
      <c r="I897">
        <f>Inventory_Data[[#This Row],[Opening_Stock]]+Inventory_Data[[#This Row],[Units_Received]]-Inventory_Data[[#This Row],[Units_Sold]]</f>
        <v>313</v>
      </c>
      <c r="J897">
        <v>0</v>
      </c>
      <c r="K897">
        <v>12</v>
      </c>
      <c r="L897" t="s">
        <v>42</v>
      </c>
      <c r="M897" s="3">
        <v>6.71</v>
      </c>
      <c r="N897" s="3">
        <v>8.9</v>
      </c>
      <c r="O897" s="10" t="str">
        <f>TEXT(Inventory_Data[[#This Row],[Date]],"mmm")</f>
        <v>Jun</v>
      </c>
    </row>
    <row r="898" spans="1:15" x14ac:dyDescent="0.2">
      <c r="A898" s="21">
        <v>45821</v>
      </c>
      <c r="B898" s="5" t="s">
        <v>71</v>
      </c>
      <c r="C898" t="s">
        <v>72</v>
      </c>
      <c r="D898" t="s">
        <v>16</v>
      </c>
      <c r="E898" t="s">
        <v>35</v>
      </c>
      <c r="F898">
        <v>98</v>
      </c>
      <c r="G898">
        <v>47</v>
      </c>
      <c r="H898">
        <v>25</v>
      </c>
      <c r="I898">
        <f>Inventory_Data[[#This Row],[Opening_Stock]]+Inventory_Data[[#This Row],[Units_Received]]-Inventory_Data[[#This Row],[Units_Sold]]</f>
        <v>120</v>
      </c>
      <c r="J898">
        <v>0</v>
      </c>
      <c r="K898">
        <v>3</v>
      </c>
      <c r="L898" t="s">
        <v>45</v>
      </c>
      <c r="M898" s="3">
        <v>129.91</v>
      </c>
      <c r="N898" s="3">
        <v>166.65</v>
      </c>
      <c r="O898" s="10" t="str">
        <f>TEXT(Inventory_Data[[#This Row],[Date]],"mmm")</f>
        <v>Jun</v>
      </c>
    </row>
    <row r="899" spans="1:15" x14ac:dyDescent="0.2">
      <c r="A899" s="21">
        <v>45821</v>
      </c>
      <c r="B899" s="5" t="s">
        <v>170</v>
      </c>
      <c r="C899" t="s">
        <v>171</v>
      </c>
      <c r="D899" t="s">
        <v>48</v>
      </c>
      <c r="E899" t="s">
        <v>28</v>
      </c>
      <c r="F899">
        <v>210</v>
      </c>
      <c r="G899">
        <v>94</v>
      </c>
      <c r="H899">
        <v>21</v>
      </c>
      <c r="I899">
        <f>Inventory_Data[[#This Row],[Opening_Stock]]+Inventory_Data[[#This Row],[Units_Received]]-Inventory_Data[[#This Row],[Units_Sold]]</f>
        <v>283</v>
      </c>
      <c r="J899">
        <v>0</v>
      </c>
      <c r="K899">
        <v>4</v>
      </c>
      <c r="L899" t="s">
        <v>49</v>
      </c>
      <c r="M899" s="3">
        <v>63.47</v>
      </c>
      <c r="N899" s="3">
        <v>88.08</v>
      </c>
      <c r="O899" s="10" t="str">
        <f>TEXT(Inventory_Data[[#This Row],[Date]],"mmm")</f>
        <v>Jun</v>
      </c>
    </row>
    <row r="900" spans="1:15" x14ac:dyDescent="0.2">
      <c r="A900" s="21">
        <v>45821</v>
      </c>
      <c r="B900" s="5" t="s">
        <v>144</v>
      </c>
      <c r="C900" t="s">
        <v>145</v>
      </c>
      <c r="D900" t="s">
        <v>48</v>
      </c>
      <c r="E900" t="s">
        <v>28</v>
      </c>
      <c r="F900">
        <v>129</v>
      </c>
      <c r="G900">
        <v>75</v>
      </c>
      <c r="H900">
        <v>105</v>
      </c>
      <c r="I900">
        <f>Inventory_Data[[#This Row],[Opening_Stock]]+Inventory_Data[[#This Row],[Units_Received]]-Inventory_Data[[#This Row],[Units_Sold]]</f>
        <v>99</v>
      </c>
      <c r="J900">
        <v>0</v>
      </c>
      <c r="K900">
        <v>11</v>
      </c>
      <c r="L900" t="s">
        <v>49</v>
      </c>
      <c r="M900" s="3">
        <v>72.459999999999994</v>
      </c>
      <c r="N900" s="3">
        <v>86.85</v>
      </c>
      <c r="O900" s="10" t="str">
        <f>TEXT(Inventory_Data[[#This Row],[Date]],"mmm")</f>
        <v>Jun</v>
      </c>
    </row>
    <row r="901" spans="1:15" x14ac:dyDescent="0.2">
      <c r="A901" s="21">
        <v>45821</v>
      </c>
      <c r="B901" s="5" t="s">
        <v>182</v>
      </c>
      <c r="C901" t="s">
        <v>183</v>
      </c>
      <c r="D901" t="s">
        <v>52</v>
      </c>
      <c r="E901" t="s">
        <v>28</v>
      </c>
      <c r="F901">
        <v>52</v>
      </c>
      <c r="G901">
        <v>18</v>
      </c>
      <c r="H901">
        <v>16</v>
      </c>
      <c r="I901">
        <f>Inventory_Data[[#This Row],[Opening_Stock]]+Inventory_Data[[#This Row],[Units_Received]]-Inventory_Data[[#This Row],[Units_Sold]]</f>
        <v>54</v>
      </c>
      <c r="J901">
        <v>0</v>
      </c>
      <c r="K901">
        <v>11</v>
      </c>
      <c r="L901" t="s">
        <v>83</v>
      </c>
      <c r="M901" s="3">
        <v>39.97</v>
      </c>
      <c r="N901" s="3">
        <v>60.85</v>
      </c>
      <c r="O901" s="10" t="str">
        <f>TEXT(Inventory_Data[[#This Row],[Date]],"mmm")</f>
        <v>Jun</v>
      </c>
    </row>
    <row r="902" spans="1:15" x14ac:dyDescent="0.2">
      <c r="A902" s="21">
        <v>45821</v>
      </c>
      <c r="B902" s="5" t="s">
        <v>158</v>
      </c>
      <c r="C902" t="s">
        <v>159</v>
      </c>
      <c r="D902" t="s">
        <v>52</v>
      </c>
      <c r="E902" t="s">
        <v>17</v>
      </c>
      <c r="F902">
        <v>62</v>
      </c>
      <c r="G902">
        <v>8</v>
      </c>
      <c r="H902">
        <v>12</v>
      </c>
      <c r="I902">
        <f>Inventory_Data[[#This Row],[Opening_Stock]]+Inventory_Data[[#This Row],[Units_Received]]-Inventory_Data[[#This Row],[Units_Sold]]</f>
        <v>58</v>
      </c>
      <c r="J902">
        <v>0</v>
      </c>
      <c r="K902">
        <v>3</v>
      </c>
      <c r="L902" t="s">
        <v>53</v>
      </c>
      <c r="M902" s="3">
        <v>147.54</v>
      </c>
      <c r="N902" s="3">
        <v>192.88</v>
      </c>
      <c r="O902" s="10" t="str">
        <f>TEXT(Inventory_Data[[#This Row],[Date]],"mmm")</f>
        <v>Jun</v>
      </c>
    </row>
    <row r="903" spans="1:15" x14ac:dyDescent="0.2">
      <c r="A903" s="21">
        <v>45821</v>
      </c>
      <c r="B903" s="5" t="s">
        <v>43</v>
      </c>
      <c r="C903" t="s">
        <v>44</v>
      </c>
      <c r="D903" t="s">
        <v>34</v>
      </c>
      <c r="E903" t="s">
        <v>28</v>
      </c>
      <c r="F903">
        <v>145</v>
      </c>
      <c r="G903">
        <v>47</v>
      </c>
      <c r="H903">
        <v>95</v>
      </c>
      <c r="I903">
        <f>Inventory_Data[[#This Row],[Opening_Stock]]+Inventory_Data[[#This Row],[Units_Received]]-Inventory_Data[[#This Row],[Units_Sold]]</f>
        <v>97</v>
      </c>
      <c r="J903">
        <v>0</v>
      </c>
      <c r="K903">
        <v>3</v>
      </c>
      <c r="L903" t="s">
        <v>42</v>
      </c>
      <c r="M903" s="3">
        <v>20.64</v>
      </c>
      <c r="N903" s="3">
        <v>23.94</v>
      </c>
      <c r="O903" s="10" t="str">
        <f>TEXT(Inventory_Data[[#This Row],[Date]],"mmm")</f>
        <v>Jun</v>
      </c>
    </row>
    <row r="904" spans="1:15" x14ac:dyDescent="0.2">
      <c r="A904" s="21">
        <v>45822</v>
      </c>
      <c r="B904" s="5" t="s">
        <v>170</v>
      </c>
      <c r="C904" t="s">
        <v>171</v>
      </c>
      <c r="D904" t="s">
        <v>48</v>
      </c>
      <c r="E904" t="s">
        <v>35</v>
      </c>
      <c r="F904">
        <v>183</v>
      </c>
      <c r="G904">
        <v>131</v>
      </c>
      <c r="H904">
        <v>54</v>
      </c>
      <c r="I904">
        <f>Inventory_Data[[#This Row],[Opening_Stock]]+Inventory_Data[[#This Row],[Units_Received]]-Inventory_Data[[#This Row],[Units_Sold]]</f>
        <v>260</v>
      </c>
      <c r="J904">
        <v>0</v>
      </c>
      <c r="K904">
        <v>14</v>
      </c>
      <c r="L904" t="s">
        <v>63</v>
      </c>
      <c r="M904" s="3">
        <v>31.1</v>
      </c>
      <c r="N904" s="3">
        <v>43.28</v>
      </c>
      <c r="O904" s="10" t="str">
        <f>TEXT(Inventory_Data[[#This Row],[Date]],"mmm")</f>
        <v>Jun</v>
      </c>
    </row>
    <row r="905" spans="1:15" x14ac:dyDescent="0.2">
      <c r="A905" s="21">
        <v>45822</v>
      </c>
      <c r="B905" s="5" t="s">
        <v>144</v>
      </c>
      <c r="C905" t="s">
        <v>145</v>
      </c>
      <c r="D905" t="s">
        <v>48</v>
      </c>
      <c r="E905" t="s">
        <v>21</v>
      </c>
      <c r="F905">
        <v>132</v>
      </c>
      <c r="G905">
        <v>72</v>
      </c>
      <c r="H905">
        <v>95</v>
      </c>
      <c r="I905">
        <f>Inventory_Data[[#This Row],[Opening_Stock]]+Inventory_Data[[#This Row],[Units_Received]]-Inventory_Data[[#This Row],[Units_Sold]]</f>
        <v>109</v>
      </c>
      <c r="J905">
        <v>0</v>
      </c>
      <c r="K905">
        <v>14</v>
      </c>
      <c r="L905" t="s">
        <v>77</v>
      </c>
      <c r="M905" s="3">
        <v>23.07</v>
      </c>
      <c r="N905" s="3">
        <v>31.85</v>
      </c>
      <c r="O905" s="10" t="str">
        <f>TEXT(Inventory_Data[[#This Row],[Date]],"mmm")</f>
        <v>Jun</v>
      </c>
    </row>
    <row r="906" spans="1:15" x14ac:dyDescent="0.2">
      <c r="A906" s="21">
        <v>45822</v>
      </c>
      <c r="B906" s="5" t="s">
        <v>122</v>
      </c>
      <c r="C906" t="s">
        <v>123</v>
      </c>
      <c r="D906" t="s">
        <v>27</v>
      </c>
      <c r="E906" t="s">
        <v>35</v>
      </c>
      <c r="F906">
        <v>259</v>
      </c>
      <c r="G906">
        <v>165</v>
      </c>
      <c r="H906">
        <v>196</v>
      </c>
      <c r="I906">
        <f>Inventory_Data[[#This Row],[Opening_Stock]]+Inventory_Data[[#This Row],[Units_Received]]-Inventory_Data[[#This Row],[Units_Sold]]</f>
        <v>228</v>
      </c>
      <c r="J906">
        <v>0</v>
      </c>
      <c r="K906">
        <v>5</v>
      </c>
      <c r="L906" t="s">
        <v>80</v>
      </c>
      <c r="M906" s="3">
        <v>17.920000000000002</v>
      </c>
      <c r="N906" s="3">
        <v>21.61</v>
      </c>
      <c r="O906" s="10" t="str">
        <f>TEXT(Inventory_Data[[#This Row],[Date]],"mmm")</f>
        <v>Jun</v>
      </c>
    </row>
    <row r="907" spans="1:15" x14ac:dyDescent="0.2">
      <c r="A907" s="21">
        <v>45822</v>
      </c>
      <c r="B907" s="5" t="s">
        <v>156</v>
      </c>
      <c r="C907" t="s">
        <v>157</v>
      </c>
      <c r="D907" t="s">
        <v>27</v>
      </c>
      <c r="E907" t="s">
        <v>35</v>
      </c>
      <c r="F907">
        <v>381</v>
      </c>
      <c r="G907">
        <v>93</v>
      </c>
      <c r="H907">
        <v>93</v>
      </c>
      <c r="I907">
        <f>Inventory_Data[[#This Row],[Opening_Stock]]+Inventory_Data[[#This Row],[Units_Received]]-Inventory_Data[[#This Row],[Units_Sold]]</f>
        <v>381</v>
      </c>
      <c r="J907">
        <v>0</v>
      </c>
      <c r="K907">
        <v>7</v>
      </c>
      <c r="L907" t="s">
        <v>80</v>
      </c>
      <c r="M907" s="3">
        <v>23.95</v>
      </c>
      <c r="N907" s="3">
        <v>29.68</v>
      </c>
      <c r="O907" s="10" t="str">
        <f>TEXT(Inventory_Data[[#This Row],[Date]],"mmm")</f>
        <v>Jun</v>
      </c>
    </row>
    <row r="908" spans="1:15" x14ac:dyDescent="0.2">
      <c r="A908" s="21">
        <v>45822</v>
      </c>
      <c r="B908" s="5" t="s">
        <v>116</v>
      </c>
      <c r="C908" t="s">
        <v>117</v>
      </c>
      <c r="D908" t="s">
        <v>52</v>
      </c>
      <c r="E908" t="s">
        <v>17</v>
      </c>
      <c r="F908">
        <v>30</v>
      </c>
      <c r="G908">
        <v>20</v>
      </c>
      <c r="H908">
        <v>7</v>
      </c>
      <c r="I908">
        <f>Inventory_Data[[#This Row],[Opening_Stock]]+Inventory_Data[[#This Row],[Units_Received]]-Inventory_Data[[#This Row],[Units_Sold]]</f>
        <v>43</v>
      </c>
      <c r="J908">
        <v>0</v>
      </c>
      <c r="K908">
        <v>8</v>
      </c>
      <c r="L908" t="s">
        <v>53</v>
      </c>
      <c r="M908" s="3">
        <v>309.12</v>
      </c>
      <c r="N908" s="3">
        <v>416.51</v>
      </c>
      <c r="O908" s="10" t="str">
        <f>TEXT(Inventory_Data[[#This Row],[Date]],"mmm")</f>
        <v>Jun</v>
      </c>
    </row>
    <row r="909" spans="1:15" x14ac:dyDescent="0.2">
      <c r="A909" s="21">
        <v>45822</v>
      </c>
      <c r="B909" s="5" t="s">
        <v>57</v>
      </c>
      <c r="C909" t="s">
        <v>58</v>
      </c>
      <c r="D909" t="s">
        <v>52</v>
      </c>
      <c r="E909" t="s">
        <v>28</v>
      </c>
      <c r="F909">
        <v>44</v>
      </c>
      <c r="G909">
        <v>20</v>
      </c>
      <c r="H909">
        <v>18</v>
      </c>
      <c r="I909">
        <f>Inventory_Data[[#This Row],[Opening_Stock]]+Inventory_Data[[#This Row],[Units_Received]]-Inventory_Data[[#This Row],[Units_Sold]]</f>
        <v>46</v>
      </c>
      <c r="J909">
        <v>0</v>
      </c>
      <c r="K909">
        <v>14</v>
      </c>
      <c r="L909" t="s">
        <v>83</v>
      </c>
      <c r="M909" s="3">
        <v>210.54</v>
      </c>
      <c r="N909" s="3">
        <v>270.12</v>
      </c>
      <c r="O909" s="10" t="str">
        <f>TEXT(Inventory_Data[[#This Row],[Date]],"mmm")</f>
        <v>Jun</v>
      </c>
    </row>
    <row r="910" spans="1:15" x14ac:dyDescent="0.2">
      <c r="A910" s="21">
        <v>45822</v>
      </c>
      <c r="B910" s="5" t="s">
        <v>57</v>
      </c>
      <c r="C910" t="s">
        <v>58</v>
      </c>
      <c r="D910" t="s">
        <v>52</v>
      </c>
      <c r="E910" t="s">
        <v>21</v>
      </c>
      <c r="F910">
        <v>19</v>
      </c>
      <c r="G910">
        <v>16</v>
      </c>
      <c r="H910">
        <v>10</v>
      </c>
      <c r="I910">
        <f>Inventory_Data[[#This Row],[Opening_Stock]]+Inventory_Data[[#This Row],[Units_Received]]-Inventory_Data[[#This Row],[Units_Sold]]</f>
        <v>25</v>
      </c>
      <c r="J910">
        <v>0</v>
      </c>
      <c r="K910">
        <v>14</v>
      </c>
      <c r="L910" t="s">
        <v>83</v>
      </c>
      <c r="M910" s="3">
        <v>334.22</v>
      </c>
      <c r="N910" s="3">
        <v>432.68</v>
      </c>
      <c r="O910" s="10" t="str">
        <f>TEXT(Inventory_Data[[#This Row],[Date]],"mmm")</f>
        <v>Jun</v>
      </c>
    </row>
    <row r="911" spans="1:15" x14ac:dyDescent="0.2">
      <c r="A911" s="21">
        <v>45823</v>
      </c>
      <c r="B911" s="5" t="s">
        <v>190</v>
      </c>
      <c r="C911" t="s">
        <v>191</v>
      </c>
      <c r="D911" t="s">
        <v>48</v>
      </c>
      <c r="E911" t="s">
        <v>21</v>
      </c>
      <c r="F911">
        <v>141</v>
      </c>
      <c r="G911">
        <v>120</v>
      </c>
      <c r="H911">
        <v>82</v>
      </c>
      <c r="I911">
        <f>Inventory_Data[[#This Row],[Opening_Stock]]+Inventory_Data[[#This Row],[Units_Received]]-Inventory_Data[[#This Row],[Units_Sold]]</f>
        <v>179</v>
      </c>
      <c r="J911">
        <v>0</v>
      </c>
      <c r="K911">
        <v>9</v>
      </c>
      <c r="L911" t="s">
        <v>49</v>
      </c>
      <c r="M911" s="3">
        <v>82.74</v>
      </c>
      <c r="N911" s="3">
        <v>100.5</v>
      </c>
      <c r="O911" s="10" t="str">
        <f>TEXT(Inventory_Data[[#This Row],[Date]],"mmm")</f>
        <v>Jun</v>
      </c>
    </row>
    <row r="912" spans="1:15" x14ac:dyDescent="0.2">
      <c r="A912" s="21">
        <v>45823</v>
      </c>
      <c r="B912" s="5" t="s">
        <v>134</v>
      </c>
      <c r="C912" t="s">
        <v>135</v>
      </c>
      <c r="D912" t="s">
        <v>27</v>
      </c>
      <c r="E912" t="s">
        <v>35</v>
      </c>
      <c r="F912">
        <v>419</v>
      </c>
      <c r="G912">
        <v>200</v>
      </c>
      <c r="H912">
        <v>48</v>
      </c>
      <c r="I912">
        <f>Inventory_Data[[#This Row],[Opening_Stock]]+Inventory_Data[[#This Row],[Units_Received]]-Inventory_Data[[#This Row],[Units_Sold]]</f>
        <v>571</v>
      </c>
      <c r="J912">
        <v>0</v>
      </c>
      <c r="K912">
        <v>2</v>
      </c>
      <c r="L912" t="s">
        <v>29</v>
      </c>
      <c r="M912" s="3">
        <v>8.7100000000000009</v>
      </c>
      <c r="N912" s="3">
        <v>11</v>
      </c>
      <c r="O912" s="10" t="str">
        <f>TEXT(Inventory_Data[[#This Row],[Date]],"mmm")</f>
        <v>Jun</v>
      </c>
    </row>
    <row r="913" spans="1:15" x14ac:dyDescent="0.2">
      <c r="A913" s="21">
        <v>45823</v>
      </c>
      <c r="B913" s="5" t="s">
        <v>140</v>
      </c>
      <c r="C913" t="s">
        <v>141</v>
      </c>
      <c r="D913" t="s">
        <v>52</v>
      </c>
      <c r="E913" t="s">
        <v>21</v>
      </c>
      <c r="F913">
        <v>31</v>
      </c>
      <c r="G913">
        <v>7</v>
      </c>
      <c r="H913">
        <v>7</v>
      </c>
      <c r="I913">
        <f>Inventory_Data[[#This Row],[Opening_Stock]]+Inventory_Data[[#This Row],[Units_Received]]-Inventory_Data[[#This Row],[Units_Sold]]</f>
        <v>31</v>
      </c>
      <c r="J913">
        <v>0</v>
      </c>
      <c r="K913">
        <v>12</v>
      </c>
      <c r="L913" t="s">
        <v>83</v>
      </c>
      <c r="M913" s="3">
        <v>291.7</v>
      </c>
      <c r="N913" s="3">
        <v>350.38</v>
      </c>
      <c r="O913" s="10" t="str">
        <f>TEXT(Inventory_Data[[#This Row],[Date]],"mmm")</f>
        <v>Jun</v>
      </c>
    </row>
    <row r="914" spans="1:15" x14ac:dyDescent="0.2">
      <c r="A914" s="21">
        <v>45823</v>
      </c>
      <c r="B914" s="5" t="s">
        <v>150</v>
      </c>
      <c r="C914" t="s">
        <v>151</v>
      </c>
      <c r="D914" t="s">
        <v>52</v>
      </c>
      <c r="E914" t="s">
        <v>35</v>
      </c>
      <c r="F914">
        <v>34</v>
      </c>
      <c r="G914">
        <v>6</v>
      </c>
      <c r="H914">
        <v>12</v>
      </c>
      <c r="I914">
        <f>Inventory_Data[[#This Row],[Opening_Stock]]+Inventory_Data[[#This Row],[Units_Received]]-Inventory_Data[[#This Row],[Units_Sold]]</f>
        <v>28</v>
      </c>
      <c r="J914">
        <v>0</v>
      </c>
      <c r="K914">
        <v>5</v>
      </c>
      <c r="L914" t="s">
        <v>56</v>
      </c>
      <c r="M914" s="3">
        <v>221.05</v>
      </c>
      <c r="N914" s="3">
        <v>274.3</v>
      </c>
      <c r="O914" s="10" t="str">
        <f>TEXT(Inventory_Data[[#This Row],[Date]],"mmm")</f>
        <v>Jun</v>
      </c>
    </row>
    <row r="915" spans="1:15" x14ac:dyDescent="0.2">
      <c r="A915" s="21">
        <v>45823</v>
      </c>
      <c r="B915" s="5" t="s">
        <v>196</v>
      </c>
      <c r="C915" t="s">
        <v>197</v>
      </c>
      <c r="D915" t="s">
        <v>34</v>
      </c>
      <c r="E915" t="s">
        <v>17</v>
      </c>
      <c r="F915">
        <v>113</v>
      </c>
      <c r="G915">
        <v>190</v>
      </c>
      <c r="H915">
        <v>47</v>
      </c>
      <c r="I915">
        <f>Inventory_Data[[#This Row],[Opening_Stock]]+Inventory_Data[[#This Row],[Units_Received]]-Inventory_Data[[#This Row],[Units_Sold]]</f>
        <v>256</v>
      </c>
      <c r="J915">
        <v>0</v>
      </c>
      <c r="K915">
        <v>9</v>
      </c>
      <c r="L915" t="s">
        <v>36</v>
      </c>
      <c r="M915" s="3">
        <v>25.27</v>
      </c>
      <c r="N915" s="3">
        <v>39.119999999999997</v>
      </c>
      <c r="O915" s="10" t="str">
        <f>TEXT(Inventory_Data[[#This Row],[Date]],"mmm")</f>
        <v>Jun</v>
      </c>
    </row>
    <row r="916" spans="1:15" x14ac:dyDescent="0.2">
      <c r="A916" s="21">
        <v>45824</v>
      </c>
      <c r="B916" s="5" t="s">
        <v>116</v>
      </c>
      <c r="C916" t="s">
        <v>117</v>
      </c>
      <c r="D916" t="s">
        <v>52</v>
      </c>
      <c r="E916" t="s">
        <v>35</v>
      </c>
      <c r="F916">
        <v>39</v>
      </c>
      <c r="G916">
        <v>24</v>
      </c>
      <c r="H916">
        <v>16</v>
      </c>
      <c r="I916">
        <f>Inventory_Data[[#This Row],[Opening_Stock]]+Inventory_Data[[#This Row],[Units_Received]]-Inventory_Data[[#This Row],[Units_Sold]]</f>
        <v>47</v>
      </c>
      <c r="J916">
        <v>0</v>
      </c>
      <c r="K916">
        <v>13</v>
      </c>
      <c r="L916" t="s">
        <v>56</v>
      </c>
      <c r="M916" s="3">
        <v>137.96</v>
      </c>
      <c r="N916" s="3">
        <v>195.35</v>
      </c>
      <c r="O916" s="10" t="str">
        <f>TEXT(Inventory_Data[[#This Row],[Date]],"mmm")</f>
        <v>Jun</v>
      </c>
    </row>
    <row r="917" spans="1:15" x14ac:dyDescent="0.2">
      <c r="A917" s="21">
        <v>45824</v>
      </c>
      <c r="B917" s="5" t="s">
        <v>54</v>
      </c>
      <c r="C917" t="s">
        <v>55</v>
      </c>
      <c r="D917" t="s">
        <v>52</v>
      </c>
      <c r="E917" t="s">
        <v>17</v>
      </c>
      <c r="F917">
        <v>19</v>
      </c>
      <c r="G917">
        <v>21</v>
      </c>
      <c r="H917">
        <v>18</v>
      </c>
      <c r="I917">
        <f>Inventory_Data[[#This Row],[Opening_Stock]]+Inventory_Data[[#This Row],[Units_Received]]-Inventory_Data[[#This Row],[Units_Sold]]</f>
        <v>22</v>
      </c>
      <c r="J917">
        <v>0</v>
      </c>
      <c r="K917">
        <v>13</v>
      </c>
      <c r="L917" t="s">
        <v>83</v>
      </c>
      <c r="M917" s="3">
        <v>29.75</v>
      </c>
      <c r="N917" s="3">
        <v>38.5</v>
      </c>
      <c r="O917" s="10" t="str">
        <f>TEXT(Inventory_Data[[#This Row],[Date]],"mmm")</f>
        <v>Jun</v>
      </c>
    </row>
    <row r="918" spans="1:15" x14ac:dyDescent="0.2">
      <c r="A918" s="21">
        <v>45825</v>
      </c>
      <c r="B918" s="5" t="s">
        <v>166</v>
      </c>
      <c r="C918" t="s">
        <v>167</v>
      </c>
      <c r="D918" t="s">
        <v>16</v>
      </c>
      <c r="E918" t="s">
        <v>17</v>
      </c>
      <c r="F918">
        <v>41</v>
      </c>
      <c r="G918">
        <v>81</v>
      </c>
      <c r="H918">
        <v>52</v>
      </c>
      <c r="I918">
        <f>Inventory_Data[[#This Row],[Opening_Stock]]+Inventory_Data[[#This Row],[Units_Received]]-Inventory_Data[[#This Row],[Units_Sold]]</f>
        <v>70</v>
      </c>
      <c r="J918">
        <v>0</v>
      </c>
      <c r="K918">
        <v>2</v>
      </c>
      <c r="L918" t="s">
        <v>18</v>
      </c>
      <c r="M918" s="3">
        <v>57.43</v>
      </c>
      <c r="N918" s="3">
        <v>87.14</v>
      </c>
      <c r="O918" s="10" t="str">
        <f>TEXT(Inventory_Data[[#This Row],[Date]],"mmm")</f>
        <v>Jun</v>
      </c>
    </row>
    <row r="919" spans="1:15" x14ac:dyDescent="0.2">
      <c r="A919" s="21">
        <v>45825</v>
      </c>
      <c r="B919" s="5" t="s">
        <v>19</v>
      </c>
      <c r="C919" t="s">
        <v>20</v>
      </c>
      <c r="D919" t="s">
        <v>16</v>
      </c>
      <c r="E919" t="s">
        <v>17</v>
      </c>
      <c r="F919">
        <v>175</v>
      </c>
      <c r="G919">
        <v>34</v>
      </c>
      <c r="H919">
        <v>78</v>
      </c>
      <c r="I919">
        <f>Inventory_Data[[#This Row],[Opening_Stock]]+Inventory_Data[[#This Row],[Units_Received]]-Inventory_Data[[#This Row],[Units_Sold]]</f>
        <v>131</v>
      </c>
      <c r="J919">
        <v>0</v>
      </c>
      <c r="K919">
        <v>11</v>
      </c>
      <c r="L919" t="s">
        <v>24</v>
      </c>
      <c r="M919" s="3">
        <v>32.25</v>
      </c>
      <c r="N919" s="3">
        <v>42.16</v>
      </c>
      <c r="O919" s="10" t="str">
        <f>TEXT(Inventory_Data[[#This Row],[Date]],"mmm")</f>
        <v>Jun</v>
      </c>
    </row>
    <row r="920" spans="1:15" x14ac:dyDescent="0.2">
      <c r="A920" s="21">
        <v>45825</v>
      </c>
      <c r="B920" s="5" t="s">
        <v>19</v>
      </c>
      <c r="C920" t="s">
        <v>20</v>
      </c>
      <c r="D920" t="s">
        <v>16</v>
      </c>
      <c r="E920" t="s">
        <v>21</v>
      </c>
      <c r="F920">
        <v>24</v>
      </c>
      <c r="G920">
        <v>71</v>
      </c>
      <c r="H920">
        <v>73</v>
      </c>
      <c r="I920">
        <f>Inventory_Data[[#This Row],[Opening_Stock]]+Inventory_Data[[#This Row],[Units_Received]]-Inventory_Data[[#This Row],[Units_Sold]]</f>
        <v>22</v>
      </c>
      <c r="J920">
        <v>0</v>
      </c>
      <c r="K920">
        <v>5</v>
      </c>
      <c r="L920" t="s">
        <v>18</v>
      </c>
      <c r="M920" s="3">
        <v>154.69999999999999</v>
      </c>
      <c r="N920" s="3">
        <v>181.84</v>
      </c>
      <c r="O920" s="10" t="str">
        <f>TEXT(Inventory_Data[[#This Row],[Date]],"mmm")</f>
        <v>Jun</v>
      </c>
    </row>
    <row r="921" spans="1:15" x14ac:dyDescent="0.2">
      <c r="A921" s="21">
        <v>45825</v>
      </c>
      <c r="B921" s="5" t="s">
        <v>128</v>
      </c>
      <c r="C921" t="s">
        <v>129</v>
      </c>
      <c r="D921" t="s">
        <v>48</v>
      </c>
      <c r="E921" t="s">
        <v>35</v>
      </c>
      <c r="F921">
        <v>107</v>
      </c>
      <c r="G921">
        <v>65</v>
      </c>
      <c r="H921">
        <v>76</v>
      </c>
      <c r="I921">
        <f>Inventory_Data[[#This Row],[Opening_Stock]]+Inventory_Data[[#This Row],[Units_Received]]-Inventory_Data[[#This Row],[Units_Sold]]</f>
        <v>96</v>
      </c>
      <c r="J921">
        <v>0</v>
      </c>
      <c r="K921">
        <v>11</v>
      </c>
      <c r="L921" t="s">
        <v>49</v>
      </c>
      <c r="M921" s="3">
        <v>57.15</v>
      </c>
      <c r="N921" s="3">
        <v>82.38</v>
      </c>
      <c r="O921" s="10" t="str">
        <f>TEXT(Inventory_Data[[#This Row],[Date]],"mmm")</f>
        <v>Jun</v>
      </c>
    </row>
    <row r="922" spans="1:15" x14ac:dyDescent="0.2">
      <c r="A922" s="21">
        <v>45825</v>
      </c>
      <c r="B922" s="5" t="s">
        <v>140</v>
      </c>
      <c r="C922" t="s">
        <v>141</v>
      </c>
      <c r="D922" t="s">
        <v>52</v>
      </c>
      <c r="E922" t="s">
        <v>28</v>
      </c>
      <c r="F922">
        <v>80</v>
      </c>
      <c r="G922">
        <v>7</v>
      </c>
      <c r="H922">
        <v>3</v>
      </c>
      <c r="I922">
        <f>Inventory_Data[[#This Row],[Opening_Stock]]+Inventory_Data[[#This Row],[Units_Received]]-Inventory_Data[[#This Row],[Units_Sold]]</f>
        <v>84</v>
      </c>
      <c r="J922">
        <v>0</v>
      </c>
      <c r="K922">
        <v>14</v>
      </c>
      <c r="L922" t="s">
        <v>56</v>
      </c>
      <c r="M922" s="3">
        <v>111.49</v>
      </c>
      <c r="N922" s="3">
        <v>165.37</v>
      </c>
      <c r="O922" s="10" t="str">
        <f>TEXT(Inventory_Data[[#This Row],[Date]],"mmm")</f>
        <v>Jun</v>
      </c>
    </row>
    <row r="923" spans="1:15" x14ac:dyDescent="0.2">
      <c r="A923" s="21">
        <v>45826</v>
      </c>
      <c r="B923" s="5" t="s">
        <v>120</v>
      </c>
      <c r="C923" t="s">
        <v>121</v>
      </c>
      <c r="D923" t="s">
        <v>16</v>
      </c>
      <c r="E923" t="s">
        <v>28</v>
      </c>
      <c r="F923">
        <v>101</v>
      </c>
      <c r="G923">
        <v>63</v>
      </c>
      <c r="H923">
        <v>16</v>
      </c>
      <c r="I923">
        <f>Inventory_Data[[#This Row],[Opening_Stock]]+Inventory_Data[[#This Row],[Units_Received]]-Inventory_Data[[#This Row],[Units_Sold]]</f>
        <v>148</v>
      </c>
      <c r="J923">
        <v>0</v>
      </c>
      <c r="K923">
        <v>2</v>
      </c>
      <c r="L923" t="s">
        <v>18</v>
      </c>
      <c r="M923" s="3">
        <v>92.48</v>
      </c>
      <c r="N923" s="3">
        <v>123.5</v>
      </c>
      <c r="O923" s="10" t="str">
        <f>TEXT(Inventory_Data[[#This Row],[Date]],"mmm")</f>
        <v>Jun</v>
      </c>
    </row>
    <row r="924" spans="1:15" x14ac:dyDescent="0.2">
      <c r="A924" s="21">
        <v>45826</v>
      </c>
      <c r="B924" s="5" t="s">
        <v>156</v>
      </c>
      <c r="C924" t="s">
        <v>157</v>
      </c>
      <c r="D924" t="s">
        <v>27</v>
      </c>
      <c r="E924" t="s">
        <v>35</v>
      </c>
      <c r="F924">
        <v>483</v>
      </c>
      <c r="G924">
        <v>155</v>
      </c>
      <c r="H924">
        <v>106</v>
      </c>
      <c r="I924">
        <f>Inventory_Data[[#This Row],[Opening_Stock]]+Inventory_Data[[#This Row],[Units_Received]]-Inventory_Data[[#This Row],[Units_Sold]]</f>
        <v>532</v>
      </c>
      <c r="J924">
        <v>0</v>
      </c>
      <c r="K924">
        <v>2</v>
      </c>
      <c r="L924" t="s">
        <v>29</v>
      </c>
      <c r="M924" s="3">
        <v>21.32</v>
      </c>
      <c r="N924" s="3">
        <v>30.93</v>
      </c>
      <c r="O924" s="10" t="str">
        <f>TEXT(Inventory_Data[[#This Row],[Date]],"mmm")</f>
        <v>Jun</v>
      </c>
    </row>
    <row r="925" spans="1:15" x14ac:dyDescent="0.2">
      <c r="A925" s="21">
        <v>45827</v>
      </c>
      <c r="B925" s="5" t="s">
        <v>71</v>
      </c>
      <c r="C925" t="s">
        <v>72</v>
      </c>
      <c r="D925" t="s">
        <v>16</v>
      </c>
      <c r="E925" t="s">
        <v>17</v>
      </c>
      <c r="F925">
        <v>160</v>
      </c>
      <c r="G925">
        <v>55</v>
      </c>
      <c r="H925">
        <v>37</v>
      </c>
      <c r="I925">
        <f>Inventory_Data[[#This Row],[Opening_Stock]]+Inventory_Data[[#This Row],[Units_Received]]-Inventory_Data[[#This Row],[Units_Sold]]</f>
        <v>178</v>
      </c>
      <c r="J925">
        <v>0</v>
      </c>
      <c r="K925">
        <v>6</v>
      </c>
      <c r="L925" t="s">
        <v>18</v>
      </c>
      <c r="M925" s="3">
        <v>106.19</v>
      </c>
      <c r="N925" s="3">
        <v>150.51</v>
      </c>
      <c r="O925" s="10" t="str">
        <f>TEXT(Inventory_Data[[#This Row],[Date]],"mmm")</f>
        <v>Jun</v>
      </c>
    </row>
    <row r="926" spans="1:15" x14ac:dyDescent="0.2">
      <c r="A926" s="21">
        <v>45827</v>
      </c>
      <c r="B926" s="5" t="s">
        <v>19</v>
      </c>
      <c r="C926" t="s">
        <v>20</v>
      </c>
      <c r="D926" t="s">
        <v>16</v>
      </c>
      <c r="E926" t="s">
        <v>35</v>
      </c>
      <c r="F926">
        <v>40</v>
      </c>
      <c r="G926">
        <v>66</v>
      </c>
      <c r="H926">
        <v>57</v>
      </c>
      <c r="I926">
        <f>Inventory_Data[[#This Row],[Opening_Stock]]+Inventory_Data[[#This Row],[Units_Received]]-Inventory_Data[[#This Row],[Units_Sold]]</f>
        <v>49</v>
      </c>
      <c r="J926">
        <v>0</v>
      </c>
      <c r="K926">
        <v>5</v>
      </c>
      <c r="L926" t="s">
        <v>45</v>
      </c>
      <c r="M926" s="3">
        <v>207.35</v>
      </c>
      <c r="N926" s="3">
        <v>310.70999999999998</v>
      </c>
      <c r="O926" s="10" t="str">
        <f>TEXT(Inventory_Data[[#This Row],[Date]],"mmm")</f>
        <v>Jun</v>
      </c>
    </row>
    <row r="927" spans="1:15" x14ac:dyDescent="0.2">
      <c r="A927" s="21">
        <v>45827</v>
      </c>
      <c r="B927" s="5" t="s">
        <v>170</v>
      </c>
      <c r="C927" t="s">
        <v>171</v>
      </c>
      <c r="D927" t="s">
        <v>48</v>
      </c>
      <c r="E927" t="s">
        <v>21</v>
      </c>
      <c r="F927">
        <v>186</v>
      </c>
      <c r="G927">
        <v>137</v>
      </c>
      <c r="H927">
        <v>135</v>
      </c>
      <c r="I927">
        <f>Inventory_Data[[#This Row],[Opening_Stock]]+Inventory_Data[[#This Row],[Units_Received]]-Inventory_Data[[#This Row],[Units_Sold]]</f>
        <v>188</v>
      </c>
      <c r="J927">
        <v>0</v>
      </c>
      <c r="K927">
        <v>13</v>
      </c>
      <c r="L927" t="s">
        <v>49</v>
      </c>
      <c r="M927" s="3">
        <v>54.9</v>
      </c>
      <c r="N927" s="3">
        <v>84.79</v>
      </c>
      <c r="O927" s="10" t="str">
        <f>TEXT(Inventory_Data[[#This Row],[Date]],"mmm")</f>
        <v>Jun</v>
      </c>
    </row>
    <row r="928" spans="1:15" x14ac:dyDescent="0.2">
      <c r="A928" s="21">
        <v>45827</v>
      </c>
      <c r="B928" s="5" t="s">
        <v>164</v>
      </c>
      <c r="C928" t="s">
        <v>165</v>
      </c>
      <c r="D928" t="s">
        <v>48</v>
      </c>
      <c r="E928" t="s">
        <v>28</v>
      </c>
      <c r="F928">
        <v>261</v>
      </c>
      <c r="G928">
        <v>71</v>
      </c>
      <c r="H928">
        <v>125</v>
      </c>
      <c r="I928">
        <f>Inventory_Data[[#This Row],[Opening_Stock]]+Inventory_Data[[#This Row],[Units_Received]]-Inventory_Data[[#This Row],[Units_Sold]]</f>
        <v>207</v>
      </c>
      <c r="J928">
        <v>0</v>
      </c>
      <c r="K928">
        <v>11</v>
      </c>
      <c r="L928" t="s">
        <v>49</v>
      </c>
      <c r="M928" s="3">
        <v>21.41</v>
      </c>
      <c r="N928" s="3">
        <v>28.35</v>
      </c>
      <c r="O928" s="10" t="str">
        <f>TEXT(Inventory_Data[[#This Row],[Date]],"mmm")</f>
        <v>Jun</v>
      </c>
    </row>
    <row r="929" spans="1:15" x14ac:dyDescent="0.2">
      <c r="A929" s="21">
        <v>45827</v>
      </c>
      <c r="B929" s="5" t="s">
        <v>64</v>
      </c>
      <c r="C929" t="s">
        <v>65</v>
      </c>
      <c r="D929" t="s">
        <v>27</v>
      </c>
      <c r="E929" t="s">
        <v>35</v>
      </c>
      <c r="F929">
        <v>333</v>
      </c>
      <c r="G929">
        <v>219</v>
      </c>
      <c r="H929">
        <v>176</v>
      </c>
      <c r="I929">
        <f>Inventory_Data[[#This Row],[Opening_Stock]]+Inventory_Data[[#This Row],[Units_Received]]-Inventory_Data[[#This Row],[Units_Sold]]</f>
        <v>376</v>
      </c>
      <c r="J929">
        <v>0</v>
      </c>
      <c r="K929">
        <v>3</v>
      </c>
      <c r="L929" t="s">
        <v>66</v>
      </c>
      <c r="M929" s="3">
        <v>7.19</v>
      </c>
      <c r="N929" s="3">
        <v>8.33</v>
      </c>
      <c r="O929" s="10" t="str">
        <f>TEXT(Inventory_Data[[#This Row],[Date]],"mmm")</f>
        <v>Jun</v>
      </c>
    </row>
    <row r="930" spans="1:15" x14ac:dyDescent="0.2">
      <c r="A930" s="21">
        <v>45827</v>
      </c>
      <c r="B930" s="5" t="s">
        <v>148</v>
      </c>
      <c r="C930" t="s">
        <v>149</v>
      </c>
      <c r="D930" t="s">
        <v>27</v>
      </c>
      <c r="E930" t="s">
        <v>17</v>
      </c>
      <c r="F930">
        <v>464</v>
      </c>
      <c r="G930">
        <v>64</v>
      </c>
      <c r="H930">
        <v>62</v>
      </c>
      <c r="I930">
        <f>Inventory_Data[[#This Row],[Opening_Stock]]+Inventory_Data[[#This Row],[Units_Received]]-Inventory_Data[[#This Row],[Units_Sold]]</f>
        <v>466</v>
      </c>
      <c r="J930">
        <v>0</v>
      </c>
      <c r="K930">
        <v>6</v>
      </c>
      <c r="L930" t="s">
        <v>80</v>
      </c>
      <c r="M930" s="3">
        <v>15.53</v>
      </c>
      <c r="N930" s="3">
        <v>19.18</v>
      </c>
      <c r="O930" s="10" t="str">
        <f>TEXT(Inventory_Data[[#This Row],[Date]],"mmm")</f>
        <v>Jun</v>
      </c>
    </row>
    <row r="931" spans="1:15" x14ac:dyDescent="0.2">
      <c r="A931" s="21">
        <v>45827</v>
      </c>
      <c r="B931" s="5" t="s">
        <v>174</v>
      </c>
      <c r="C931" t="s">
        <v>175</v>
      </c>
      <c r="D931" t="s">
        <v>52</v>
      </c>
      <c r="E931" t="s">
        <v>28</v>
      </c>
      <c r="F931">
        <v>24</v>
      </c>
      <c r="G931">
        <v>11</v>
      </c>
      <c r="H931">
        <v>10</v>
      </c>
      <c r="I931">
        <f>Inventory_Data[[#This Row],[Opening_Stock]]+Inventory_Data[[#This Row],[Units_Received]]-Inventory_Data[[#This Row],[Units_Sold]]</f>
        <v>25</v>
      </c>
      <c r="J931">
        <v>0</v>
      </c>
      <c r="K931">
        <v>9</v>
      </c>
      <c r="L931" t="s">
        <v>83</v>
      </c>
      <c r="M931" s="3">
        <v>275.23</v>
      </c>
      <c r="N931" s="3">
        <v>377.8</v>
      </c>
      <c r="O931" s="10" t="str">
        <f>TEXT(Inventory_Data[[#This Row],[Date]],"mmm")</f>
        <v>Jun</v>
      </c>
    </row>
    <row r="932" spans="1:15" x14ac:dyDescent="0.2">
      <c r="A932" s="21">
        <v>45827</v>
      </c>
      <c r="B932" s="5" t="s">
        <v>69</v>
      </c>
      <c r="C932" t="s">
        <v>70</v>
      </c>
      <c r="D932" t="s">
        <v>34</v>
      </c>
      <c r="E932" t="s">
        <v>21</v>
      </c>
      <c r="F932">
        <v>390</v>
      </c>
      <c r="G932">
        <v>211</v>
      </c>
      <c r="H932">
        <v>139</v>
      </c>
      <c r="I932">
        <f>Inventory_Data[[#This Row],[Opening_Stock]]+Inventory_Data[[#This Row],[Units_Received]]-Inventory_Data[[#This Row],[Units_Sold]]</f>
        <v>462</v>
      </c>
      <c r="J932">
        <v>0</v>
      </c>
      <c r="K932">
        <v>7</v>
      </c>
      <c r="L932" t="s">
        <v>36</v>
      </c>
      <c r="M932" s="3">
        <v>3.75</v>
      </c>
      <c r="N932" s="3">
        <v>5.81</v>
      </c>
      <c r="O932" s="10" t="str">
        <f>TEXT(Inventory_Data[[#This Row],[Date]],"mmm")</f>
        <v>Jun</v>
      </c>
    </row>
    <row r="933" spans="1:15" x14ac:dyDescent="0.2">
      <c r="A933" s="21">
        <v>45827</v>
      </c>
      <c r="B933" s="5" t="s">
        <v>194</v>
      </c>
      <c r="C933" t="s">
        <v>195</v>
      </c>
      <c r="D933" t="s">
        <v>34</v>
      </c>
      <c r="E933" t="s">
        <v>21</v>
      </c>
      <c r="F933">
        <v>153</v>
      </c>
      <c r="G933">
        <v>202</v>
      </c>
      <c r="H933">
        <v>27</v>
      </c>
      <c r="I933">
        <f>Inventory_Data[[#This Row],[Opening_Stock]]+Inventory_Data[[#This Row],[Units_Received]]-Inventory_Data[[#This Row],[Units_Sold]]</f>
        <v>328</v>
      </c>
      <c r="J933">
        <v>0</v>
      </c>
      <c r="K933">
        <v>6</v>
      </c>
      <c r="L933" t="s">
        <v>42</v>
      </c>
      <c r="M933" s="3">
        <v>3.81</v>
      </c>
      <c r="N933" s="3">
        <v>4.6500000000000004</v>
      </c>
      <c r="O933" s="10" t="str">
        <f>TEXT(Inventory_Data[[#This Row],[Date]],"mmm")</f>
        <v>Jun</v>
      </c>
    </row>
    <row r="934" spans="1:15" x14ac:dyDescent="0.2">
      <c r="A934" s="21">
        <v>45828</v>
      </c>
      <c r="B934" s="5" t="s">
        <v>130</v>
      </c>
      <c r="C934" t="s">
        <v>131</v>
      </c>
      <c r="D934" t="s">
        <v>48</v>
      </c>
      <c r="E934" t="s">
        <v>21</v>
      </c>
      <c r="F934">
        <v>239</v>
      </c>
      <c r="G934">
        <v>121</v>
      </c>
      <c r="H934">
        <v>38</v>
      </c>
      <c r="I934">
        <f>Inventory_Data[[#This Row],[Opening_Stock]]+Inventory_Data[[#This Row],[Units_Received]]-Inventory_Data[[#This Row],[Units_Sold]]</f>
        <v>322</v>
      </c>
      <c r="J934">
        <v>0</v>
      </c>
      <c r="K934">
        <v>8</v>
      </c>
      <c r="L934" t="s">
        <v>77</v>
      </c>
      <c r="M934" s="3">
        <v>44.09</v>
      </c>
      <c r="N934" s="3">
        <v>64.739999999999995</v>
      </c>
      <c r="O934" s="10" t="str">
        <f>TEXT(Inventory_Data[[#This Row],[Date]],"mmm")</f>
        <v>Jun</v>
      </c>
    </row>
    <row r="935" spans="1:15" x14ac:dyDescent="0.2">
      <c r="A935" s="21">
        <v>45828</v>
      </c>
      <c r="B935" s="5" t="s">
        <v>54</v>
      </c>
      <c r="C935" t="s">
        <v>55</v>
      </c>
      <c r="D935" t="s">
        <v>52</v>
      </c>
      <c r="E935" t="s">
        <v>17</v>
      </c>
      <c r="F935">
        <v>20</v>
      </c>
      <c r="G935">
        <v>10</v>
      </c>
      <c r="H935">
        <v>18</v>
      </c>
      <c r="I935">
        <f>Inventory_Data[[#This Row],[Opening_Stock]]+Inventory_Data[[#This Row],[Units_Received]]-Inventory_Data[[#This Row],[Units_Sold]]</f>
        <v>12</v>
      </c>
      <c r="J935">
        <v>0</v>
      </c>
      <c r="K935">
        <v>10</v>
      </c>
      <c r="L935" t="s">
        <v>56</v>
      </c>
      <c r="M935" s="3">
        <v>248.67</v>
      </c>
      <c r="N935" s="3">
        <v>364.05</v>
      </c>
      <c r="O935" s="10" t="str">
        <f>TEXT(Inventory_Data[[#This Row],[Date]],"mmm")</f>
        <v>Jun</v>
      </c>
    </row>
    <row r="936" spans="1:15" x14ac:dyDescent="0.2">
      <c r="A936" s="21">
        <v>45828</v>
      </c>
      <c r="B936" s="5" t="s">
        <v>174</v>
      </c>
      <c r="C936" t="s">
        <v>175</v>
      </c>
      <c r="D936" t="s">
        <v>52</v>
      </c>
      <c r="E936" t="s">
        <v>17</v>
      </c>
      <c r="F936">
        <v>22</v>
      </c>
      <c r="G936">
        <v>3</v>
      </c>
      <c r="H936">
        <v>4</v>
      </c>
      <c r="I936">
        <f>Inventory_Data[[#This Row],[Opening_Stock]]+Inventory_Data[[#This Row],[Units_Received]]-Inventory_Data[[#This Row],[Units_Sold]]</f>
        <v>21</v>
      </c>
      <c r="J936">
        <v>0</v>
      </c>
      <c r="K936">
        <v>13</v>
      </c>
      <c r="L936" t="s">
        <v>53</v>
      </c>
      <c r="M936" s="3">
        <v>311.63</v>
      </c>
      <c r="N936" s="3">
        <v>411.66</v>
      </c>
      <c r="O936" s="10" t="str">
        <f>TEXT(Inventory_Data[[#This Row],[Date]],"mmm")</f>
        <v>Jun</v>
      </c>
    </row>
    <row r="937" spans="1:15" x14ac:dyDescent="0.2">
      <c r="A937" s="21">
        <v>45828</v>
      </c>
      <c r="B937" s="5" t="s">
        <v>40</v>
      </c>
      <c r="C937" t="s">
        <v>41</v>
      </c>
      <c r="D937" t="s">
        <v>34</v>
      </c>
      <c r="E937" t="s">
        <v>17</v>
      </c>
      <c r="F937">
        <v>103</v>
      </c>
      <c r="G937">
        <v>194</v>
      </c>
      <c r="H937">
        <v>126</v>
      </c>
      <c r="I937">
        <f>Inventory_Data[[#This Row],[Opening_Stock]]+Inventory_Data[[#This Row],[Units_Received]]-Inventory_Data[[#This Row],[Units_Sold]]</f>
        <v>171</v>
      </c>
      <c r="J937">
        <v>0</v>
      </c>
      <c r="K937">
        <v>10</v>
      </c>
      <c r="L937" t="s">
        <v>36</v>
      </c>
      <c r="M937" s="3">
        <v>24.89</v>
      </c>
      <c r="N937" s="3">
        <v>35.42</v>
      </c>
      <c r="O937" s="10" t="str">
        <f>TEXT(Inventory_Data[[#This Row],[Date]],"mmm")</f>
        <v>Jun</v>
      </c>
    </row>
    <row r="938" spans="1:15" x14ac:dyDescent="0.2">
      <c r="A938" s="21">
        <v>45829</v>
      </c>
      <c r="B938" s="5" t="s">
        <v>154</v>
      </c>
      <c r="C938" t="s">
        <v>155</v>
      </c>
      <c r="D938" t="s">
        <v>48</v>
      </c>
      <c r="E938" t="s">
        <v>35</v>
      </c>
      <c r="F938">
        <v>47</v>
      </c>
      <c r="G938">
        <v>110</v>
      </c>
      <c r="H938">
        <v>96</v>
      </c>
      <c r="I938">
        <f>Inventory_Data[[#This Row],[Opening_Stock]]+Inventory_Data[[#This Row],[Units_Received]]-Inventory_Data[[#This Row],[Units_Sold]]</f>
        <v>61</v>
      </c>
      <c r="J938">
        <v>0</v>
      </c>
      <c r="K938">
        <v>14</v>
      </c>
      <c r="L938" t="s">
        <v>49</v>
      </c>
      <c r="M938" s="3">
        <v>76.03</v>
      </c>
      <c r="N938" s="3">
        <v>88.67</v>
      </c>
      <c r="O938" s="10" t="str">
        <f>TEXT(Inventory_Data[[#This Row],[Date]],"mmm")</f>
        <v>Jun</v>
      </c>
    </row>
    <row r="939" spans="1:15" x14ac:dyDescent="0.2">
      <c r="A939" s="21">
        <v>45829</v>
      </c>
      <c r="B939" s="5" t="s">
        <v>98</v>
      </c>
      <c r="C939" t="s">
        <v>99</v>
      </c>
      <c r="D939" t="s">
        <v>27</v>
      </c>
      <c r="E939" t="s">
        <v>35</v>
      </c>
      <c r="F939">
        <v>328</v>
      </c>
      <c r="G939">
        <v>191</v>
      </c>
      <c r="H939">
        <v>38</v>
      </c>
      <c r="I939">
        <f>Inventory_Data[[#This Row],[Opening_Stock]]+Inventory_Data[[#This Row],[Units_Received]]-Inventory_Data[[#This Row],[Units_Sold]]</f>
        <v>481</v>
      </c>
      <c r="J939">
        <v>0</v>
      </c>
      <c r="K939">
        <v>5</v>
      </c>
      <c r="L939" t="s">
        <v>29</v>
      </c>
      <c r="M939" s="3">
        <v>18.809999999999999</v>
      </c>
      <c r="N939" s="3">
        <v>22.74</v>
      </c>
      <c r="O939" s="10" t="str">
        <f>TEXT(Inventory_Data[[#This Row],[Date]],"mmm")</f>
        <v>Jun</v>
      </c>
    </row>
    <row r="940" spans="1:15" x14ac:dyDescent="0.2">
      <c r="A940" s="21">
        <v>45829</v>
      </c>
      <c r="B940" s="5" t="s">
        <v>116</v>
      </c>
      <c r="C940" t="s">
        <v>117</v>
      </c>
      <c r="D940" t="s">
        <v>52</v>
      </c>
      <c r="E940" t="s">
        <v>21</v>
      </c>
      <c r="F940">
        <v>49</v>
      </c>
      <c r="G940">
        <v>20</v>
      </c>
      <c r="H940">
        <v>5</v>
      </c>
      <c r="I940">
        <f>Inventory_Data[[#This Row],[Opening_Stock]]+Inventory_Data[[#This Row],[Units_Received]]-Inventory_Data[[#This Row],[Units_Sold]]</f>
        <v>64</v>
      </c>
      <c r="J940">
        <v>0</v>
      </c>
      <c r="K940">
        <v>14</v>
      </c>
      <c r="L940" t="s">
        <v>83</v>
      </c>
      <c r="M940" s="3">
        <v>125.31</v>
      </c>
      <c r="N940" s="3">
        <v>150.63999999999999</v>
      </c>
      <c r="O940" s="10" t="str">
        <f>TEXT(Inventory_Data[[#This Row],[Date]],"mmm")</f>
        <v>Jun</v>
      </c>
    </row>
    <row r="941" spans="1:15" x14ac:dyDescent="0.2">
      <c r="A941" s="21">
        <v>45829</v>
      </c>
      <c r="B941" s="5" t="s">
        <v>67</v>
      </c>
      <c r="C941" t="s">
        <v>68</v>
      </c>
      <c r="D941" t="s">
        <v>52</v>
      </c>
      <c r="E941" t="s">
        <v>21</v>
      </c>
      <c r="F941">
        <v>78</v>
      </c>
      <c r="G941">
        <v>3</v>
      </c>
      <c r="H941">
        <v>15</v>
      </c>
      <c r="I941">
        <f>Inventory_Data[[#This Row],[Opening_Stock]]+Inventory_Data[[#This Row],[Units_Received]]-Inventory_Data[[#This Row],[Units_Sold]]</f>
        <v>66</v>
      </c>
      <c r="J941">
        <v>0</v>
      </c>
      <c r="K941">
        <v>8</v>
      </c>
      <c r="L941" t="s">
        <v>83</v>
      </c>
      <c r="M941" s="3">
        <v>331.95</v>
      </c>
      <c r="N941" s="3">
        <v>466.95</v>
      </c>
      <c r="O941" s="10" t="str">
        <f>TEXT(Inventory_Data[[#This Row],[Date]],"mmm")</f>
        <v>Jun</v>
      </c>
    </row>
    <row r="942" spans="1:15" x14ac:dyDescent="0.2">
      <c r="A942" s="21">
        <v>45829</v>
      </c>
      <c r="B942" s="5" t="s">
        <v>57</v>
      </c>
      <c r="C942" t="s">
        <v>58</v>
      </c>
      <c r="D942" t="s">
        <v>52</v>
      </c>
      <c r="E942" t="s">
        <v>17</v>
      </c>
      <c r="F942">
        <v>34</v>
      </c>
      <c r="G942">
        <v>14</v>
      </c>
      <c r="H942">
        <v>13</v>
      </c>
      <c r="I942">
        <f>Inventory_Data[[#This Row],[Opening_Stock]]+Inventory_Data[[#This Row],[Units_Received]]-Inventory_Data[[#This Row],[Units_Sold]]</f>
        <v>35</v>
      </c>
      <c r="J942">
        <v>0</v>
      </c>
      <c r="K942">
        <v>6</v>
      </c>
      <c r="L942" t="s">
        <v>83</v>
      </c>
      <c r="M942" s="3">
        <v>339.56</v>
      </c>
      <c r="N942" s="3">
        <v>511.36</v>
      </c>
      <c r="O942" s="10" t="str">
        <f>TEXT(Inventory_Data[[#This Row],[Date]],"mmm")</f>
        <v>Jun</v>
      </c>
    </row>
    <row r="943" spans="1:15" x14ac:dyDescent="0.2">
      <c r="A943" s="21">
        <v>45829</v>
      </c>
      <c r="B943" s="5" t="s">
        <v>43</v>
      </c>
      <c r="C943" t="s">
        <v>44</v>
      </c>
      <c r="D943" t="s">
        <v>34</v>
      </c>
      <c r="E943" t="s">
        <v>21</v>
      </c>
      <c r="F943">
        <v>241</v>
      </c>
      <c r="G943">
        <v>203</v>
      </c>
      <c r="H943">
        <v>74</v>
      </c>
      <c r="I943">
        <f>Inventory_Data[[#This Row],[Opening_Stock]]+Inventory_Data[[#This Row],[Units_Received]]-Inventory_Data[[#This Row],[Units_Sold]]</f>
        <v>370</v>
      </c>
      <c r="J943">
        <v>0</v>
      </c>
      <c r="K943">
        <v>13</v>
      </c>
      <c r="L943" t="s">
        <v>42</v>
      </c>
      <c r="M943" s="3">
        <v>4.93</v>
      </c>
      <c r="N943" s="3">
        <v>7.15</v>
      </c>
      <c r="O943" s="10" t="str">
        <f>TEXT(Inventory_Data[[#This Row],[Date]],"mmm")</f>
        <v>Jun</v>
      </c>
    </row>
    <row r="944" spans="1:15" x14ac:dyDescent="0.2">
      <c r="A944" s="21">
        <v>45830</v>
      </c>
      <c r="B944" s="5" t="s">
        <v>152</v>
      </c>
      <c r="C944" t="s">
        <v>153</v>
      </c>
      <c r="D944" t="s">
        <v>16</v>
      </c>
      <c r="E944" t="s">
        <v>21</v>
      </c>
      <c r="F944">
        <v>106</v>
      </c>
      <c r="G944">
        <v>50</v>
      </c>
      <c r="H944">
        <v>79</v>
      </c>
      <c r="I944">
        <f>Inventory_Data[[#This Row],[Opening_Stock]]+Inventory_Data[[#This Row],[Units_Received]]-Inventory_Data[[#This Row],[Units_Sold]]</f>
        <v>77</v>
      </c>
      <c r="J944">
        <v>0</v>
      </c>
      <c r="K944">
        <v>11</v>
      </c>
      <c r="L944" t="s">
        <v>24</v>
      </c>
      <c r="M944" s="3">
        <v>127.53</v>
      </c>
      <c r="N944" s="3">
        <v>156.31</v>
      </c>
      <c r="O944" s="10" t="str">
        <f>TEXT(Inventory_Data[[#This Row],[Date]],"mmm")</f>
        <v>Jun</v>
      </c>
    </row>
    <row r="945" spans="1:15" x14ac:dyDescent="0.2">
      <c r="A945" s="21">
        <v>45830</v>
      </c>
      <c r="B945" s="5" t="s">
        <v>120</v>
      </c>
      <c r="C945" t="s">
        <v>121</v>
      </c>
      <c r="D945" t="s">
        <v>16</v>
      </c>
      <c r="E945" t="s">
        <v>35</v>
      </c>
      <c r="F945">
        <v>176</v>
      </c>
      <c r="G945">
        <v>28</v>
      </c>
      <c r="H945">
        <v>70</v>
      </c>
      <c r="I945">
        <f>Inventory_Data[[#This Row],[Opening_Stock]]+Inventory_Data[[#This Row],[Units_Received]]-Inventory_Data[[#This Row],[Units_Sold]]</f>
        <v>134</v>
      </c>
      <c r="J945">
        <v>0</v>
      </c>
      <c r="K945">
        <v>10</v>
      </c>
      <c r="L945" t="s">
        <v>45</v>
      </c>
      <c r="M945" s="3">
        <v>195.92</v>
      </c>
      <c r="N945" s="3">
        <v>261.85000000000002</v>
      </c>
      <c r="O945" s="10" t="str">
        <f>TEXT(Inventory_Data[[#This Row],[Date]],"mmm")</f>
        <v>Jun</v>
      </c>
    </row>
    <row r="946" spans="1:15" x14ac:dyDescent="0.2">
      <c r="A946" s="21">
        <v>45830</v>
      </c>
      <c r="B946" s="5" t="s">
        <v>148</v>
      </c>
      <c r="C946" t="s">
        <v>149</v>
      </c>
      <c r="D946" t="s">
        <v>27</v>
      </c>
      <c r="E946" t="s">
        <v>21</v>
      </c>
      <c r="F946">
        <v>443</v>
      </c>
      <c r="G946">
        <v>151</v>
      </c>
      <c r="H946">
        <v>172</v>
      </c>
      <c r="I946">
        <f>Inventory_Data[[#This Row],[Opening_Stock]]+Inventory_Data[[#This Row],[Units_Received]]-Inventory_Data[[#This Row],[Units_Sold]]</f>
        <v>422</v>
      </c>
      <c r="J946">
        <v>0</v>
      </c>
      <c r="K946">
        <v>7</v>
      </c>
      <c r="L946" t="s">
        <v>80</v>
      </c>
      <c r="M946" s="3">
        <v>13.35</v>
      </c>
      <c r="N946" s="3">
        <v>15.37</v>
      </c>
      <c r="O946" s="10" t="str">
        <f>TEXT(Inventory_Data[[#This Row],[Date]],"mmm")</f>
        <v>Jun</v>
      </c>
    </row>
    <row r="947" spans="1:15" x14ac:dyDescent="0.2">
      <c r="A947" s="21">
        <v>45830</v>
      </c>
      <c r="B947" s="5" t="s">
        <v>186</v>
      </c>
      <c r="C947" t="s">
        <v>187</v>
      </c>
      <c r="D947" t="s">
        <v>27</v>
      </c>
      <c r="E947" t="s">
        <v>28</v>
      </c>
      <c r="F947">
        <v>410</v>
      </c>
      <c r="G947">
        <v>208</v>
      </c>
      <c r="H947">
        <v>214</v>
      </c>
      <c r="I947">
        <f>Inventory_Data[[#This Row],[Opening_Stock]]+Inventory_Data[[#This Row],[Units_Received]]-Inventory_Data[[#This Row],[Units_Sold]]</f>
        <v>404</v>
      </c>
      <c r="J947">
        <v>0</v>
      </c>
      <c r="K947">
        <v>5</v>
      </c>
      <c r="L947" t="s">
        <v>80</v>
      </c>
      <c r="M947" s="3">
        <v>23.39</v>
      </c>
      <c r="N947" s="3">
        <v>30.49</v>
      </c>
      <c r="O947" s="10" t="str">
        <f>TEXT(Inventory_Data[[#This Row],[Date]],"mmm")</f>
        <v>Jun</v>
      </c>
    </row>
    <row r="948" spans="1:15" x14ac:dyDescent="0.2">
      <c r="A948" s="21">
        <v>45830</v>
      </c>
      <c r="B948" s="5" t="s">
        <v>140</v>
      </c>
      <c r="C948" t="s">
        <v>141</v>
      </c>
      <c r="D948" t="s">
        <v>52</v>
      </c>
      <c r="E948" t="s">
        <v>17</v>
      </c>
      <c r="F948">
        <v>61</v>
      </c>
      <c r="G948">
        <v>8</v>
      </c>
      <c r="H948">
        <v>2</v>
      </c>
      <c r="I948">
        <f>Inventory_Data[[#This Row],[Opening_Stock]]+Inventory_Data[[#This Row],[Units_Received]]-Inventory_Data[[#This Row],[Units_Sold]]</f>
        <v>67</v>
      </c>
      <c r="J948">
        <v>0</v>
      </c>
      <c r="K948">
        <v>7</v>
      </c>
      <c r="L948" t="s">
        <v>53</v>
      </c>
      <c r="M948" s="3">
        <v>158.47</v>
      </c>
      <c r="N948" s="3">
        <v>195.53</v>
      </c>
      <c r="O948" s="10" t="str">
        <f>TEXT(Inventory_Data[[#This Row],[Date]],"mmm")</f>
        <v>Jun</v>
      </c>
    </row>
    <row r="949" spans="1:15" x14ac:dyDescent="0.2">
      <c r="A949" s="21">
        <v>45830</v>
      </c>
      <c r="B949" s="5" t="s">
        <v>174</v>
      </c>
      <c r="C949" t="s">
        <v>175</v>
      </c>
      <c r="D949" t="s">
        <v>52</v>
      </c>
      <c r="E949" t="s">
        <v>35</v>
      </c>
      <c r="F949">
        <v>60</v>
      </c>
      <c r="G949">
        <v>21</v>
      </c>
      <c r="H949">
        <v>3</v>
      </c>
      <c r="I949">
        <f>Inventory_Data[[#This Row],[Opening_Stock]]+Inventory_Data[[#This Row],[Units_Received]]-Inventory_Data[[#This Row],[Units_Sold]]</f>
        <v>78</v>
      </c>
      <c r="J949">
        <v>0</v>
      </c>
      <c r="K949">
        <v>11</v>
      </c>
      <c r="L949" t="s">
        <v>53</v>
      </c>
      <c r="M949" s="3">
        <v>307.73</v>
      </c>
      <c r="N949" s="3">
        <v>369.42</v>
      </c>
      <c r="O949" s="10" t="str">
        <f>TEXT(Inventory_Data[[#This Row],[Date]],"mmm")</f>
        <v>Jun</v>
      </c>
    </row>
    <row r="950" spans="1:15" x14ac:dyDescent="0.2">
      <c r="A950" s="21">
        <v>45830</v>
      </c>
      <c r="B950" s="5" t="s">
        <v>88</v>
      </c>
      <c r="C950" t="s">
        <v>89</v>
      </c>
      <c r="D950" t="s">
        <v>34</v>
      </c>
      <c r="E950" t="s">
        <v>17</v>
      </c>
      <c r="F950">
        <v>62</v>
      </c>
      <c r="G950">
        <v>145</v>
      </c>
      <c r="H950">
        <v>113</v>
      </c>
      <c r="I950">
        <f>Inventory_Data[[#This Row],[Opening_Stock]]+Inventory_Data[[#This Row],[Units_Received]]-Inventory_Data[[#This Row],[Units_Sold]]</f>
        <v>94</v>
      </c>
      <c r="J950">
        <v>0</v>
      </c>
      <c r="K950">
        <v>5</v>
      </c>
      <c r="L950" t="s">
        <v>42</v>
      </c>
      <c r="M950" s="3">
        <v>14.59</v>
      </c>
      <c r="N950" s="3">
        <v>20.9</v>
      </c>
      <c r="O950" s="10" t="str">
        <f>TEXT(Inventory_Data[[#This Row],[Date]],"mmm")</f>
        <v>Jun</v>
      </c>
    </row>
    <row r="951" spans="1:15" x14ac:dyDescent="0.2">
      <c r="A951" s="21">
        <v>45830</v>
      </c>
      <c r="B951" s="5" t="s">
        <v>59</v>
      </c>
      <c r="C951" t="s">
        <v>60</v>
      </c>
      <c r="D951" t="s">
        <v>34</v>
      </c>
      <c r="E951" t="s">
        <v>21</v>
      </c>
      <c r="F951">
        <v>377</v>
      </c>
      <c r="G951">
        <v>77</v>
      </c>
      <c r="H951">
        <v>76</v>
      </c>
      <c r="I951">
        <f>Inventory_Data[[#This Row],[Opening_Stock]]+Inventory_Data[[#This Row],[Units_Received]]-Inventory_Data[[#This Row],[Units_Sold]]</f>
        <v>378</v>
      </c>
      <c r="J951">
        <v>0</v>
      </c>
      <c r="K951">
        <v>6</v>
      </c>
      <c r="L951" t="s">
        <v>42</v>
      </c>
      <c r="M951" s="3">
        <v>25.15</v>
      </c>
      <c r="N951" s="3">
        <v>32.21</v>
      </c>
      <c r="O951" s="10" t="str">
        <f>TEXT(Inventory_Data[[#This Row],[Date]],"mmm")</f>
        <v>Jun</v>
      </c>
    </row>
    <row r="952" spans="1:15" x14ac:dyDescent="0.2">
      <c r="A952" s="21">
        <v>45830</v>
      </c>
      <c r="B952" s="5" t="s">
        <v>43</v>
      </c>
      <c r="C952" t="s">
        <v>44</v>
      </c>
      <c r="D952" t="s">
        <v>34</v>
      </c>
      <c r="E952" t="s">
        <v>21</v>
      </c>
      <c r="F952">
        <v>317</v>
      </c>
      <c r="G952">
        <v>156</v>
      </c>
      <c r="H952">
        <v>149</v>
      </c>
      <c r="I952">
        <f>Inventory_Data[[#This Row],[Opening_Stock]]+Inventory_Data[[#This Row],[Units_Received]]-Inventory_Data[[#This Row],[Units_Sold]]</f>
        <v>324</v>
      </c>
      <c r="J952">
        <v>0</v>
      </c>
      <c r="K952">
        <v>11</v>
      </c>
      <c r="L952" t="s">
        <v>39</v>
      </c>
      <c r="M952" s="3">
        <v>25.68</v>
      </c>
      <c r="N952" s="3">
        <v>33.08</v>
      </c>
      <c r="O952" s="10" t="str">
        <f>TEXT(Inventory_Data[[#This Row],[Date]],"mmm")</f>
        <v>Jun</v>
      </c>
    </row>
    <row r="953" spans="1:15" x14ac:dyDescent="0.2">
      <c r="A953" s="21">
        <v>45831</v>
      </c>
      <c r="B953" s="5" t="s">
        <v>152</v>
      </c>
      <c r="C953" t="s">
        <v>153</v>
      </c>
      <c r="D953" t="s">
        <v>16</v>
      </c>
      <c r="E953" t="s">
        <v>28</v>
      </c>
      <c r="F953">
        <v>137</v>
      </c>
      <c r="G953">
        <v>37</v>
      </c>
      <c r="H953">
        <v>23</v>
      </c>
      <c r="I953">
        <f>Inventory_Data[[#This Row],[Opening_Stock]]+Inventory_Data[[#This Row],[Units_Received]]-Inventory_Data[[#This Row],[Units_Sold]]</f>
        <v>151</v>
      </c>
      <c r="J953">
        <v>0</v>
      </c>
      <c r="K953">
        <v>12</v>
      </c>
      <c r="L953" t="s">
        <v>45</v>
      </c>
      <c r="M953" s="3">
        <v>211.51</v>
      </c>
      <c r="N953" s="3">
        <v>305.39999999999998</v>
      </c>
      <c r="O953" s="10" t="str">
        <f>TEXT(Inventory_Data[[#This Row],[Date]],"mmm")</f>
        <v>Jun</v>
      </c>
    </row>
    <row r="954" spans="1:15" x14ac:dyDescent="0.2">
      <c r="A954" s="21">
        <v>45831</v>
      </c>
      <c r="B954" s="5" t="s">
        <v>90</v>
      </c>
      <c r="C954" t="s">
        <v>91</v>
      </c>
      <c r="D954" t="s">
        <v>48</v>
      </c>
      <c r="E954" t="s">
        <v>28</v>
      </c>
      <c r="F954">
        <v>57</v>
      </c>
      <c r="G954">
        <v>62</v>
      </c>
      <c r="H954">
        <v>87</v>
      </c>
      <c r="I954">
        <f>Inventory_Data[[#This Row],[Opening_Stock]]+Inventory_Data[[#This Row],[Units_Received]]-Inventory_Data[[#This Row],[Units_Sold]]</f>
        <v>32</v>
      </c>
      <c r="J954">
        <v>0</v>
      </c>
      <c r="K954">
        <v>13</v>
      </c>
      <c r="L954" t="s">
        <v>63</v>
      </c>
      <c r="M954" s="3">
        <v>14.29</v>
      </c>
      <c r="N954" s="3">
        <v>16.46</v>
      </c>
      <c r="O954" s="10" t="str">
        <f>TEXT(Inventory_Data[[#This Row],[Date]],"mmm")</f>
        <v>Jun</v>
      </c>
    </row>
    <row r="955" spans="1:15" x14ac:dyDescent="0.2">
      <c r="A955" s="21">
        <v>45831</v>
      </c>
      <c r="B955" s="5" t="s">
        <v>54</v>
      </c>
      <c r="C955" t="s">
        <v>55</v>
      </c>
      <c r="D955" t="s">
        <v>52</v>
      </c>
      <c r="E955" t="s">
        <v>17</v>
      </c>
      <c r="F955">
        <v>16</v>
      </c>
      <c r="G955">
        <v>14</v>
      </c>
      <c r="H955">
        <v>8</v>
      </c>
      <c r="I955">
        <f>Inventory_Data[[#This Row],[Opening_Stock]]+Inventory_Data[[#This Row],[Units_Received]]-Inventory_Data[[#This Row],[Units_Sold]]</f>
        <v>22</v>
      </c>
      <c r="J955">
        <v>0</v>
      </c>
      <c r="K955">
        <v>8</v>
      </c>
      <c r="L955" t="s">
        <v>53</v>
      </c>
      <c r="M955" s="3">
        <v>307.02999999999997</v>
      </c>
      <c r="N955" s="3">
        <v>398.54</v>
      </c>
      <c r="O955" s="10" t="str">
        <f>TEXT(Inventory_Data[[#This Row],[Date]],"mmm")</f>
        <v>Jun</v>
      </c>
    </row>
    <row r="956" spans="1:15" x14ac:dyDescent="0.2">
      <c r="A956" s="21">
        <v>45831</v>
      </c>
      <c r="B956" s="5" t="s">
        <v>67</v>
      </c>
      <c r="C956" t="s">
        <v>68</v>
      </c>
      <c r="D956" t="s">
        <v>52</v>
      </c>
      <c r="E956" t="s">
        <v>17</v>
      </c>
      <c r="F956">
        <v>10</v>
      </c>
      <c r="G956">
        <v>24</v>
      </c>
      <c r="H956">
        <v>3</v>
      </c>
      <c r="I956">
        <f>Inventory_Data[[#This Row],[Opening_Stock]]+Inventory_Data[[#This Row],[Units_Received]]-Inventory_Data[[#This Row],[Units_Sold]]</f>
        <v>31</v>
      </c>
      <c r="J956">
        <v>0</v>
      </c>
      <c r="K956">
        <v>7</v>
      </c>
      <c r="L956" t="s">
        <v>53</v>
      </c>
      <c r="M956" s="3">
        <v>237.93</v>
      </c>
      <c r="N956" s="3">
        <v>298.39</v>
      </c>
      <c r="O956" s="10" t="str">
        <f>TEXT(Inventory_Data[[#This Row],[Date]],"mmm")</f>
        <v>Jun</v>
      </c>
    </row>
    <row r="957" spans="1:15" x14ac:dyDescent="0.2">
      <c r="A957" s="21">
        <v>45832</v>
      </c>
      <c r="B957" s="5" t="s">
        <v>166</v>
      </c>
      <c r="C957" t="s">
        <v>167</v>
      </c>
      <c r="D957" t="s">
        <v>16</v>
      </c>
      <c r="E957" t="s">
        <v>28</v>
      </c>
      <c r="F957">
        <v>169</v>
      </c>
      <c r="G957">
        <v>57</v>
      </c>
      <c r="H957">
        <v>41</v>
      </c>
      <c r="I957">
        <f>Inventory_Data[[#This Row],[Opening_Stock]]+Inventory_Data[[#This Row],[Units_Received]]-Inventory_Data[[#This Row],[Units_Sold]]</f>
        <v>185</v>
      </c>
      <c r="J957">
        <v>0</v>
      </c>
      <c r="K957">
        <v>4</v>
      </c>
      <c r="L957" t="s">
        <v>24</v>
      </c>
      <c r="M957" s="3">
        <v>139.44999999999999</v>
      </c>
      <c r="N957" s="3">
        <v>190.86</v>
      </c>
      <c r="O957" s="10" t="str">
        <f>TEXT(Inventory_Data[[#This Row],[Date]],"mmm")</f>
        <v>Jun</v>
      </c>
    </row>
    <row r="958" spans="1:15" x14ac:dyDescent="0.2">
      <c r="A958" s="21">
        <v>45832</v>
      </c>
      <c r="B958" s="5" t="s">
        <v>110</v>
      </c>
      <c r="C958" t="s">
        <v>111</v>
      </c>
      <c r="D958" t="s">
        <v>52</v>
      </c>
      <c r="E958" t="s">
        <v>28</v>
      </c>
      <c r="F958">
        <v>58</v>
      </c>
      <c r="G958">
        <v>20</v>
      </c>
      <c r="H958">
        <v>13</v>
      </c>
      <c r="I958">
        <f>Inventory_Data[[#This Row],[Opening_Stock]]+Inventory_Data[[#This Row],[Units_Received]]-Inventory_Data[[#This Row],[Units_Sold]]</f>
        <v>65</v>
      </c>
      <c r="J958">
        <v>0</v>
      </c>
      <c r="K958">
        <v>14</v>
      </c>
      <c r="L958" t="s">
        <v>53</v>
      </c>
      <c r="M958" s="3">
        <v>245.56</v>
      </c>
      <c r="N958" s="3">
        <v>323.74</v>
      </c>
      <c r="O958" s="10" t="str">
        <f>TEXT(Inventory_Data[[#This Row],[Date]],"mmm")</f>
        <v>Jun</v>
      </c>
    </row>
    <row r="959" spans="1:15" x14ac:dyDescent="0.2">
      <c r="A959" s="21">
        <v>45832</v>
      </c>
      <c r="B959" s="5" t="s">
        <v>67</v>
      </c>
      <c r="C959" t="s">
        <v>68</v>
      </c>
      <c r="D959" t="s">
        <v>52</v>
      </c>
      <c r="E959" t="s">
        <v>21</v>
      </c>
      <c r="F959">
        <v>68</v>
      </c>
      <c r="G959">
        <v>24</v>
      </c>
      <c r="H959">
        <v>15</v>
      </c>
      <c r="I959">
        <f>Inventory_Data[[#This Row],[Opening_Stock]]+Inventory_Data[[#This Row],[Units_Received]]-Inventory_Data[[#This Row],[Units_Sold]]</f>
        <v>77</v>
      </c>
      <c r="J959">
        <v>0</v>
      </c>
      <c r="K959">
        <v>5</v>
      </c>
      <c r="L959" t="s">
        <v>83</v>
      </c>
      <c r="M959" s="3">
        <v>315.85000000000002</v>
      </c>
      <c r="N959" s="3">
        <v>448.41</v>
      </c>
      <c r="O959" s="10" t="str">
        <f>TEXT(Inventory_Data[[#This Row],[Date]],"mmm")</f>
        <v>Jun</v>
      </c>
    </row>
    <row r="960" spans="1:15" x14ac:dyDescent="0.2">
      <c r="A960" s="21">
        <v>45832</v>
      </c>
      <c r="B960" s="5" t="s">
        <v>174</v>
      </c>
      <c r="C960" t="s">
        <v>175</v>
      </c>
      <c r="D960" t="s">
        <v>52</v>
      </c>
      <c r="E960" t="s">
        <v>17</v>
      </c>
      <c r="F960">
        <v>60</v>
      </c>
      <c r="G960">
        <v>16</v>
      </c>
      <c r="H960">
        <v>14</v>
      </c>
      <c r="I960">
        <f>Inventory_Data[[#This Row],[Opening_Stock]]+Inventory_Data[[#This Row],[Units_Received]]-Inventory_Data[[#This Row],[Units_Sold]]</f>
        <v>62</v>
      </c>
      <c r="J960">
        <v>0</v>
      </c>
      <c r="K960">
        <v>5</v>
      </c>
      <c r="L960" t="s">
        <v>56</v>
      </c>
      <c r="M960" s="3">
        <v>292.58999999999997</v>
      </c>
      <c r="N960" s="3">
        <v>416.13</v>
      </c>
      <c r="O960" s="10" t="str">
        <f>TEXT(Inventory_Data[[#This Row],[Date]],"mmm")</f>
        <v>Jun</v>
      </c>
    </row>
    <row r="961" spans="1:15" x14ac:dyDescent="0.2">
      <c r="A961" s="21">
        <v>45832</v>
      </c>
      <c r="B961" s="5" t="s">
        <v>37</v>
      </c>
      <c r="C961" t="s">
        <v>38</v>
      </c>
      <c r="D961" t="s">
        <v>34</v>
      </c>
      <c r="E961" t="s">
        <v>28</v>
      </c>
      <c r="F961">
        <v>87</v>
      </c>
      <c r="G961">
        <v>185</v>
      </c>
      <c r="H961">
        <v>131</v>
      </c>
      <c r="I961">
        <f>Inventory_Data[[#This Row],[Opening_Stock]]+Inventory_Data[[#This Row],[Units_Received]]-Inventory_Data[[#This Row],[Units_Sold]]</f>
        <v>141</v>
      </c>
      <c r="J961">
        <v>0</v>
      </c>
      <c r="K961">
        <v>14</v>
      </c>
      <c r="L961" t="s">
        <v>36</v>
      </c>
      <c r="M961" s="3">
        <v>18.39</v>
      </c>
      <c r="N961" s="3">
        <v>22.45</v>
      </c>
      <c r="O961" s="10" t="str">
        <f>TEXT(Inventory_Data[[#This Row],[Date]],"mmm")</f>
        <v>Jun</v>
      </c>
    </row>
    <row r="962" spans="1:15" x14ac:dyDescent="0.2">
      <c r="A962" s="21">
        <v>45833</v>
      </c>
      <c r="B962" s="5" t="s">
        <v>22</v>
      </c>
      <c r="C962" t="s">
        <v>23</v>
      </c>
      <c r="D962" t="s">
        <v>16</v>
      </c>
      <c r="E962" t="s">
        <v>28</v>
      </c>
      <c r="F962">
        <v>52</v>
      </c>
      <c r="G962">
        <v>39</v>
      </c>
      <c r="H962">
        <v>36</v>
      </c>
      <c r="I962">
        <f>Inventory_Data[[#This Row],[Opening_Stock]]+Inventory_Data[[#This Row],[Units_Received]]-Inventory_Data[[#This Row],[Units_Sold]]</f>
        <v>55</v>
      </c>
      <c r="J962">
        <v>0</v>
      </c>
      <c r="K962">
        <v>11</v>
      </c>
      <c r="L962" t="s">
        <v>18</v>
      </c>
      <c r="M962" s="3">
        <v>195.74</v>
      </c>
      <c r="N962" s="3">
        <v>234.61</v>
      </c>
      <c r="O962" s="10" t="str">
        <f>TEXT(Inventory_Data[[#This Row],[Date]],"mmm")</f>
        <v>Jun</v>
      </c>
    </row>
    <row r="963" spans="1:15" x14ac:dyDescent="0.2">
      <c r="A963" s="21">
        <v>45833</v>
      </c>
      <c r="B963" s="5" t="s">
        <v>75</v>
      </c>
      <c r="C963" t="s">
        <v>76</v>
      </c>
      <c r="D963" t="s">
        <v>48</v>
      </c>
      <c r="E963" t="s">
        <v>21</v>
      </c>
      <c r="F963">
        <v>142</v>
      </c>
      <c r="G963">
        <v>104</v>
      </c>
      <c r="H963">
        <v>70</v>
      </c>
      <c r="I963">
        <f>Inventory_Data[[#This Row],[Opening_Stock]]+Inventory_Data[[#This Row],[Units_Received]]-Inventory_Data[[#This Row],[Units_Sold]]</f>
        <v>176</v>
      </c>
      <c r="J963">
        <v>0</v>
      </c>
      <c r="K963">
        <v>5</v>
      </c>
      <c r="L963" t="s">
        <v>77</v>
      </c>
      <c r="M963" s="3">
        <v>26.89</v>
      </c>
      <c r="N963" s="3">
        <v>30.94</v>
      </c>
      <c r="O963" s="10" t="str">
        <f>TEXT(Inventory_Data[[#This Row],[Date]],"mmm")</f>
        <v>Jun</v>
      </c>
    </row>
    <row r="964" spans="1:15" x14ac:dyDescent="0.2">
      <c r="A964" s="21">
        <v>45833</v>
      </c>
      <c r="B964" s="5" t="s">
        <v>136</v>
      </c>
      <c r="C964" t="s">
        <v>137</v>
      </c>
      <c r="D964" t="s">
        <v>27</v>
      </c>
      <c r="E964" t="s">
        <v>17</v>
      </c>
      <c r="F964">
        <v>468</v>
      </c>
      <c r="G964">
        <v>135</v>
      </c>
      <c r="H964">
        <v>207</v>
      </c>
      <c r="I964">
        <f>Inventory_Data[[#This Row],[Opening_Stock]]+Inventory_Data[[#This Row],[Units_Received]]-Inventory_Data[[#This Row],[Units_Sold]]</f>
        <v>396</v>
      </c>
      <c r="J964">
        <v>0</v>
      </c>
      <c r="K964">
        <v>5</v>
      </c>
      <c r="L964" t="s">
        <v>66</v>
      </c>
      <c r="M964" s="3">
        <v>15.58</v>
      </c>
      <c r="N964" s="3">
        <v>22.25</v>
      </c>
      <c r="O964" s="10" t="str">
        <f>TEXT(Inventory_Data[[#This Row],[Date]],"mmm")</f>
        <v>Jun</v>
      </c>
    </row>
    <row r="965" spans="1:15" x14ac:dyDescent="0.2">
      <c r="A965" s="21">
        <v>45833</v>
      </c>
      <c r="B965" s="5" t="s">
        <v>104</v>
      </c>
      <c r="C965" t="s">
        <v>105</v>
      </c>
      <c r="D965" t="s">
        <v>34</v>
      </c>
      <c r="E965" t="s">
        <v>21</v>
      </c>
      <c r="F965">
        <v>254</v>
      </c>
      <c r="G965">
        <v>112</v>
      </c>
      <c r="H965">
        <v>152</v>
      </c>
      <c r="I965">
        <f>Inventory_Data[[#This Row],[Opening_Stock]]+Inventory_Data[[#This Row],[Units_Received]]-Inventory_Data[[#This Row],[Units_Sold]]</f>
        <v>214</v>
      </c>
      <c r="J965">
        <v>0</v>
      </c>
      <c r="K965">
        <v>12</v>
      </c>
      <c r="L965" t="s">
        <v>36</v>
      </c>
      <c r="M965" s="3">
        <v>18.59</v>
      </c>
      <c r="N965" s="3">
        <v>25.87</v>
      </c>
      <c r="O965" s="10" t="str">
        <f>TEXT(Inventory_Data[[#This Row],[Date]],"mmm")</f>
        <v>Jun</v>
      </c>
    </row>
    <row r="966" spans="1:15" x14ac:dyDescent="0.2">
      <c r="A966" s="21">
        <v>45833</v>
      </c>
      <c r="B966" s="5" t="s">
        <v>126</v>
      </c>
      <c r="C966" t="s">
        <v>127</v>
      </c>
      <c r="D966" t="s">
        <v>34</v>
      </c>
      <c r="E966" t="s">
        <v>28</v>
      </c>
      <c r="F966">
        <v>215</v>
      </c>
      <c r="G966">
        <v>82</v>
      </c>
      <c r="H966">
        <v>87</v>
      </c>
      <c r="I966">
        <f>Inventory_Data[[#This Row],[Opening_Stock]]+Inventory_Data[[#This Row],[Units_Received]]-Inventory_Data[[#This Row],[Units_Sold]]</f>
        <v>210</v>
      </c>
      <c r="J966">
        <v>0</v>
      </c>
      <c r="K966">
        <v>13</v>
      </c>
      <c r="L966" t="s">
        <v>42</v>
      </c>
      <c r="M966" s="3">
        <v>17.989999999999998</v>
      </c>
      <c r="N966" s="3">
        <v>21.98</v>
      </c>
      <c r="O966" s="10" t="str">
        <f>TEXT(Inventory_Data[[#This Row],[Date]],"mmm")</f>
        <v>Jun</v>
      </c>
    </row>
    <row r="967" spans="1:15" x14ac:dyDescent="0.2">
      <c r="A967" s="21">
        <v>45834</v>
      </c>
      <c r="B967" s="5" t="s">
        <v>106</v>
      </c>
      <c r="C967" t="s">
        <v>107</v>
      </c>
      <c r="D967" t="s">
        <v>16</v>
      </c>
      <c r="E967" t="s">
        <v>28</v>
      </c>
      <c r="F967">
        <v>31</v>
      </c>
      <c r="G967">
        <v>90</v>
      </c>
      <c r="H967">
        <v>78</v>
      </c>
      <c r="I967">
        <f>Inventory_Data[[#This Row],[Opening_Stock]]+Inventory_Data[[#This Row],[Units_Received]]-Inventory_Data[[#This Row],[Units_Sold]]</f>
        <v>43</v>
      </c>
      <c r="J967">
        <v>0</v>
      </c>
      <c r="K967">
        <v>3</v>
      </c>
      <c r="L967" t="s">
        <v>18</v>
      </c>
      <c r="M967" s="3">
        <v>52.68</v>
      </c>
      <c r="N967" s="3">
        <v>67.5</v>
      </c>
      <c r="O967" s="10" t="str">
        <f>TEXT(Inventory_Data[[#This Row],[Date]],"mmm")</f>
        <v>Jun</v>
      </c>
    </row>
    <row r="968" spans="1:15" x14ac:dyDescent="0.2">
      <c r="A968" s="21">
        <v>45834</v>
      </c>
      <c r="B968" s="5" t="s">
        <v>154</v>
      </c>
      <c r="C968" t="s">
        <v>155</v>
      </c>
      <c r="D968" t="s">
        <v>48</v>
      </c>
      <c r="E968" t="s">
        <v>28</v>
      </c>
      <c r="F968">
        <v>176</v>
      </c>
      <c r="G968">
        <v>39</v>
      </c>
      <c r="H968">
        <v>48</v>
      </c>
      <c r="I968">
        <f>Inventory_Data[[#This Row],[Opening_Stock]]+Inventory_Data[[#This Row],[Units_Received]]-Inventory_Data[[#This Row],[Units_Sold]]</f>
        <v>167</v>
      </c>
      <c r="J968">
        <v>0</v>
      </c>
      <c r="K968">
        <v>4</v>
      </c>
      <c r="L968" t="s">
        <v>63</v>
      </c>
      <c r="M968" s="3">
        <v>56.02</v>
      </c>
      <c r="N968" s="3">
        <v>76.62</v>
      </c>
      <c r="O968" s="10" t="str">
        <f>TEXT(Inventory_Data[[#This Row],[Date]],"mmm")</f>
        <v>Jun</v>
      </c>
    </row>
    <row r="969" spans="1:15" x14ac:dyDescent="0.2">
      <c r="A969" s="21">
        <v>45834</v>
      </c>
      <c r="B969" s="5" t="s">
        <v>100</v>
      </c>
      <c r="C969" t="s">
        <v>101</v>
      </c>
      <c r="D969" t="s">
        <v>52</v>
      </c>
      <c r="E969" t="s">
        <v>35</v>
      </c>
      <c r="F969">
        <v>60</v>
      </c>
      <c r="G969">
        <v>9</v>
      </c>
      <c r="H969">
        <v>7</v>
      </c>
      <c r="I969">
        <f>Inventory_Data[[#This Row],[Opening_Stock]]+Inventory_Data[[#This Row],[Units_Received]]-Inventory_Data[[#This Row],[Units_Sold]]</f>
        <v>62</v>
      </c>
      <c r="J969">
        <v>0</v>
      </c>
      <c r="K969">
        <v>4</v>
      </c>
      <c r="L969" t="s">
        <v>56</v>
      </c>
      <c r="M969" s="3">
        <v>135.5</v>
      </c>
      <c r="N969" s="3">
        <v>202.96</v>
      </c>
      <c r="O969" s="10" t="str">
        <f>TEXT(Inventory_Data[[#This Row],[Date]],"mmm")</f>
        <v>Jun</v>
      </c>
    </row>
    <row r="970" spans="1:15" x14ac:dyDescent="0.2">
      <c r="A970" s="21">
        <v>45834</v>
      </c>
      <c r="B970" s="5" t="s">
        <v>124</v>
      </c>
      <c r="C970" t="s">
        <v>125</v>
      </c>
      <c r="D970" t="s">
        <v>52</v>
      </c>
      <c r="E970" t="s">
        <v>28</v>
      </c>
      <c r="F970">
        <v>51</v>
      </c>
      <c r="G970">
        <v>16</v>
      </c>
      <c r="H970">
        <v>1</v>
      </c>
      <c r="I970">
        <f>Inventory_Data[[#This Row],[Opening_Stock]]+Inventory_Data[[#This Row],[Units_Received]]-Inventory_Data[[#This Row],[Units_Sold]]</f>
        <v>66</v>
      </c>
      <c r="J970">
        <v>0</v>
      </c>
      <c r="K970">
        <v>12</v>
      </c>
      <c r="L970" t="s">
        <v>56</v>
      </c>
      <c r="M970" s="3">
        <v>142.84</v>
      </c>
      <c r="N970" s="3">
        <v>168.06</v>
      </c>
      <c r="O970" s="10" t="str">
        <f>TEXT(Inventory_Data[[#This Row],[Date]],"mmm")</f>
        <v>Jun</v>
      </c>
    </row>
    <row r="971" spans="1:15" x14ac:dyDescent="0.2">
      <c r="A971" s="21">
        <v>45834</v>
      </c>
      <c r="B971" s="5" t="s">
        <v>110</v>
      </c>
      <c r="C971" t="s">
        <v>111</v>
      </c>
      <c r="D971" t="s">
        <v>52</v>
      </c>
      <c r="E971" t="s">
        <v>21</v>
      </c>
      <c r="F971">
        <v>65</v>
      </c>
      <c r="G971">
        <v>13</v>
      </c>
      <c r="H971">
        <v>7</v>
      </c>
      <c r="I971">
        <f>Inventory_Data[[#This Row],[Opening_Stock]]+Inventory_Data[[#This Row],[Units_Received]]-Inventory_Data[[#This Row],[Units_Sold]]</f>
        <v>71</v>
      </c>
      <c r="J971">
        <v>0</v>
      </c>
      <c r="K971">
        <v>5</v>
      </c>
      <c r="L971" t="s">
        <v>56</v>
      </c>
      <c r="M971" s="3">
        <v>70.510000000000005</v>
      </c>
      <c r="N971" s="3">
        <v>90.17</v>
      </c>
      <c r="O971" s="10" t="str">
        <f>TEXT(Inventory_Data[[#This Row],[Date]],"mmm")</f>
        <v>Jun</v>
      </c>
    </row>
    <row r="972" spans="1:15" x14ac:dyDescent="0.2">
      <c r="A972" s="21">
        <v>45834</v>
      </c>
      <c r="B972" s="5" t="s">
        <v>180</v>
      </c>
      <c r="C972" t="s">
        <v>181</v>
      </c>
      <c r="D972" t="s">
        <v>34</v>
      </c>
      <c r="E972" t="s">
        <v>28</v>
      </c>
      <c r="F972">
        <v>213</v>
      </c>
      <c r="G972">
        <v>212</v>
      </c>
      <c r="H972">
        <v>62</v>
      </c>
      <c r="I972">
        <f>Inventory_Data[[#This Row],[Opening_Stock]]+Inventory_Data[[#This Row],[Units_Received]]-Inventory_Data[[#This Row],[Units_Sold]]</f>
        <v>363</v>
      </c>
      <c r="J972">
        <v>0</v>
      </c>
      <c r="K972">
        <v>14</v>
      </c>
      <c r="L972" t="s">
        <v>42</v>
      </c>
      <c r="M972" s="3">
        <v>11.44</v>
      </c>
      <c r="N972" s="3">
        <v>17.45</v>
      </c>
      <c r="O972" s="10" t="str">
        <f>TEXT(Inventory_Data[[#This Row],[Date]],"mmm")</f>
        <v>Jun</v>
      </c>
    </row>
    <row r="973" spans="1:15" x14ac:dyDescent="0.2">
      <c r="A973" s="21">
        <v>45834</v>
      </c>
      <c r="B973" s="5" t="s">
        <v>194</v>
      </c>
      <c r="C973" t="s">
        <v>195</v>
      </c>
      <c r="D973" t="s">
        <v>34</v>
      </c>
      <c r="E973" t="s">
        <v>21</v>
      </c>
      <c r="F973">
        <v>227</v>
      </c>
      <c r="G973">
        <v>195</v>
      </c>
      <c r="H973">
        <v>99</v>
      </c>
      <c r="I973">
        <f>Inventory_Data[[#This Row],[Opening_Stock]]+Inventory_Data[[#This Row],[Units_Received]]-Inventory_Data[[#This Row],[Units_Sold]]</f>
        <v>323</v>
      </c>
      <c r="J973">
        <v>0</v>
      </c>
      <c r="K973">
        <v>14</v>
      </c>
      <c r="L973" t="s">
        <v>39</v>
      </c>
      <c r="M973" s="3">
        <v>25.81</v>
      </c>
      <c r="N973" s="3">
        <v>34.99</v>
      </c>
      <c r="O973" s="10" t="str">
        <f>TEXT(Inventory_Data[[#This Row],[Date]],"mmm")</f>
        <v>Jun</v>
      </c>
    </row>
    <row r="974" spans="1:15" x14ac:dyDescent="0.2">
      <c r="A974" s="21">
        <v>45834</v>
      </c>
      <c r="B974" s="5" t="s">
        <v>37</v>
      </c>
      <c r="C974" t="s">
        <v>38</v>
      </c>
      <c r="D974" t="s">
        <v>34</v>
      </c>
      <c r="E974" t="s">
        <v>21</v>
      </c>
      <c r="F974">
        <v>244</v>
      </c>
      <c r="G974">
        <v>136</v>
      </c>
      <c r="H974">
        <v>41</v>
      </c>
      <c r="I974">
        <f>Inventory_Data[[#This Row],[Opening_Stock]]+Inventory_Data[[#This Row],[Units_Received]]-Inventory_Data[[#This Row],[Units_Sold]]</f>
        <v>339</v>
      </c>
      <c r="J974">
        <v>0</v>
      </c>
      <c r="K974">
        <v>10</v>
      </c>
      <c r="L974" t="s">
        <v>42</v>
      </c>
      <c r="M974" s="3">
        <v>29.91</v>
      </c>
      <c r="N974" s="3">
        <v>36.590000000000003</v>
      </c>
      <c r="O974" s="10" t="str">
        <f>TEXT(Inventory_Data[[#This Row],[Date]],"mmm")</f>
        <v>Jun</v>
      </c>
    </row>
    <row r="975" spans="1:15" x14ac:dyDescent="0.2">
      <c r="A975" s="21">
        <v>45834</v>
      </c>
      <c r="B975" s="5" t="s">
        <v>37</v>
      </c>
      <c r="C975" t="s">
        <v>38</v>
      </c>
      <c r="D975" t="s">
        <v>34</v>
      </c>
      <c r="E975" t="s">
        <v>35</v>
      </c>
      <c r="F975">
        <v>179</v>
      </c>
      <c r="G975">
        <v>97</v>
      </c>
      <c r="H975">
        <v>80</v>
      </c>
      <c r="I975">
        <f>Inventory_Data[[#This Row],[Opening_Stock]]+Inventory_Data[[#This Row],[Units_Received]]-Inventory_Data[[#This Row],[Units_Sold]]</f>
        <v>196</v>
      </c>
      <c r="J975">
        <v>0</v>
      </c>
      <c r="K975">
        <v>14</v>
      </c>
      <c r="L975" t="s">
        <v>42</v>
      </c>
      <c r="M975" s="3">
        <v>3.32</v>
      </c>
      <c r="N975" s="3">
        <v>4.95</v>
      </c>
      <c r="O975" s="10" t="str">
        <f>TEXT(Inventory_Data[[#This Row],[Date]],"mmm")</f>
        <v>Jun</v>
      </c>
    </row>
    <row r="976" spans="1:15" x14ac:dyDescent="0.2">
      <c r="A976" s="21">
        <v>45835</v>
      </c>
      <c r="B976" s="5" t="s">
        <v>162</v>
      </c>
      <c r="C976" t="s">
        <v>163</v>
      </c>
      <c r="D976" t="s">
        <v>16</v>
      </c>
      <c r="E976" t="s">
        <v>21</v>
      </c>
      <c r="F976">
        <v>128</v>
      </c>
      <c r="G976">
        <v>64</v>
      </c>
      <c r="H976">
        <v>68</v>
      </c>
      <c r="I976">
        <f>Inventory_Data[[#This Row],[Opening_Stock]]+Inventory_Data[[#This Row],[Units_Received]]-Inventory_Data[[#This Row],[Units_Sold]]</f>
        <v>124</v>
      </c>
      <c r="J976">
        <v>0</v>
      </c>
      <c r="K976">
        <v>12</v>
      </c>
      <c r="L976" t="s">
        <v>24</v>
      </c>
      <c r="M976" s="3">
        <v>209.29</v>
      </c>
      <c r="N976" s="3">
        <v>252.5</v>
      </c>
      <c r="O976" s="10" t="str">
        <f>TEXT(Inventory_Data[[#This Row],[Date]],"mmm")</f>
        <v>Jun</v>
      </c>
    </row>
    <row r="977" spans="1:15" x14ac:dyDescent="0.2">
      <c r="A977" s="21">
        <v>45835</v>
      </c>
      <c r="B977" s="5" t="s">
        <v>130</v>
      </c>
      <c r="C977" t="s">
        <v>131</v>
      </c>
      <c r="D977" t="s">
        <v>48</v>
      </c>
      <c r="E977" t="s">
        <v>21</v>
      </c>
      <c r="F977">
        <v>146</v>
      </c>
      <c r="G977">
        <v>91</v>
      </c>
      <c r="H977">
        <v>74</v>
      </c>
      <c r="I977">
        <f>Inventory_Data[[#This Row],[Opening_Stock]]+Inventory_Data[[#This Row],[Units_Received]]-Inventory_Data[[#This Row],[Units_Sold]]</f>
        <v>163</v>
      </c>
      <c r="J977">
        <v>0</v>
      </c>
      <c r="K977">
        <v>14</v>
      </c>
      <c r="L977" t="s">
        <v>63</v>
      </c>
      <c r="M977" s="3">
        <v>31.42</v>
      </c>
      <c r="N977" s="3">
        <v>39.54</v>
      </c>
      <c r="O977" s="10" t="str">
        <f>TEXT(Inventory_Data[[#This Row],[Date]],"mmm")</f>
        <v>Jun</v>
      </c>
    </row>
    <row r="978" spans="1:15" x14ac:dyDescent="0.2">
      <c r="A978" s="21">
        <v>45835</v>
      </c>
      <c r="B978" s="5" t="s">
        <v>154</v>
      </c>
      <c r="C978" t="s">
        <v>155</v>
      </c>
      <c r="D978" t="s">
        <v>48</v>
      </c>
      <c r="E978" t="s">
        <v>28</v>
      </c>
      <c r="F978">
        <v>98</v>
      </c>
      <c r="G978">
        <v>116</v>
      </c>
      <c r="H978">
        <v>28</v>
      </c>
      <c r="I978">
        <f>Inventory_Data[[#This Row],[Opening_Stock]]+Inventory_Data[[#This Row],[Units_Received]]-Inventory_Data[[#This Row],[Units_Sold]]</f>
        <v>186</v>
      </c>
      <c r="J978">
        <v>0</v>
      </c>
      <c r="K978">
        <v>6</v>
      </c>
      <c r="L978" t="s">
        <v>49</v>
      </c>
      <c r="M978" s="3">
        <v>67.05</v>
      </c>
      <c r="N978" s="3">
        <v>95.24</v>
      </c>
      <c r="O978" s="10" t="str">
        <f>TEXT(Inventory_Data[[#This Row],[Date]],"mmm")</f>
        <v>Jun</v>
      </c>
    </row>
    <row r="979" spans="1:15" x14ac:dyDescent="0.2">
      <c r="A979" s="21">
        <v>45835</v>
      </c>
      <c r="B979" s="5" t="s">
        <v>92</v>
      </c>
      <c r="C979" t="s">
        <v>93</v>
      </c>
      <c r="D979" t="s">
        <v>27</v>
      </c>
      <c r="E979" t="s">
        <v>17</v>
      </c>
      <c r="F979">
        <v>472</v>
      </c>
      <c r="G979">
        <v>230</v>
      </c>
      <c r="H979">
        <v>98</v>
      </c>
      <c r="I979">
        <f>Inventory_Data[[#This Row],[Opening_Stock]]+Inventory_Data[[#This Row],[Units_Received]]-Inventory_Data[[#This Row],[Units_Sold]]</f>
        <v>604</v>
      </c>
      <c r="J979">
        <v>0</v>
      </c>
      <c r="K979">
        <v>5</v>
      </c>
      <c r="L979" t="s">
        <v>66</v>
      </c>
      <c r="M979" s="3">
        <v>23.36</v>
      </c>
      <c r="N979" s="3">
        <v>32.380000000000003</v>
      </c>
      <c r="O979" s="10" t="str">
        <f>TEXT(Inventory_Data[[#This Row],[Date]],"mmm")</f>
        <v>Jun</v>
      </c>
    </row>
    <row r="980" spans="1:15" x14ac:dyDescent="0.2">
      <c r="A980" s="21">
        <v>45835</v>
      </c>
      <c r="B980" s="5" t="s">
        <v>188</v>
      </c>
      <c r="C980" t="s">
        <v>189</v>
      </c>
      <c r="D980" t="s">
        <v>27</v>
      </c>
      <c r="E980" t="s">
        <v>28</v>
      </c>
      <c r="F980">
        <v>182</v>
      </c>
      <c r="G980">
        <v>179</v>
      </c>
      <c r="H980">
        <v>26</v>
      </c>
      <c r="I980">
        <f>Inventory_Data[[#This Row],[Opening_Stock]]+Inventory_Data[[#This Row],[Units_Received]]-Inventory_Data[[#This Row],[Units_Sold]]</f>
        <v>335</v>
      </c>
      <c r="J980">
        <v>0</v>
      </c>
      <c r="K980">
        <v>3</v>
      </c>
      <c r="L980" t="s">
        <v>66</v>
      </c>
      <c r="M980" s="3">
        <v>15.09</v>
      </c>
      <c r="N980" s="3">
        <v>22.91</v>
      </c>
      <c r="O980" s="10" t="str">
        <f>TEXT(Inventory_Data[[#This Row],[Date]],"mmm")</f>
        <v>Jun</v>
      </c>
    </row>
    <row r="981" spans="1:15" x14ac:dyDescent="0.2">
      <c r="A981" s="21">
        <v>45835</v>
      </c>
      <c r="B981" s="5" t="s">
        <v>142</v>
      </c>
      <c r="C981" t="s">
        <v>143</v>
      </c>
      <c r="D981" t="s">
        <v>52</v>
      </c>
      <c r="E981" t="s">
        <v>35</v>
      </c>
      <c r="F981">
        <v>15</v>
      </c>
      <c r="G981">
        <v>25</v>
      </c>
      <c r="H981">
        <v>14</v>
      </c>
      <c r="I981">
        <f>Inventory_Data[[#This Row],[Opening_Stock]]+Inventory_Data[[#This Row],[Units_Received]]-Inventory_Data[[#This Row],[Units_Sold]]</f>
        <v>26</v>
      </c>
      <c r="J981">
        <v>0</v>
      </c>
      <c r="K981">
        <v>13</v>
      </c>
      <c r="L981" t="s">
        <v>56</v>
      </c>
      <c r="M981" s="3">
        <v>148.19</v>
      </c>
      <c r="N981" s="3">
        <v>224.66</v>
      </c>
      <c r="O981" s="10" t="str">
        <f>TEXT(Inventory_Data[[#This Row],[Date]],"mmm")</f>
        <v>Jun</v>
      </c>
    </row>
    <row r="982" spans="1:15" x14ac:dyDescent="0.2">
      <c r="A982" s="21">
        <v>45836</v>
      </c>
      <c r="B982" s="5" t="s">
        <v>162</v>
      </c>
      <c r="C982" t="s">
        <v>163</v>
      </c>
      <c r="D982" t="s">
        <v>16</v>
      </c>
      <c r="E982" t="s">
        <v>28</v>
      </c>
      <c r="F982">
        <v>151</v>
      </c>
      <c r="G982">
        <v>72</v>
      </c>
      <c r="H982">
        <v>72</v>
      </c>
      <c r="I982">
        <f>Inventory_Data[[#This Row],[Opening_Stock]]+Inventory_Data[[#This Row],[Units_Received]]-Inventory_Data[[#This Row],[Units_Sold]]</f>
        <v>151</v>
      </c>
      <c r="J982">
        <v>0</v>
      </c>
      <c r="K982">
        <v>2</v>
      </c>
      <c r="L982" t="s">
        <v>18</v>
      </c>
      <c r="M982" s="3">
        <v>164.32</v>
      </c>
      <c r="N982" s="3">
        <v>211.7</v>
      </c>
      <c r="O982" s="10" t="str">
        <f>TEXT(Inventory_Data[[#This Row],[Date]],"mmm")</f>
        <v>Jun</v>
      </c>
    </row>
    <row r="983" spans="1:15" x14ac:dyDescent="0.2">
      <c r="A983" s="21">
        <v>45836</v>
      </c>
      <c r="B983" s="5" t="s">
        <v>96</v>
      </c>
      <c r="C983" t="s">
        <v>97</v>
      </c>
      <c r="D983" t="s">
        <v>48</v>
      </c>
      <c r="E983" t="s">
        <v>17</v>
      </c>
      <c r="F983">
        <v>253</v>
      </c>
      <c r="G983">
        <v>139</v>
      </c>
      <c r="H983">
        <v>88</v>
      </c>
      <c r="I983">
        <f>Inventory_Data[[#This Row],[Opening_Stock]]+Inventory_Data[[#This Row],[Units_Received]]-Inventory_Data[[#This Row],[Units_Sold]]</f>
        <v>304</v>
      </c>
      <c r="J983">
        <v>0</v>
      </c>
      <c r="K983">
        <v>7</v>
      </c>
      <c r="L983" t="s">
        <v>77</v>
      </c>
      <c r="M983" s="3">
        <v>21.25</v>
      </c>
      <c r="N983" s="3">
        <v>26.61</v>
      </c>
      <c r="O983" s="10" t="str">
        <f>TEXT(Inventory_Data[[#This Row],[Date]],"mmm")</f>
        <v>Jun</v>
      </c>
    </row>
    <row r="984" spans="1:15" x14ac:dyDescent="0.2">
      <c r="A984" s="21">
        <v>45836</v>
      </c>
      <c r="B984" s="5" t="s">
        <v>164</v>
      </c>
      <c r="C984" t="s">
        <v>165</v>
      </c>
      <c r="D984" t="s">
        <v>48</v>
      </c>
      <c r="E984" t="s">
        <v>17</v>
      </c>
      <c r="F984">
        <v>265</v>
      </c>
      <c r="G984">
        <v>83</v>
      </c>
      <c r="H984">
        <v>57</v>
      </c>
      <c r="I984">
        <f>Inventory_Data[[#This Row],[Opening_Stock]]+Inventory_Data[[#This Row],[Units_Received]]-Inventory_Data[[#This Row],[Units_Sold]]</f>
        <v>291</v>
      </c>
      <c r="J984">
        <v>0</v>
      </c>
      <c r="K984">
        <v>11</v>
      </c>
      <c r="L984" t="s">
        <v>49</v>
      </c>
      <c r="M984" s="3">
        <v>79.75</v>
      </c>
      <c r="N984" s="3">
        <v>101.33</v>
      </c>
      <c r="O984" s="10" t="str">
        <f>TEXT(Inventory_Data[[#This Row],[Date]],"mmm")</f>
        <v>Jun</v>
      </c>
    </row>
    <row r="985" spans="1:15" x14ac:dyDescent="0.2">
      <c r="A985" s="21">
        <v>45836</v>
      </c>
      <c r="B985" s="5" t="s">
        <v>154</v>
      </c>
      <c r="C985" t="s">
        <v>155</v>
      </c>
      <c r="D985" t="s">
        <v>48</v>
      </c>
      <c r="E985" t="s">
        <v>28</v>
      </c>
      <c r="F985">
        <v>95</v>
      </c>
      <c r="G985">
        <v>82</v>
      </c>
      <c r="H985">
        <v>24</v>
      </c>
      <c r="I985">
        <f>Inventory_Data[[#This Row],[Opening_Stock]]+Inventory_Data[[#This Row],[Units_Received]]-Inventory_Data[[#This Row],[Units_Sold]]</f>
        <v>153</v>
      </c>
      <c r="J985">
        <v>0</v>
      </c>
      <c r="K985">
        <v>14</v>
      </c>
      <c r="L985" t="s">
        <v>63</v>
      </c>
      <c r="M985" s="3">
        <v>81.680000000000007</v>
      </c>
      <c r="N985" s="3">
        <v>123.21</v>
      </c>
      <c r="O985" s="10" t="str">
        <f>TEXT(Inventory_Data[[#This Row],[Date]],"mmm")</f>
        <v>Jun</v>
      </c>
    </row>
    <row r="986" spans="1:15" x14ac:dyDescent="0.2">
      <c r="A986" s="21">
        <v>45836</v>
      </c>
      <c r="B986" s="5" t="s">
        <v>57</v>
      </c>
      <c r="C986" t="s">
        <v>58</v>
      </c>
      <c r="D986" t="s">
        <v>52</v>
      </c>
      <c r="E986" t="s">
        <v>21</v>
      </c>
      <c r="F986">
        <v>46</v>
      </c>
      <c r="G986">
        <v>8</v>
      </c>
      <c r="H986">
        <v>19</v>
      </c>
      <c r="I986">
        <f>Inventory_Data[[#This Row],[Opening_Stock]]+Inventory_Data[[#This Row],[Units_Received]]-Inventory_Data[[#This Row],[Units_Sold]]</f>
        <v>35</v>
      </c>
      <c r="J986">
        <v>0</v>
      </c>
      <c r="K986">
        <v>7</v>
      </c>
      <c r="L986" t="s">
        <v>83</v>
      </c>
      <c r="M986" s="3">
        <v>163.99</v>
      </c>
      <c r="N986" s="3">
        <v>227.69</v>
      </c>
      <c r="O986" s="10" t="str">
        <f>TEXT(Inventory_Data[[#This Row],[Date]],"mmm")</f>
        <v>Jun</v>
      </c>
    </row>
    <row r="987" spans="1:15" x14ac:dyDescent="0.2">
      <c r="A987" s="21">
        <v>45836</v>
      </c>
      <c r="B987" s="5" t="s">
        <v>180</v>
      </c>
      <c r="C987" t="s">
        <v>181</v>
      </c>
      <c r="D987" t="s">
        <v>34</v>
      </c>
      <c r="E987" t="s">
        <v>35</v>
      </c>
      <c r="F987">
        <v>373</v>
      </c>
      <c r="G987">
        <v>123</v>
      </c>
      <c r="H987">
        <v>55</v>
      </c>
      <c r="I987">
        <f>Inventory_Data[[#This Row],[Opening_Stock]]+Inventory_Data[[#This Row],[Units_Received]]-Inventory_Data[[#This Row],[Units_Sold]]</f>
        <v>441</v>
      </c>
      <c r="J987">
        <v>0</v>
      </c>
      <c r="K987">
        <v>10</v>
      </c>
      <c r="L987" t="s">
        <v>36</v>
      </c>
      <c r="M987" s="3">
        <v>21.44</v>
      </c>
      <c r="N987" s="3">
        <v>32.42</v>
      </c>
      <c r="O987" s="10" t="str">
        <f>TEXT(Inventory_Data[[#This Row],[Date]],"mmm")</f>
        <v>Jun</v>
      </c>
    </row>
    <row r="988" spans="1:15" x14ac:dyDescent="0.2">
      <c r="A988" s="21">
        <v>45837</v>
      </c>
      <c r="B988" s="5" t="s">
        <v>112</v>
      </c>
      <c r="C988" t="s">
        <v>113</v>
      </c>
      <c r="D988" t="s">
        <v>16</v>
      </c>
      <c r="E988" t="s">
        <v>35</v>
      </c>
      <c r="F988">
        <v>44</v>
      </c>
      <c r="G988">
        <v>10</v>
      </c>
      <c r="H988">
        <v>36</v>
      </c>
      <c r="I988">
        <f>Inventory_Data[[#This Row],[Opening_Stock]]+Inventory_Data[[#This Row],[Units_Received]]-Inventory_Data[[#This Row],[Units_Sold]]</f>
        <v>18</v>
      </c>
      <c r="J988">
        <v>0</v>
      </c>
      <c r="K988">
        <v>11</v>
      </c>
      <c r="L988" t="s">
        <v>45</v>
      </c>
      <c r="M988" s="3">
        <v>215.54</v>
      </c>
      <c r="N988" s="3">
        <v>261.54000000000002</v>
      </c>
      <c r="O988" s="10" t="str">
        <f>TEXT(Inventory_Data[[#This Row],[Date]],"mmm")</f>
        <v>Jun</v>
      </c>
    </row>
    <row r="989" spans="1:15" x14ac:dyDescent="0.2">
      <c r="A989" s="21">
        <v>45837</v>
      </c>
      <c r="B989" s="5" t="s">
        <v>90</v>
      </c>
      <c r="C989" t="s">
        <v>91</v>
      </c>
      <c r="D989" t="s">
        <v>48</v>
      </c>
      <c r="E989" t="s">
        <v>35</v>
      </c>
      <c r="F989">
        <v>244</v>
      </c>
      <c r="G989">
        <v>128</v>
      </c>
      <c r="H989">
        <v>48</v>
      </c>
      <c r="I989">
        <f>Inventory_Data[[#This Row],[Opening_Stock]]+Inventory_Data[[#This Row],[Units_Received]]-Inventory_Data[[#This Row],[Units_Sold]]</f>
        <v>324</v>
      </c>
      <c r="J989">
        <v>0</v>
      </c>
      <c r="K989">
        <v>10</v>
      </c>
      <c r="L989" t="s">
        <v>63</v>
      </c>
      <c r="M989" s="3">
        <v>16.14</v>
      </c>
      <c r="N989" s="3">
        <v>19.149999999999999</v>
      </c>
      <c r="O989" s="10" t="str">
        <f>TEXT(Inventory_Data[[#This Row],[Date]],"mmm")</f>
        <v>Jun</v>
      </c>
    </row>
    <row r="990" spans="1:15" x14ac:dyDescent="0.2">
      <c r="A990" s="21">
        <v>45837</v>
      </c>
      <c r="B990" s="5" t="s">
        <v>30</v>
      </c>
      <c r="C990" t="s">
        <v>31</v>
      </c>
      <c r="D990" t="s">
        <v>27</v>
      </c>
      <c r="E990" t="s">
        <v>17</v>
      </c>
      <c r="F990">
        <v>163</v>
      </c>
      <c r="G990">
        <v>237</v>
      </c>
      <c r="H990">
        <v>174</v>
      </c>
      <c r="I990">
        <f>Inventory_Data[[#This Row],[Opening_Stock]]+Inventory_Data[[#This Row],[Units_Received]]-Inventory_Data[[#This Row],[Units_Sold]]</f>
        <v>226</v>
      </c>
      <c r="J990">
        <v>0</v>
      </c>
      <c r="K990">
        <v>5</v>
      </c>
      <c r="L990" t="s">
        <v>66</v>
      </c>
      <c r="M990" s="3">
        <v>22.76</v>
      </c>
      <c r="N990" s="3">
        <v>26.78</v>
      </c>
      <c r="O990" s="10" t="str">
        <f>TEXT(Inventory_Data[[#This Row],[Date]],"mmm")</f>
        <v>Jun</v>
      </c>
    </row>
    <row r="991" spans="1:15" x14ac:dyDescent="0.2">
      <c r="A991" s="21">
        <v>45837</v>
      </c>
      <c r="B991" s="5" t="s">
        <v>182</v>
      </c>
      <c r="C991" t="s">
        <v>183</v>
      </c>
      <c r="D991" t="s">
        <v>52</v>
      </c>
      <c r="E991" t="s">
        <v>28</v>
      </c>
      <c r="F991">
        <v>67</v>
      </c>
      <c r="G991">
        <v>8</v>
      </c>
      <c r="H991">
        <v>15</v>
      </c>
      <c r="I991">
        <f>Inventory_Data[[#This Row],[Opening_Stock]]+Inventory_Data[[#This Row],[Units_Received]]-Inventory_Data[[#This Row],[Units_Sold]]</f>
        <v>60</v>
      </c>
      <c r="J991">
        <v>0</v>
      </c>
      <c r="K991">
        <v>4</v>
      </c>
      <c r="L991" t="s">
        <v>56</v>
      </c>
      <c r="M991" s="3">
        <v>284.52999999999997</v>
      </c>
      <c r="N991" s="3">
        <v>339.39</v>
      </c>
      <c r="O991" s="10" t="str">
        <f>TEXT(Inventory_Data[[#This Row],[Date]],"mmm")</f>
        <v>Jun</v>
      </c>
    </row>
    <row r="992" spans="1:15" x14ac:dyDescent="0.2">
      <c r="A992" s="21">
        <v>45837</v>
      </c>
      <c r="B992" s="5" t="s">
        <v>174</v>
      </c>
      <c r="C992" t="s">
        <v>175</v>
      </c>
      <c r="D992" t="s">
        <v>52</v>
      </c>
      <c r="E992" t="s">
        <v>21</v>
      </c>
      <c r="F992">
        <v>38</v>
      </c>
      <c r="G992">
        <v>8</v>
      </c>
      <c r="H992">
        <v>8</v>
      </c>
      <c r="I992">
        <f>Inventory_Data[[#This Row],[Opening_Stock]]+Inventory_Data[[#This Row],[Units_Received]]-Inventory_Data[[#This Row],[Units_Sold]]</f>
        <v>38</v>
      </c>
      <c r="J992">
        <v>0</v>
      </c>
      <c r="K992">
        <v>14</v>
      </c>
      <c r="L992" t="s">
        <v>53</v>
      </c>
      <c r="M992" s="3">
        <v>293.26</v>
      </c>
      <c r="N992" s="3">
        <v>436.36</v>
      </c>
      <c r="O992" s="10" t="str">
        <f>TEXT(Inventory_Data[[#This Row],[Date]],"mmm")</f>
        <v>Jun</v>
      </c>
    </row>
    <row r="993" spans="1:15" x14ac:dyDescent="0.2">
      <c r="A993" s="21">
        <v>45837</v>
      </c>
      <c r="B993" s="5" t="s">
        <v>118</v>
      </c>
      <c r="C993" t="s">
        <v>119</v>
      </c>
      <c r="D993" t="s">
        <v>34</v>
      </c>
      <c r="E993" t="s">
        <v>21</v>
      </c>
      <c r="F993">
        <v>249</v>
      </c>
      <c r="G993">
        <v>204</v>
      </c>
      <c r="H993">
        <v>31</v>
      </c>
      <c r="I993">
        <f>Inventory_Data[[#This Row],[Opening_Stock]]+Inventory_Data[[#This Row],[Units_Received]]-Inventory_Data[[#This Row],[Units_Sold]]</f>
        <v>422</v>
      </c>
      <c r="J993">
        <v>0</v>
      </c>
      <c r="K993">
        <v>2</v>
      </c>
      <c r="L993" t="s">
        <v>42</v>
      </c>
      <c r="M993" s="3">
        <v>17.16</v>
      </c>
      <c r="N993" s="3">
        <v>20.81</v>
      </c>
      <c r="O993" s="10" t="str">
        <f>TEXT(Inventory_Data[[#This Row],[Date]],"mmm")</f>
        <v>Jun</v>
      </c>
    </row>
    <row r="994" spans="1:15" x14ac:dyDescent="0.2">
      <c r="A994" s="21">
        <v>45838</v>
      </c>
      <c r="B994" s="5" t="s">
        <v>184</v>
      </c>
      <c r="C994" t="s">
        <v>185</v>
      </c>
      <c r="D994" t="s">
        <v>16</v>
      </c>
      <c r="E994" t="s">
        <v>28</v>
      </c>
      <c r="F994">
        <v>29</v>
      </c>
      <c r="G994">
        <v>62</v>
      </c>
      <c r="H994">
        <v>63</v>
      </c>
      <c r="I994">
        <f>Inventory_Data[[#This Row],[Opening_Stock]]+Inventory_Data[[#This Row],[Units_Received]]-Inventory_Data[[#This Row],[Units_Sold]]</f>
        <v>28</v>
      </c>
      <c r="J994">
        <v>0</v>
      </c>
      <c r="K994">
        <v>7</v>
      </c>
      <c r="L994" t="s">
        <v>18</v>
      </c>
      <c r="M994" s="3">
        <v>207.51</v>
      </c>
      <c r="N994" s="3">
        <v>239.19</v>
      </c>
      <c r="O994" s="10" t="str">
        <f>TEXT(Inventory_Data[[#This Row],[Date]],"mmm")</f>
        <v>Jun</v>
      </c>
    </row>
    <row r="995" spans="1:15" x14ac:dyDescent="0.2">
      <c r="A995" s="21">
        <v>45838</v>
      </c>
      <c r="B995" s="5" t="s">
        <v>108</v>
      </c>
      <c r="C995" t="s">
        <v>109</v>
      </c>
      <c r="D995" t="s">
        <v>16</v>
      </c>
      <c r="E995" t="s">
        <v>21</v>
      </c>
      <c r="F995">
        <v>55</v>
      </c>
      <c r="G995">
        <v>27</v>
      </c>
      <c r="H995">
        <v>57</v>
      </c>
      <c r="I995">
        <f>Inventory_Data[[#This Row],[Opening_Stock]]+Inventory_Data[[#This Row],[Units_Received]]-Inventory_Data[[#This Row],[Units_Sold]]</f>
        <v>25</v>
      </c>
      <c r="J995">
        <v>0</v>
      </c>
      <c r="K995">
        <v>8</v>
      </c>
      <c r="L995" t="s">
        <v>24</v>
      </c>
      <c r="M995" s="3">
        <v>154.09</v>
      </c>
      <c r="N995" s="3">
        <v>197.12</v>
      </c>
      <c r="O995" s="10" t="str">
        <f>TEXT(Inventory_Data[[#This Row],[Date]],"mmm")</f>
        <v>Jun</v>
      </c>
    </row>
    <row r="996" spans="1:15" x14ac:dyDescent="0.2">
      <c r="A996" s="21">
        <v>45838</v>
      </c>
      <c r="B996" s="5" t="s">
        <v>140</v>
      </c>
      <c r="C996" t="s">
        <v>141</v>
      </c>
      <c r="D996" t="s">
        <v>52</v>
      </c>
      <c r="E996" t="s">
        <v>28</v>
      </c>
      <c r="F996">
        <v>53</v>
      </c>
      <c r="G996">
        <v>3</v>
      </c>
      <c r="H996">
        <v>5</v>
      </c>
      <c r="I996">
        <f>Inventory_Data[[#This Row],[Opening_Stock]]+Inventory_Data[[#This Row],[Units_Received]]-Inventory_Data[[#This Row],[Units_Sold]]</f>
        <v>51</v>
      </c>
      <c r="J996">
        <v>0</v>
      </c>
      <c r="K996">
        <v>10</v>
      </c>
      <c r="L996" t="s">
        <v>53</v>
      </c>
      <c r="M996" s="3">
        <v>333.45</v>
      </c>
      <c r="N996" s="3">
        <v>393.91</v>
      </c>
      <c r="O996" s="10" t="str">
        <f>TEXT(Inventory_Data[[#This Row],[Date]],"mmm")</f>
        <v>Jun</v>
      </c>
    </row>
    <row r="997" spans="1:15" x14ac:dyDescent="0.2">
      <c r="A997" s="21">
        <v>45838</v>
      </c>
      <c r="B997" s="5" t="s">
        <v>32</v>
      </c>
      <c r="C997" t="s">
        <v>33</v>
      </c>
      <c r="D997" t="s">
        <v>34</v>
      </c>
      <c r="E997" t="s">
        <v>35</v>
      </c>
      <c r="F997">
        <v>288</v>
      </c>
      <c r="G997">
        <v>119</v>
      </c>
      <c r="H997">
        <v>124</v>
      </c>
      <c r="I997">
        <f>Inventory_Data[[#This Row],[Opening_Stock]]+Inventory_Data[[#This Row],[Units_Received]]-Inventory_Data[[#This Row],[Units_Sold]]</f>
        <v>283</v>
      </c>
      <c r="J997">
        <v>0</v>
      </c>
      <c r="K997">
        <v>2</v>
      </c>
      <c r="L997" t="s">
        <v>39</v>
      </c>
      <c r="M997" s="3">
        <v>4.68</v>
      </c>
      <c r="N997" s="3">
        <v>5.49</v>
      </c>
      <c r="O997" s="10" t="str">
        <f>TEXT(Inventory_Data[[#This Row],[Date]],"mmm")</f>
        <v>Jun</v>
      </c>
    </row>
    <row r="998" spans="1:15" x14ac:dyDescent="0.2">
      <c r="A998" s="21">
        <v>45838</v>
      </c>
      <c r="B998" s="5" t="s">
        <v>168</v>
      </c>
      <c r="C998" t="s">
        <v>169</v>
      </c>
      <c r="D998" t="s">
        <v>34</v>
      </c>
      <c r="E998" t="s">
        <v>21</v>
      </c>
      <c r="F998">
        <v>94</v>
      </c>
      <c r="G998">
        <v>174</v>
      </c>
      <c r="H998">
        <v>113</v>
      </c>
      <c r="I998">
        <f>Inventory_Data[[#This Row],[Opening_Stock]]+Inventory_Data[[#This Row],[Units_Received]]-Inventory_Data[[#This Row],[Units_Sold]]</f>
        <v>155</v>
      </c>
      <c r="J998">
        <v>0</v>
      </c>
      <c r="K998">
        <v>5</v>
      </c>
      <c r="L998" t="s">
        <v>39</v>
      </c>
      <c r="M998" s="3">
        <v>24.5</v>
      </c>
      <c r="N998" s="3">
        <v>36.29</v>
      </c>
      <c r="O998" s="10" t="str">
        <f>TEXT(Inventory_Data[[#This Row],[Date]],"mmm")</f>
        <v>Jun</v>
      </c>
    </row>
    <row r="999" spans="1:15" x14ac:dyDescent="0.2">
      <c r="A999" s="21">
        <v>45839</v>
      </c>
      <c r="B999" s="5" t="s">
        <v>192</v>
      </c>
      <c r="C999" t="s">
        <v>193</v>
      </c>
      <c r="D999" t="s">
        <v>48</v>
      </c>
      <c r="E999" t="s">
        <v>17</v>
      </c>
      <c r="F999">
        <v>99</v>
      </c>
      <c r="G999">
        <v>20</v>
      </c>
      <c r="H999">
        <v>74</v>
      </c>
      <c r="I999">
        <f>Inventory_Data[[#This Row],[Opening_Stock]]+Inventory_Data[[#This Row],[Units_Received]]-Inventory_Data[[#This Row],[Units_Sold]]</f>
        <v>45</v>
      </c>
      <c r="J999">
        <v>0</v>
      </c>
      <c r="K999">
        <v>2</v>
      </c>
      <c r="L999" t="s">
        <v>77</v>
      </c>
      <c r="M999" s="3">
        <v>54.77</v>
      </c>
      <c r="N999" s="3">
        <v>64.16</v>
      </c>
      <c r="O999" s="10" t="str">
        <f>TEXT(Inventory_Data[[#This Row],[Date]],"mmm")</f>
        <v>Jul</v>
      </c>
    </row>
    <row r="1000" spans="1:15" x14ac:dyDescent="0.2">
      <c r="A1000" s="21">
        <v>45839</v>
      </c>
      <c r="B1000" s="5" t="s">
        <v>156</v>
      </c>
      <c r="C1000" t="s">
        <v>157</v>
      </c>
      <c r="D1000" t="s">
        <v>27</v>
      </c>
      <c r="E1000" t="s">
        <v>28</v>
      </c>
      <c r="F1000">
        <v>369</v>
      </c>
      <c r="G1000">
        <v>160</v>
      </c>
      <c r="H1000">
        <v>182</v>
      </c>
      <c r="I1000">
        <f>Inventory_Data[[#This Row],[Opening_Stock]]+Inventory_Data[[#This Row],[Units_Received]]-Inventory_Data[[#This Row],[Units_Sold]]</f>
        <v>347</v>
      </c>
      <c r="J1000">
        <v>0</v>
      </c>
      <c r="K1000">
        <v>7</v>
      </c>
      <c r="L1000" t="s">
        <v>80</v>
      </c>
      <c r="M1000" s="3">
        <v>19.34</v>
      </c>
      <c r="N1000" s="3">
        <v>23.94</v>
      </c>
      <c r="O1000" s="10" t="str">
        <f>TEXT(Inventory_Data[[#This Row],[Date]],"mmm")</f>
        <v>Jul</v>
      </c>
    </row>
    <row r="1001" spans="1:15" x14ac:dyDescent="0.2">
      <c r="A1001" s="21">
        <v>45839</v>
      </c>
      <c r="B1001" s="5" t="s">
        <v>78</v>
      </c>
      <c r="C1001" t="s">
        <v>79</v>
      </c>
      <c r="D1001" t="s">
        <v>27</v>
      </c>
      <c r="E1001" t="s">
        <v>35</v>
      </c>
      <c r="F1001">
        <v>297</v>
      </c>
      <c r="G1001">
        <v>233</v>
      </c>
      <c r="H1001">
        <v>128</v>
      </c>
      <c r="I1001">
        <f>Inventory_Data[[#This Row],[Opening_Stock]]+Inventory_Data[[#This Row],[Units_Received]]-Inventory_Data[[#This Row],[Units_Sold]]</f>
        <v>402</v>
      </c>
      <c r="J1001">
        <v>0</v>
      </c>
      <c r="K1001">
        <v>5</v>
      </c>
      <c r="L1001" t="s">
        <v>80</v>
      </c>
      <c r="M1001" s="3">
        <v>24.67</v>
      </c>
      <c r="N1001" s="3">
        <v>33.840000000000003</v>
      </c>
      <c r="O1001" s="10" t="str">
        <f>TEXT(Inventory_Data[[#This Row],[Date]],"mmm")</f>
        <v>Jul</v>
      </c>
    </row>
    <row r="1002" spans="1:15" x14ac:dyDescent="0.2">
      <c r="A1002" s="21">
        <v>45839</v>
      </c>
      <c r="B1002" s="5" t="s">
        <v>57</v>
      </c>
      <c r="C1002" t="s">
        <v>58</v>
      </c>
      <c r="D1002" t="s">
        <v>52</v>
      </c>
      <c r="E1002" t="s">
        <v>21</v>
      </c>
      <c r="F1002">
        <v>54</v>
      </c>
      <c r="G1002">
        <v>7</v>
      </c>
      <c r="H1002">
        <v>6</v>
      </c>
      <c r="I1002">
        <f>Inventory_Data[[#This Row],[Opening_Stock]]+Inventory_Data[[#This Row],[Units_Received]]-Inventory_Data[[#This Row],[Units_Sold]]</f>
        <v>55</v>
      </c>
      <c r="J1002">
        <v>0</v>
      </c>
      <c r="K1002">
        <v>10</v>
      </c>
      <c r="L1002" t="s">
        <v>83</v>
      </c>
      <c r="M1002" s="3">
        <v>51.51</v>
      </c>
      <c r="N1002" s="3">
        <v>61.05</v>
      </c>
      <c r="O1002" s="10" t="str">
        <f>TEXT(Inventory_Data[[#This Row],[Date]],"mmm")</f>
        <v>Jul</v>
      </c>
    </row>
    <row r="1003" spans="1:15" x14ac:dyDescent="0.2">
      <c r="A1003" s="21">
        <v>45840</v>
      </c>
      <c r="B1003" s="5" t="s">
        <v>73</v>
      </c>
      <c r="C1003" t="s">
        <v>74</v>
      </c>
      <c r="D1003" t="s">
        <v>16</v>
      </c>
      <c r="E1003" t="s">
        <v>28</v>
      </c>
      <c r="F1003">
        <v>31</v>
      </c>
      <c r="G1003">
        <v>22</v>
      </c>
      <c r="H1003">
        <v>53</v>
      </c>
      <c r="I1003">
        <f>Inventory_Data[[#This Row],[Opening_Stock]]+Inventory_Data[[#This Row],[Units_Received]]-Inventory_Data[[#This Row],[Units_Sold]]</f>
        <v>0</v>
      </c>
      <c r="J1003">
        <v>1</v>
      </c>
      <c r="K1003">
        <v>2</v>
      </c>
      <c r="L1003" t="s">
        <v>18</v>
      </c>
      <c r="M1003" s="3">
        <v>96.34</v>
      </c>
      <c r="N1003" s="3">
        <v>127.41</v>
      </c>
      <c r="O1003" s="10" t="str">
        <f>TEXT(Inventory_Data[[#This Row],[Date]],"mmm")</f>
        <v>Jul</v>
      </c>
    </row>
    <row r="1004" spans="1:15" x14ac:dyDescent="0.2">
      <c r="A1004" s="21">
        <v>45840</v>
      </c>
      <c r="B1004" s="5" t="s">
        <v>178</v>
      </c>
      <c r="C1004" t="s">
        <v>179</v>
      </c>
      <c r="D1004" t="s">
        <v>16</v>
      </c>
      <c r="E1004" t="s">
        <v>28</v>
      </c>
      <c r="F1004">
        <v>149</v>
      </c>
      <c r="G1004">
        <v>40</v>
      </c>
      <c r="H1004">
        <v>34</v>
      </c>
      <c r="I1004">
        <f>Inventory_Data[[#This Row],[Opening_Stock]]+Inventory_Data[[#This Row],[Units_Received]]-Inventory_Data[[#This Row],[Units_Sold]]</f>
        <v>155</v>
      </c>
      <c r="J1004">
        <v>0</v>
      </c>
      <c r="K1004">
        <v>13</v>
      </c>
      <c r="L1004" t="s">
        <v>18</v>
      </c>
      <c r="M1004" s="3">
        <v>185.6</v>
      </c>
      <c r="N1004" s="3">
        <v>259.72000000000003</v>
      </c>
      <c r="O1004" s="10" t="str">
        <f>TEXT(Inventory_Data[[#This Row],[Date]],"mmm")</f>
        <v>Jul</v>
      </c>
    </row>
    <row r="1005" spans="1:15" x14ac:dyDescent="0.2">
      <c r="A1005" s="21">
        <v>45840</v>
      </c>
      <c r="B1005" s="5" t="s">
        <v>86</v>
      </c>
      <c r="C1005" t="s">
        <v>87</v>
      </c>
      <c r="D1005" t="s">
        <v>48</v>
      </c>
      <c r="E1005" t="s">
        <v>21</v>
      </c>
      <c r="F1005">
        <v>113</v>
      </c>
      <c r="G1005">
        <v>29</v>
      </c>
      <c r="H1005">
        <v>132</v>
      </c>
      <c r="I1005">
        <f>Inventory_Data[[#This Row],[Opening_Stock]]+Inventory_Data[[#This Row],[Units_Received]]-Inventory_Data[[#This Row],[Units_Sold]]</f>
        <v>10</v>
      </c>
      <c r="J1005">
        <v>0</v>
      </c>
      <c r="K1005">
        <v>9</v>
      </c>
      <c r="L1005" t="s">
        <v>49</v>
      </c>
      <c r="M1005" s="3">
        <v>40.36</v>
      </c>
      <c r="N1005" s="3">
        <v>52.43</v>
      </c>
      <c r="O1005" s="10" t="str">
        <f>TEXT(Inventory_Data[[#This Row],[Date]],"mmm")</f>
        <v>Jul</v>
      </c>
    </row>
    <row r="1006" spans="1:15" x14ac:dyDescent="0.2">
      <c r="A1006" s="21">
        <v>45840</v>
      </c>
      <c r="B1006" s="5" t="s">
        <v>98</v>
      </c>
      <c r="C1006" t="s">
        <v>99</v>
      </c>
      <c r="D1006" t="s">
        <v>27</v>
      </c>
      <c r="E1006" t="s">
        <v>35</v>
      </c>
      <c r="F1006">
        <v>285</v>
      </c>
      <c r="G1006">
        <v>237</v>
      </c>
      <c r="H1006">
        <v>159</v>
      </c>
      <c r="I1006">
        <f>Inventory_Data[[#This Row],[Opening_Stock]]+Inventory_Data[[#This Row],[Units_Received]]-Inventory_Data[[#This Row],[Units_Sold]]</f>
        <v>363</v>
      </c>
      <c r="J1006">
        <v>0</v>
      </c>
      <c r="K1006">
        <v>1</v>
      </c>
      <c r="L1006" t="s">
        <v>29</v>
      </c>
      <c r="M1006" s="3">
        <v>17.3</v>
      </c>
      <c r="N1006" s="3">
        <v>23.75</v>
      </c>
      <c r="O1006" s="10" t="str">
        <f>TEXT(Inventory_Data[[#This Row],[Date]],"mmm")</f>
        <v>Jul</v>
      </c>
    </row>
    <row r="1007" spans="1:15" x14ac:dyDescent="0.2">
      <c r="A1007" s="21">
        <v>45841</v>
      </c>
      <c r="B1007" s="5" t="s">
        <v>160</v>
      </c>
      <c r="C1007" t="s">
        <v>161</v>
      </c>
      <c r="D1007" t="s">
        <v>27</v>
      </c>
      <c r="E1007" t="s">
        <v>17</v>
      </c>
      <c r="F1007">
        <v>339</v>
      </c>
      <c r="G1007">
        <v>174</v>
      </c>
      <c r="H1007">
        <v>128</v>
      </c>
      <c r="I1007">
        <f>Inventory_Data[[#This Row],[Opening_Stock]]+Inventory_Data[[#This Row],[Units_Received]]-Inventory_Data[[#This Row],[Units_Sold]]</f>
        <v>385</v>
      </c>
      <c r="J1007">
        <v>0</v>
      </c>
      <c r="K1007">
        <v>3</v>
      </c>
      <c r="L1007" t="s">
        <v>29</v>
      </c>
      <c r="M1007" s="3">
        <v>6.61</v>
      </c>
      <c r="N1007" s="3">
        <v>7.89</v>
      </c>
      <c r="O1007" s="10" t="str">
        <f>TEXT(Inventory_Data[[#This Row],[Date]],"mmm")</f>
        <v>Jul</v>
      </c>
    </row>
    <row r="1008" spans="1:15" x14ac:dyDescent="0.2">
      <c r="A1008" s="21">
        <v>45841</v>
      </c>
      <c r="B1008" s="5" t="s">
        <v>126</v>
      </c>
      <c r="C1008" t="s">
        <v>127</v>
      </c>
      <c r="D1008" t="s">
        <v>34</v>
      </c>
      <c r="E1008" t="s">
        <v>21</v>
      </c>
      <c r="F1008">
        <v>263</v>
      </c>
      <c r="G1008">
        <v>179</v>
      </c>
      <c r="H1008">
        <v>173</v>
      </c>
      <c r="I1008">
        <f>Inventory_Data[[#This Row],[Opening_Stock]]+Inventory_Data[[#This Row],[Units_Received]]-Inventory_Data[[#This Row],[Units_Sold]]</f>
        <v>269</v>
      </c>
      <c r="J1008">
        <v>0</v>
      </c>
      <c r="K1008">
        <v>8</v>
      </c>
      <c r="L1008" t="s">
        <v>39</v>
      </c>
      <c r="M1008" s="3">
        <v>4.47</v>
      </c>
      <c r="N1008" s="3">
        <v>5.55</v>
      </c>
      <c r="O1008" s="10" t="str">
        <f>TEXT(Inventory_Data[[#This Row],[Date]],"mmm")</f>
        <v>Jul</v>
      </c>
    </row>
    <row r="1009" spans="1:15" x14ac:dyDescent="0.2">
      <c r="A1009" s="21">
        <v>45841</v>
      </c>
      <c r="B1009" s="5" t="s">
        <v>168</v>
      </c>
      <c r="C1009" t="s">
        <v>169</v>
      </c>
      <c r="D1009" t="s">
        <v>34</v>
      </c>
      <c r="E1009" t="s">
        <v>17</v>
      </c>
      <c r="F1009">
        <v>385</v>
      </c>
      <c r="G1009">
        <v>107</v>
      </c>
      <c r="H1009">
        <v>104</v>
      </c>
      <c r="I1009">
        <f>Inventory_Data[[#This Row],[Opening_Stock]]+Inventory_Data[[#This Row],[Units_Received]]-Inventory_Data[[#This Row],[Units_Sold]]</f>
        <v>388</v>
      </c>
      <c r="J1009">
        <v>0</v>
      </c>
      <c r="K1009">
        <v>8</v>
      </c>
      <c r="L1009" t="s">
        <v>36</v>
      </c>
      <c r="M1009" s="3">
        <v>27.34</v>
      </c>
      <c r="N1009" s="3">
        <v>39.99</v>
      </c>
      <c r="O1009" s="10" t="str">
        <f>TEXT(Inventory_Data[[#This Row],[Date]],"mmm")</f>
        <v>Jul</v>
      </c>
    </row>
    <row r="1010" spans="1:15" x14ac:dyDescent="0.2">
      <c r="A1010" s="21">
        <v>45841</v>
      </c>
      <c r="B1010" s="5" t="s">
        <v>43</v>
      </c>
      <c r="C1010" t="s">
        <v>44</v>
      </c>
      <c r="D1010" t="s">
        <v>34</v>
      </c>
      <c r="E1010" t="s">
        <v>28</v>
      </c>
      <c r="F1010">
        <v>385</v>
      </c>
      <c r="G1010">
        <v>154</v>
      </c>
      <c r="H1010">
        <v>165</v>
      </c>
      <c r="I1010">
        <f>Inventory_Data[[#This Row],[Opening_Stock]]+Inventory_Data[[#This Row],[Units_Received]]-Inventory_Data[[#This Row],[Units_Sold]]</f>
        <v>374</v>
      </c>
      <c r="J1010">
        <v>0</v>
      </c>
      <c r="K1010">
        <v>12</v>
      </c>
      <c r="L1010" t="s">
        <v>39</v>
      </c>
      <c r="M1010" s="3">
        <v>19.010000000000002</v>
      </c>
      <c r="N1010" s="3">
        <v>24.16</v>
      </c>
      <c r="O1010" s="10" t="str">
        <f>TEXT(Inventory_Data[[#This Row],[Date]],"mmm")</f>
        <v>Jul</v>
      </c>
    </row>
    <row r="1011" spans="1:15" x14ac:dyDescent="0.2">
      <c r="A1011" s="21">
        <v>45842</v>
      </c>
      <c r="B1011" s="5" t="s">
        <v>102</v>
      </c>
      <c r="C1011" t="s">
        <v>103</v>
      </c>
      <c r="D1011" t="s">
        <v>52</v>
      </c>
      <c r="E1011" t="s">
        <v>21</v>
      </c>
      <c r="F1011">
        <v>75</v>
      </c>
      <c r="G1011">
        <v>9</v>
      </c>
      <c r="H1011">
        <v>19</v>
      </c>
      <c r="I1011">
        <f>Inventory_Data[[#This Row],[Opening_Stock]]+Inventory_Data[[#This Row],[Units_Received]]-Inventory_Data[[#This Row],[Units_Sold]]</f>
        <v>65</v>
      </c>
      <c r="J1011">
        <v>0</v>
      </c>
      <c r="K1011">
        <v>8</v>
      </c>
      <c r="L1011" t="s">
        <v>83</v>
      </c>
      <c r="M1011" s="3">
        <v>111.29</v>
      </c>
      <c r="N1011" s="3">
        <v>155.19999999999999</v>
      </c>
      <c r="O1011" s="10" t="str">
        <f>TEXT(Inventory_Data[[#This Row],[Date]],"mmm")</f>
        <v>Jul</v>
      </c>
    </row>
    <row r="1012" spans="1:15" x14ac:dyDescent="0.2">
      <c r="A1012" s="21">
        <v>45842</v>
      </c>
      <c r="B1012" s="5" t="s">
        <v>32</v>
      </c>
      <c r="C1012" t="s">
        <v>33</v>
      </c>
      <c r="D1012" t="s">
        <v>34</v>
      </c>
      <c r="E1012" t="s">
        <v>28</v>
      </c>
      <c r="F1012">
        <v>72</v>
      </c>
      <c r="G1012">
        <v>212</v>
      </c>
      <c r="H1012">
        <v>159</v>
      </c>
      <c r="I1012">
        <f>Inventory_Data[[#This Row],[Opening_Stock]]+Inventory_Data[[#This Row],[Units_Received]]-Inventory_Data[[#This Row],[Units_Sold]]</f>
        <v>125</v>
      </c>
      <c r="J1012">
        <v>0</v>
      </c>
      <c r="K1012">
        <v>10</v>
      </c>
      <c r="L1012" t="s">
        <v>39</v>
      </c>
      <c r="M1012" s="3">
        <v>27.69</v>
      </c>
      <c r="N1012" s="3">
        <v>36.729999999999997</v>
      </c>
      <c r="O1012" s="10" t="str">
        <f>TEXT(Inventory_Data[[#This Row],[Date]],"mmm")</f>
        <v>Jul</v>
      </c>
    </row>
    <row r="1013" spans="1:15" x14ac:dyDescent="0.2">
      <c r="A1013" s="21">
        <v>45843</v>
      </c>
      <c r="B1013" s="5" t="s">
        <v>14</v>
      </c>
      <c r="C1013" t="s">
        <v>15</v>
      </c>
      <c r="D1013" t="s">
        <v>16</v>
      </c>
      <c r="E1013" t="s">
        <v>35</v>
      </c>
      <c r="F1013">
        <v>178</v>
      </c>
      <c r="G1013">
        <v>19</v>
      </c>
      <c r="H1013">
        <v>53</v>
      </c>
      <c r="I1013">
        <f>Inventory_Data[[#This Row],[Opening_Stock]]+Inventory_Data[[#This Row],[Units_Received]]-Inventory_Data[[#This Row],[Units_Sold]]</f>
        <v>144</v>
      </c>
      <c r="J1013">
        <v>0</v>
      </c>
      <c r="K1013">
        <v>7</v>
      </c>
      <c r="L1013" t="s">
        <v>18</v>
      </c>
      <c r="M1013" s="3">
        <v>34.68</v>
      </c>
      <c r="N1013" s="3">
        <v>44</v>
      </c>
      <c r="O1013" s="10" t="str">
        <f>TEXT(Inventory_Data[[#This Row],[Date]],"mmm")</f>
        <v>Jul</v>
      </c>
    </row>
    <row r="1014" spans="1:15" x14ac:dyDescent="0.2">
      <c r="A1014" s="21">
        <v>45843</v>
      </c>
      <c r="B1014" s="5" t="s">
        <v>46</v>
      </c>
      <c r="C1014" t="s">
        <v>47</v>
      </c>
      <c r="D1014" t="s">
        <v>48</v>
      </c>
      <c r="E1014" t="s">
        <v>17</v>
      </c>
      <c r="F1014">
        <v>278</v>
      </c>
      <c r="G1014">
        <v>77</v>
      </c>
      <c r="H1014">
        <v>54</v>
      </c>
      <c r="I1014">
        <f>Inventory_Data[[#This Row],[Opening_Stock]]+Inventory_Data[[#This Row],[Units_Received]]-Inventory_Data[[#This Row],[Units_Sold]]</f>
        <v>301</v>
      </c>
      <c r="J1014">
        <v>0</v>
      </c>
      <c r="K1014">
        <v>2</v>
      </c>
      <c r="L1014" t="s">
        <v>63</v>
      </c>
      <c r="M1014" s="3">
        <v>11.26</v>
      </c>
      <c r="N1014" s="3">
        <v>14.18</v>
      </c>
      <c r="O1014" s="10" t="str">
        <f>TEXT(Inventory_Data[[#This Row],[Date]],"mmm")</f>
        <v>Jul</v>
      </c>
    </row>
    <row r="1015" spans="1:15" x14ac:dyDescent="0.2">
      <c r="A1015" s="21">
        <v>45843</v>
      </c>
      <c r="B1015" s="5" t="s">
        <v>104</v>
      </c>
      <c r="C1015" t="s">
        <v>105</v>
      </c>
      <c r="D1015" t="s">
        <v>34</v>
      </c>
      <c r="E1015" t="s">
        <v>21</v>
      </c>
      <c r="F1015">
        <v>146</v>
      </c>
      <c r="G1015">
        <v>143</v>
      </c>
      <c r="H1015">
        <v>89</v>
      </c>
      <c r="I1015">
        <f>Inventory_Data[[#This Row],[Opening_Stock]]+Inventory_Data[[#This Row],[Units_Received]]-Inventory_Data[[#This Row],[Units_Sold]]</f>
        <v>200</v>
      </c>
      <c r="J1015">
        <v>0</v>
      </c>
      <c r="K1015">
        <v>2</v>
      </c>
      <c r="L1015" t="s">
        <v>36</v>
      </c>
      <c r="M1015" s="3">
        <v>28.53</v>
      </c>
      <c r="N1015" s="3">
        <v>42.23</v>
      </c>
      <c r="O1015" s="10" t="str">
        <f>TEXT(Inventory_Data[[#This Row],[Date]],"mmm")</f>
        <v>Jul</v>
      </c>
    </row>
    <row r="1016" spans="1:15" x14ac:dyDescent="0.2">
      <c r="A1016" s="21">
        <v>45843</v>
      </c>
      <c r="B1016" s="5" t="s">
        <v>126</v>
      </c>
      <c r="C1016" t="s">
        <v>127</v>
      </c>
      <c r="D1016" t="s">
        <v>34</v>
      </c>
      <c r="E1016" t="s">
        <v>21</v>
      </c>
      <c r="F1016">
        <v>154</v>
      </c>
      <c r="G1016">
        <v>130</v>
      </c>
      <c r="H1016">
        <v>44</v>
      </c>
      <c r="I1016">
        <f>Inventory_Data[[#This Row],[Opening_Stock]]+Inventory_Data[[#This Row],[Units_Received]]-Inventory_Data[[#This Row],[Units_Sold]]</f>
        <v>240</v>
      </c>
      <c r="J1016">
        <v>0</v>
      </c>
      <c r="K1016">
        <v>10</v>
      </c>
      <c r="L1016" t="s">
        <v>39</v>
      </c>
      <c r="M1016" s="3">
        <v>26.96</v>
      </c>
      <c r="N1016" s="3">
        <v>32.61</v>
      </c>
      <c r="O1016" s="10" t="str">
        <f>TEXT(Inventory_Data[[#This Row],[Date]],"mmm")</f>
        <v>Jul</v>
      </c>
    </row>
    <row r="1017" spans="1:15" x14ac:dyDescent="0.2">
      <c r="A1017" s="21">
        <v>45843</v>
      </c>
      <c r="B1017" s="5" t="s">
        <v>40</v>
      </c>
      <c r="C1017" t="s">
        <v>41</v>
      </c>
      <c r="D1017" t="s">
        <v>34</v>
      </c>
      <c r="E1017" t="s">
        <v>21</v>
      </c>
      <c r="F1017">
        <v>263</v>
      </c>
      <c r="G1017">
        <v>167</v>
      </c>
      <c r="H1017">
        <v>58</v>
      </c>
      <c r="I1017">
        <f>Inventory_Data[[#This Row],[Opening_Stock]]+Inventory_Data[[#This Row],[Units_Received]]-Inventory_Data[[#This Row],[Units_Sold]]</f>
        <v>372</v>
      </c>
      <c r="J1017">
        <v>0</v>
      </c>
      <c r="K1017">
        <v>12</v>
      </c>
      <c r="L1017" t="s">
        <v>36</v>
      </c>
      <c r="M1017" s="3">
        <v>6.45</v>
      </c>
      <c r="N1017" s="3">
        <v>7.62</v>
      </c>
      <c r="O1017" s="10" t="str">
        <f>TEXT(Inventory_Data[[#This Row],[Date]],"mmm")</f>
        <v>Jul</v>
      </c>
    </row>
    <row r="1018" spans="1:15" x14ac:dyDescent="0.2">
      <c r="A1018" s="21">
        <v>45844</v>
      </c>
      <c r="B1018" s="5" t="s">
        <v>166</v>
      </c>
      <c r="C1018" t="s">
        <v>167</v>
      </c>
      <c r="D1018" t="s">
        <v>16</v>
      </c>
      <c r="E1018" t="s">
        <v>17</v>
      </c>
      <c r="F1018">
        <v>135</v>
      </c>
      <c r="G1018">
        <v>65</v>
      </c>
      <c r="H1018">
        <v>80</v>
      </c>
      <c r="I1018">
        <f>Inventory_Data[[#This Row],[Opening_Stock]]+Inventory_Data[[#This Row],[Units_Received]]-Inventory_Data[[#This Row],[Units_Sold]]</f>
        <v>120</v>
      </c>
      <c r="J1018">
        <v>0</v>
      </c>
      <c r="K1018">
        <v>7</v>
      </c>
      <c r="L1018" t="s">
        <v>18</v>
      </c>
      <c r="M1018" s="3">
        <v>108.07</v>
      </c>
      <c r="N1018" s="3">
        <v>154.03</v>
      </c>
      <c r="O1018" s="10" t="str">
        <f>TEXT(Inventory_Data[[#This Row],[Date]],"mmm")</f>
        <v>Jul</v>
      </c>
    </row>
    <row r="1019" spans="1:15" x14ac:dyDescent="0.2">
      <c r="A1019" s="21">
        <v>45844</v>
      </c>
      <c r="B1019" s="5" t="s">
        <v>120</v>
      </c>
      <c r="C1019" t="s">
        <v>121</v>
      </c>
      <c r="D1019" t="s">
        <v>16</v>
      </c>
      <c r="E1019" t="s">
        <v>28</v>
      </c>
      <c r="F1019">
        <v>106</v>
      </c>
      <c r="G1019">
        <v>24</v>
      </c>
      <c r="H1019">
        <v>77</v>
      </c>
      <c r="I1019">
        <f>Inventory_Data[[#This Row],[Opening_Stock]]+Inventory_Data[[#This Row],[Units_Received]]-Inventory_Data[[#This Row],[Units_Sold]]</f>
        <v>53</v>
      </c>
      <c r="J1019">
        <v>0</v>
      </c>
      <c r="K1019">
        <v>12</v>
      </c>
      <c r="L1019" t="s">
        <v>24</v>
      </c>
      <c r="M1019" s="3">
        <v>17.39</v>
      </c>
      <c r="N1019" s="3">
        <v>23.87</v>
      </c>
      <c r="O1019" s="10" t="str">
        <f>TEXT(Inventory_Data[[#This Row],[Date]],"mmm")</f>
        <v>Jul</v>
      </c>
    </row>
    <row r="1020" spans="1:15" x14ac:dyDescent="0.2">
      <c r="A1020" s="21">
        <v>45844</v>
      </c>
      <c r="B1020" s="5" t="s">
        <v>75</v>
      </c>
      <c r="C1020" t="s">
        <v>76</v>
      </c>
      <c r="D1020" t="s">
        <v>48</v>
      </c>
      <c r="E1020" t="s">
        <v>21</v>
      </c>
      <c r="F1020">
        <v>219</v>
      </c>
      <c r="G1020">
        <v>143</v>
      </c>
      <c r="H1020">
        <v>27</v>
      </c>
      <c r="I1020">
        <f>Inventory_Data[[#This Row],[Opening_Stock]]+Inventory_Data[[#This Row],[Units_Received]]-Inventory_Data[[#This Row],[Units_Sold]]</f>
        <v>335</v>
      </c>
      <c r="J1020">
        <v>0</v>
      </c>
      <c r="K1020">
        <v>11</v>
      </c>
      <c r="L1020" t="s">
        <v>63</v>
      </c>
      <c r="M1020" s="3">
        <v>59.06</v>
      </c>
      <c r="N1020" s="3">
        <v>77.67</v>
      </c>
      <c r="O1020" s="10" t="str">
        <f>TEXT(Inventory_Data[[#This Row],[Date]],"mmm")</f>
        <v>Jul</v>
      </c>
    </row>
    <row r="1021" spans="1:15" x14ac:dyDescent="0.2">
      <c r="A1021" s="21">
        <v>45844</v>
      </c>
      <c r="B1021" s="5" t="s">
        <v>134</v>
      </c>
      <c r="C1021" t="s">
        <v>135</v>
      </c>
      <c r="D1021" t="s">
        <v>27</v>
      </c>
      <c r="E1021" t="s">
        <v>35</v>
      </c>
      <c r="F1021">
        <v>165</v>
      </c>
      <c r="G1021">
        <v>91</v>
      </c>
      <c r="H1021">
        <v>130</v>
      </c>
      <c r="I1021">
        <f>Inventory_Data[[#This Row],[Opening_Stock]]+Inventory_Data[[#This Row],[Units_Received]]-Inventory_Data[[#This Row],[Units_Sold]]</f>
        <v>126</v>
      </c>
      <c r="J1021">
        <v>0</v>
      </c>
      <c r="K1021">
        <v>5</v>
      </c>
      <c r="L1021" t="s">
        <v>80</v>
      </c>
      <c r="M1021" s="3">
        <v>20.32</v>
      </c>
      <c r="N1021" s="3">
        <v>25.26</v>
      </c>
      <c r="O1021" s="10" t="str">
        <f>TEXT(Inventory_Data[[#This Row],[Date]],"mmm")</f>
        <v>Jul</v>
      </c>
    </row>
    <row r="1022" spans="1:15" x14ac:dyDescent="0.2">
      <c r="A1022" s="21">
        <v>45844</v>
      </c>
      <c r="B1022" s="5" t="s">
        <v>186</v>
      </c>
      <c r="C1022" t="s">
        <v>187</v>
      </c>
      <c r="D1022" t="s">
        <v>27</v>
      </c>
      <c r="E1022" t="s">
        <v>21</v>
      </c>
      <c r="F1022">
        <v>92</v>
      </c>
      <c r="G1022">
        <v>223</v>
      </c>
      <c r="H1022">
        <v>130</v>
      </c>
      <c r="I1022">
        <f>Inventory_Data[[#This Row],[Opening_Stock]]+Inventory_Data[[#This Row],[Units_Received]]-Inventory_Data[[#This Row],[Units_Sold]]</f>
        <v>185</v>
      </c>
      <c r="J1022">
        <v>0</v>
      </c>
      <c r="K1022">
        <v>7</v>
      </c>
      <c r="L1022" t="s">
        <v>80</v>
      </c>
      <c r="M1022" s="3">
        <v>7.34</v>
      </c>
      <c r="N1022" s="3">
        <v>9.27</v>
      </c>
      <c r="O1022" s="10" t="str">
        <f>TEXT(Inventory_Data[[#This Row],[Date]],"mmm")</f>
        <v>Jul</v>
      </c>
    </row>
    <row r="1023" spans="1:15" x14ac:dyDescent="0.2">
      <c r="A1023" s="21">
        <v>45844</v>
      </c>
      <c r="B1023" s="5" t="s">
        <v>180</v>
      </c>
      <c r="C1023" t="s">
        <v>181</v>
      </c>
      <c r="D1023" t="s">
        <v>34</v>
      </c>
      <c r="E1023" t="s">
        <v>28</v>
      </c>
      <c r="F1023">
        <v>189</v>
      </c>
      <c r="G1023">
        <v>218</v>
      </c>
      <c r="H1023">
        <v>55</v>
      </c>
      <c r="I1023">
        <f>Inventory_Data[[#This Row],[Opening_Stock]]+Inventory_Data[[#This Row],[Units_Received]]-Inventory_Data[[#This Row],[Units_Sold]]</f>
        <v>352</v>
      </c>
      <c r="J1023">
        <v>0</v>
      </c>
      <c r="K1023">
        <v>13</v>
      </c>
      <c r="L1023" t="s">
        <v>42</v>
      </c>
      <c r="M1023" s="3">
        <v>4.49</v>
      </c>
      <c r="N1023" s="3">
        <v>6.21</v>
      </c>
      <c r="O1023" s="10" t="str">
        <f>TEXT(Inventory_Data[[#This Row],[Date]],"mmm")</f>
        <v>Jul</v>
      </c>
    </row>
    <row r="1024" spans="1:15" x14ac:dyDescent="0.2">
      <c r="A1024" s="21">
        <v>45844</v>
      </c>
      <c r="B1024" s="5" t="s">
        <v>138</v>
      </c>
      <c r="C1024" t="s">
        <v>139</v>
      </c>
      <c r="D1024" t="s">
        <v>34</v>
      </c>
      <c r="E1024" t="s">
        <v>35</v>
      </c>
      <c r="F1024">
        <v>366</v>
      </c>
      <c r="G1024">
        <v>204</v>
      </c>
      <c r="H1024">
        <v>96</v>
      </c>
      <c r="I1024">
        <f>Inventory_Data[[#This Row],[Opening_Stock]]+Inventory_Data[[#This Row],[Units_Received]]-Inventory_Data[[#This Row],[Units_Sold]]</f>
        <v>474</v>
      </c>
      <c r="J1024">
        <v>0</v>
      </c>
      <c r="K1024">
        <v>11</v>
      </c>
      <c r="L1024" t="s">
        <v>36</v>
      </c>
      <c r="M1024" s="3">
        <v>18.8</v>
      </c>
      <c r="N1024" s="3">
        <v>24.9</v>
      </c>
      <c r="O1024" s="10" t="str">
        <f>TEXT(Inventory_Data[[#This Row],[Date]],"mmm")</f>
        <v>Jul</v>
      </c>
    </row>
    <row r="1025" spans="1:15" x14ac:dyDescent="0.2">
      <c r="A1025" s="21">
        <v>45845</v>
      </c>
      <c r="B1025" s="5" t="s">
        <v>14</v>
      </c>
      <c r="C1025" t="s">
        <v>15</v>
      </c>
      <c r="D1025" t="s">
        <v>16</v>
      </c>
      <c r="E1025" t="s">
        <v>21</v>
      </c>
      <c r="F1025">
        <v>97</v>
      </c>
      <c r="G1025">
        <v>31</v>
      </c>
      <c r="H1025">
        <v>34</v>
      </c>
      <c r="I1025">
        <f>Inventory_Data[[#This Row],[Opening_Stock]]+Inventory_Data[[#This Row],[Units_Received]]-Inventory_Data[[#This Row],[Units_Sold]]</f>
        <v>94</v>
      </c>
      <c r="J1025">
        <v>0</v>
      </c>
      <c r="K1025">
        <v>5</v>
      </c>
      <c r="L1025" t="s">
        <v>18</v>
      </c>
      <c r="M1025" s="3">
        <v>39.909999999999997</v>
      </c>
      <c r="N1025" s="3">
        <v>49.05</v>
      </c>
      <c r="O1025" s="10" t="str">
        <f>TEXT(Inventory_Data[[#This Row],[Date]],"mmm")</f>
        <v>Jul</v>
      </c>
    </row>
    <row r="1026" spans="1:15" x14ac:dyDescent="0.2">
      <c r="A1026" s="21">
        <v>45845</v>
      </c>
      <c r="B1026" s="5" t="s">
        <v>154</v>
      </c>
      <c r="C1026" t="s">
        <v>155</v>
      </c>
      <c r="D1026" t="s">
        <v>48</v>
      </c>
      <c r="E1026" t="s">
        <v>17</v>
      </c>
      <c r="F1026">
        <v>105</v>
      </c>
      <c r="G1026">
        <v>24</v>
      </c>
      <c r="H1026">
        <v>102</v>
      </c>
      <c r="I1026">
        <f>Inventory_Data[[#This Row],[Opening_Stock]]+Inventory_Data[[#This Row],[Units_Received]]-Inventory_Data[[#This Row],[Units_Sold]]</f>
        <v>27</v>
      </c>
      <c r="J1026">
        <v>0</v>
      </c>
      <c r="K1026">
        <v>2</v>
      </c>
      <c r="L1026" t="s">
        <v>77</v>
      </c>
      <c r="M1026" s="3">
        <v>16.77</v>
      </c>
      <c r="N1026" s="3">
        <v>22.67</v>
      </c>
      <c r="O1026" s="10" t="str">
        <f>TEXT(Inventory_Data[[#This Row],[Date]],"mmm")</f>
        <v>Jul</v>
      </c>
    </row>
    <row r="1027" spans="1:15" x14ac:dyDescent="0.2">
      <c r="A1027" s="21">
        <v>45845</v>
      </c>
      <c r="B1027" s="5" t="s">
        <v>160</v>
      </c>
      <c r="C1027" t="s">
        <v>161</v>
      </c>
      <c r="D1027" t="s">
        <v>27</v>
      </c>
      <c r="E1027" t="s">
        <v>35</v>
      </c>
      <c r="F1027">
        <v>252</v>
      </c>
      <c r="G1027">
        <v>180</v>
      </c>
      <c r="H1027">
        <v>157</v>
      </c>
      <c r="I1027">
        <f>Inventory_Data[[#This Row],[Opening_Stock]]+Inventory_Data[[#This Row],[Units_Received]]-Inventory_Data[[#This Row],[Units_Sold]]</f>
        <v>275</v>
      </c>
      <c r="J1027">
        <v>0</v>
      </c>
      <c r="K1027">
        <v>2</v>
      </c>
      <c r="L1027" t="s">
        <v>66</v>
      </c>
      <c r="M1027" s="3">
        <v>16.55</v>
      </c>
      <c r="N1027" s="3">
        <v>20.94</v>
      </c>
      <c r="O1027" s="10" t="str">
        <f>TEXT(Inventory_Data[[#This Row],[Date]],"mmm")</f>
        <v>Jul</v>
      </c>
    </row>
    <row r="1028" spans="1:15" x14ac:dyDescent="0.2">
      <c r="A1028" s="21">
        <v>45845</v>
      </c>
      <c r="B1028" s="5" t="s">
        <v>148</v>
      </c>
      <c r="C1028" t="s">
        <v>149</v>
      </c>
      <c r="D1028" t="s">
        <v>27</v>
      </c>
      <c r="E1028" t="s">
        <v>17</v>
      </c>
      <c r="F1028">
        <v>209</v>
      </c>
      <c r="G1028">
        <v>195</v>
      </c>
      <c r="H1028">
        <v>93</v>
      </c>
      <c r="I1028">
        <f>Inventory_Data[[#This Row],[Opening_Stock]]+Inventory_Data[[#This Row],[Units_Received]]-Inventory_Data[[#This Row],[Units_Sold]]</f>
        <v>311</v>
      </c>
      <c r="J1028">
        <v>0</v>
      </c>
      <c r="K1028">
        <v>6</v>
      </c>
      <c r="L1028" t="s">
        <v>66</v>
      </c>
      <c r="M1028" s="3">
        <v>15.93</v>
      </c>
      <c r="N1028" s="3">
        <v>24.45</v>
      </c>
      <c r="O1028" s="10" t="str">
        <f>TEXT(Inventory_Data[[#This Row],[Date]],"mmm")</f>
        <v>Jul</v>
      </c>
    </row>
    <row r="1029" spans="1:15" x14ac:dyDescent="0.2">
      <c r="A1029" s="21">
        <v>45845</v>
      </c>
      <c r="B1029" s="5" t="s">
        <v>182</v>
      </c>
      <c r="C1029" t="s">
        <v>183</v>
      </c>
      <c r="D1029" t="s">
        <v>52</v>
      </c>
      <c r="E1029" t="s">
        <v>28</v>
      </c>
      <c r="F1029">
        <v>55</v>
      </c>
      <c r="G1029">
        <v>13</v>
      </c>
      <c r="H1029">
        <v>17</v>
      </c>
      <c r="I1029">
        <f>Inventory_Data[[#This Row],[Opening_Stock]]+Inventory_Data[[#This Row],[Units_Received]]-Inventory_Data[[#This Row],[Units_Sold]]</f>
        <v>51</v>
      </c>
      <c r="J1029">
        <v>0</v>
      </c>
      <c r="K1029">
        <v>11</v>
      </c>
      <c r="L1029" t="s">
        <v>83</v>
      </c>
      <c r="M1029" s="3">
        <v>187.49</v>
      </c>
      <c r="N1029" s="3">
        <v>226.18</v>
      </c>
      <c r="O1029" s="10" t="str">
        <f>TEXT(Inventory_Data[[#This Row],[Date]],"mmm")</f>
        <v>Jul</v>
      </c>
    </row>
    <row r="1030" spans="1:15" x14ac:dyDescent="0.2">
      <c r="A1030" s="21">
        <v>45845</v>
      </c>
      <c r="B1030" s="5" t="s">
        <v>100</v>
      </c>
      <c r="C1030" t="s">
        <v>101</v>
      </c>
      <c r="D1030" t="s">
        <v>52</v>
      </c>
      <c r="E1030" t="s">
        <v>28</v>
      </c>
      <c r="F1030">
        <v>46</v>
      </c>
      <c r="G1030">
        <v>5</v>
      </c>
      <c r="H1030">
        <v>18</v>
      </c>
      <c r="I1030">
        <f>Inventory_Data[[#This Row],[Opening_Stock]]+Inventory_Data[[#This Row],[Units_Received]]-Inventory_Data[[#This Row],[Units_Sold]]</f>
        <v>33</v>
      </c>
      <c r="J1030">
        <v>0</v>
      </c>
      <c r="K1030">
        <v>9</v>
      </c>
      <c r="L1030" t="s">
        <v>83</v>
      </c>
      <c r="M1030" s="3">
        <v>292.35000000000002</v>
      </c>
      <c r="N1030" s="3">
        <v>385.75</v>
      </c>
      <c r="O1030" s="10" t="str">
        <f>TEXT(Inventory_Data[[#This Row],[Date]],"mmm")</f>
        <v>Jul</v>
      </c>
    </row>
    <row r="1031" spans="1:15" x14ac:dyDescent="0.2">
      <c r="A1031" s="21">
        <v>45845</v>
      </c>
      <c r="B1031" s="5" t="s">
        <v>57</v>
      </c>
      <c r="C1031" t="s">
        <v>58</v>
      </c>
      <c r="D1031" t="s">
        <v>52</v>
      </c>
      <c r="E1031" t="s">
        <v>35</v>
      </c>
      <c r="F1031">
        <v>45</v>
      </c>
      <c r="G1031">
        <v>10</v>
      </c>
      <c r="H1031">
        <v>13</v>
      </c>
      <c r="I1031">
        <f>Inventory_Data[[#This Row],[Opening_Stock]]+Inventory_Data[[#This Row],[Units_Received]]-Inventory_Data[[#This Row],[Units_Sold]]</f>
        <v>42</v>
      </c>
      <c r="J1031">
        <v>0</v>
      </c>
      <c r="K1031">
        <v>11</v>
      </c>
      <c r="L1031" t="s">
        <v>83</v>
      </c>
      <c r="M1031" s="3">
        <v>265.31</v>
      </c>
      <c r="N1031" s="3">
        <v>327.89</v>
      </c>
      <c r="O1031" s="10" t="str">
        <f>TEXT(Inventory_Data[[#This Row],[Date]],"mmm")</f>
        <v>Jul</v>
      </c>
    </row>
    <row r="1032" spans="1:15" x14ac:dyDescent="0.2">
      <c r="A1032" s="21">
        <v>45845</v>
      </c>
      <c r="B1032" s="5" t="s">
        <v>176</v>
      </c>
      <c r="C1032" t="s">
        <v>177</v>
      </c>
      <c r="D1032" t="s">
        <v>34</v>
      </c>
      <c r="E1032" t="s">
        <v>21</v>
      </c>
      <c r="F1032">
        <v>308</v>
      </c>
      <c r="G1032">
        <v>134</v>
      </c>
      <c r="H1032">
        <v>169</v>
      </c>
      <c r="I1032">
        <f>Inventory_Data[[#This Row],[Opening_Stock]]+Inventory_Data[[#This Row],[Units_Received]]-Inventory_Data[[#This Row],[Units_Sold]]</f>
        <v>273</v>
      </c>
      <c r="J1032">
        <v>0</v>
      </c>
      <c r="K1032">
        <v>10</v>
      </c>
      <c r="L1032" t="s">
        <v>42</v>
      </c>
      <c r="M1032" s="3">
        <v>23.17</v>
      </c>
      <c r="N1032" s="3">
        <v>28.2</v>
      </c>
      <c r="O1032" s="10" t="str">
        <f>TEXT(Inventory_Data[[#This Row],[Date]],"mmm")</f>
        <v>Jul</v>
      </c>
    </row>
    <row r="1033" spans="1:15" x14ac:dyDescent="0.2">
      <c r="A1033" s="21">
        <v>45846</v>
      </c>
      <c r="B1033" s="5" t="s">
        <v>172</v>
      </c>
      <c r="C1033" t="s">
        <v>173</v>
      </c>
      <c r="D1033" t="s">
        <v>27</v>
      </c>
      <c r="E1033" t="s">
        <v>35</v>
      </c>
      <c r="F1033">
        <v>463</v>
      </c>
      <c r="G1033">
        <v>70</v>
      </c>
      <c r="H1033">
        <v>195</v>
      </c>
      <c r="I1033">
        <f>Inventory_Data[[#This Row],[Opening_Stock]]+Inventory_Data[[#This Row],[Units_Received]]-Inventory_Data[[#This Row],[Units_Sold]]</f>
        <v>338</v>
      </c>
      <c r="J1033">
        <v>0</v>
      </c>
      <c r="K1033">
        <v>6</v>
      </c>
      <c r="L1033" t="s">
        <v>29</v>
      </c>
      <c r="M1033" s="3">
        <v>15.55</v>
      </c>
      <c r="N1033" s="3">
        <v>21.37</v>
      </c>
      <c r="O1033" s="10" t="str">
        <f>TEXT(Inventory_Data[[#This Row],[Date]],"mmm")</f>
        <v>Jul</v>
      </c>
    </row>
    <row r="1034" spans="1:15" x14ac:dyDescent="0.2">
      <c r="A1034" s="21">
        <v>45846</v>
      </c>
      <c r="B1034" s="5" t="s">
        <v>104</v>
      </c>
      <c r="C1034" t="s">
        <v>105</v>
      </c>
      <c r="D1034" t="s">
        <v>34</v>
      </c>
      <c r="E1034" t="s">
        <v>28</v>
      </c>
      <c r="F1034">
        <v>328</v>
      </c>
      <c r="G1034">
        <v>196</v>
      </c>
      <c r="H1034">
        <v>170</v>
      </c>
      <c r="I1034">
        <f>Inventory_Data[[#This Row],[Opening_Stock]]+Inventory_Data[[#This Row],[Units_Received]]-Inventory_Data[[#This Row],[Units_Sold]]</f>
        <v>354</v>
      </c>
      <c r="J1034">
        <v>0</v>
      </c>
      <c r="K1034">
        <v>10</v>
      </c>
      <c r="L1034" t="s">
        <v>36</v>
      </c>
      <c r="M1034" s="3">
        <v>21.37</v>
      </c>
      <c r="N1034" s="3">
        <v>29.83</v>
      </c>
      <c r="O1034" s="10" t="str">
        <f>TEXT(Inventory_Data[[#This Row],[Date]],"mmm")</f>
        <v>Jul</v>
      </c>
    </row>
    <row r="1035" spans="1:15" x14ac:dyDescent="0.2">
      <c r="A1035" s="21">
        <v>45846</v>
      </c>
      <c r="B1035" s="5" t="s">
        <v>126</v>
      </c>
      <c r="C1035" t="s">
        <v>127</v>
      </c>
      <c r="D1035" t="s">
        <v>34</v>
      </c>
      <c r="E1035" t="s">
        <v>21</v>
      </c>
      <c r="F1035">
        <v>98</v>
      </c>
      <c r="G1035">
        <v>213</v>
      </c>
      <c r="H1035">
        <v>165</v>
      </c>
      <c r="I1035">
        <f>Inventory_Data[[#This Row],[Opening_Stock]]+Inventory_Data[[#This Row],[Units_Received]]-Inventory_Data[[#This Row],[Units_Sold]]</f>
        <v>146</v>
      </c>
      <c r="J1035">
        <v>0</v>
      </c>
      <c r="K1035">
        <v>13</v>
      </c>
      <c r="L1035" t="s">
        <v>39</v>
      </c>
      <c r="M1035" s="3">
        <v>16.440000000000001</v>
      </c>
      <c r="N1035" s="3">
        <v>19.73</v>
      </c>
      <c r="O1035" s="10" t="str">
        <f>TEXT(Inventory_Data[[#This Row],[Date]],"mmm")</f>
        <v>Jul</v>
      </c>
    </row>
    <row r="1036" spans="1:15" x14ac:dyDescent="0.2">
      <c r="A1036" s="21">
        <v>45847</v>
      </c>
      <c r="B1036" s="5" t="s">
        <v>108</v>
      </c>
      <c r="C1036" t="s">
        <v>109</v>
      </c>
      <c r="D1036" t="s">
        <v>16</v>
      </c>
      <c r="E1036" t="s">
        <v>21</v>
      </c>
      <c r="F1036">
        <v>147</v>
      </c>
      <c r="G1036">
        <v>71</v>
      </c>
      <c r="H1036">
        <v>42</v>
      </c>
      <c r="I1036">
        <f>Inventory_Data[[#This Row],[Opening_Stock]]+Inventory_Data[[#This Row],[Units_Received]]-Inventory_Data[[#This Row],[Units_Sold]]</f>
        <v>176</v>
      </c>
      <c r="J1036">
        <v>0</v>
      </c>
      <c r="K1036">
        <v>10</v>
      </c>
      <c r="L1036" t="s">
        <v>18</v>
      </c>
      <c r="M1036" s="3">
        <v>69.13</v>
      </c>
      <c r="N1036" s="3">
        <v>105.47</v>
      </c>
      <c r="O1036" s="10" t="str">
        <f>TEXT(Inventory_Data[[#This Row],[Date]],"mmm")</f>
        <v>Jul</v>
      </c>
    </row>
    <row r="1037" spans="1:15" x14ac:dyDescent="0.2">
      <c r="A1037" s="21">
        <v>45847</v>
      </c>
      <c r="B1037" s="5" t="s">
        <v>128</v>
      </c>
      <c r="C1037" t="s">
        <v>129</v>
      </c>
      <c r="D1037" t="s">
        <v>48</v>
      </c>
      <c r="E1037" t="s">
        <v>21</v>
      </c>
      <c r="F1037">
        <v>254</v>
      </c>
      <c r="G1037">
        <v>48</v>
      </c>
      <c r="H1037">
        <v>135</v>
      </c>
      <c r="I1037">
        <f>Inventory_Data[[#This Row],[Opening_Stock]]+Inventory_Data[[#This Row],[Units_Received]]-Inventory_Data[[#This Row],[Units_Sold]]</f>
        <v>167</v>
      </c>
      <c r="J1037">
        <v>0</v>
      </c>
      <c r="K1037">
        <v>10</v>
      </c>
      <c r="L1037" t="s">
        <v>77</v>
      </c>
      <c r="M1037" s="3">
        <v>12.41</v>
      </c>
      <c r="N1037" s="3">
        <v>17.59</v>
      </c>
      <c r="O1037" s="10" t="str">
        <f>TEXT(Inventory_Data[[#This Row],[Date]],"mmm")</f>
        <v>Jul</v>
      </c>
    </row>
    <row r="1038" spans="1:15" x14ac:dyDescent="0.2">
      <c r="A1038" s="21">
        <v>45847</v>
      </c>
      <c r="B1038" s="5" t="s">
        <v>128</v>
      </c>
      <c r="C1038" t="s">
        <v>129</v>
      </c>
      <c r="D1038" t="s">
        <v>48</v>
      </c>
      <c r="E1038" t="s">
        <v>28</v>
      </c>
      <c r="F1038">
        <v>98</v>
      </c>
      <c r="G1038">
        <v>38</v>
      </c>
      <c r="H1038">
        <v>104</v>
      </c>
      <c r="I1038">
        <f>Inventory_Data[[#This Row],[Opening_Stock]]+Inventory_Data[[#This Row],[Units_Received]]-Inventory_Data[[#This Row],[Units_Sold]]</f>
        <v>32</v>
      </c>
      <c r="J1038">
        <v>0</v>
      </c>
      <c r="K1038">
        <v>2</v>
      </c>
      <c r="L1038" t="s">
        <v>49</v>
      </c>
      <c r="M1038" s="3">
        <v>47.44</v>
      </c>
      <c r="N1038" s="3">
        <v>61.7</v>
      </c>
      <c r="O1038" s="10" t="str">
        <f>TEXT(Inventory_Data[[#This Row],[Date]],"mmm")</f>
        <v>Jul</v>
      </c>
    </row>
    <row r="1039" spans="1:15" x14ac:dyDescent="0.2">
      <c r="A1039" s="21">
        <v>45847</v>
      </c>
      <c r="B1039" s="5" t="s">
        <v>61</v>
      </c>
      <c r="C1039" t="s">
        <v>62</v>
      </c>
      <c r="D1039" t="s">
        <v>48</v>
      </c>
      <c r="E1039" t="s">
        <v>28</v>
      </c>
      <c r="F1039">
        <v>126</v>
      </c>
      <c r="G1039">
        <v>120</v>
      </c>
      <c r="H1039">
        <v>17</v>
      </c>
      <c r="I1039">
        <f>Inventory_Data[[#This Row],[Opening_Stock]]+Inventory_Data[[#This Row],[Units_Received]]-Inventory_Data[[#This Row],[Units_Sold]]</f>
        <v>229</v>
      </c>
      <c r="J1039">
        <v>0</v>
      </c>
      <c r="K1039">
        <v>14</v>
      </c>
      <c r="L1039" t="s">
        <v>63</v>
      </c>
      <c r="M1039" s="3">
        <v>11.12</v>
      </c>
      <c r="N1039" s="3">
        <v>16.11</v>
      </c>
      <c r="O1039" s="10" t="str">
        <f>TEXT(Inventory_Data[[#This Row],[Date]],"mmm")</f>
        <v>Jul</v>
      </c>
    </row>
    <row r="1040" spans="1:15" x14ac:dyDescent="0.2">
      <c r="A1040" s="21">
        <v>45847</v>
      </c>
      <c r="B1040" s="5" t="s">
        <v>98</v>
      </c>
      <c r="C1040" t="s">
        <v>99</v>
      </c>
      <c r="D1040" t="s">
        <v>27</v>
      </c>
      <c r="E1040" t="s">
        <v>35</v>
      </c>
      <c r="F1040">
        <v>87</v>
      </c>
      <c r="G1040">
        <v>84</v>
      </c>
      <c r="H1040">
        <v>106</v>
      </c>
      <c r="I1040">
        <f>Inventory_Data[[#This Row],[Opening_Stock]]+Inventory_Data[[#This Row],[Units_Received]]-Inventory_Data[[#This Row],[Units_Sold]]</f>
        <v>65</v>
      </c>
      <c r="J1040">
        <v>0</v>
      </c>
      <c r="K1040">
        <v>7</v>
      </c>
      <c r="L1040" t="s">
        <v>66</v>
      </c>
      <c r="M1040" s="3">
        <v>3.89</v>
      </c>
      <c r="N1040" s="3">
        <v>5.89</v>
      </c>
      <c r="O1040" s="10" t="str">
        <f>TEXT(Inventory_Data[[#This Row],[Date]],"mmm")</f>
        <v>Jul</v>
      </c>
    </row>
    <row r="1041" spans="1:15" x14ac:dyDescent="0.2">
      <c r="A1041" s="21">
        <v>45847</v>
      </c>
      <c r="B1041" s="5" t="s">
        <v>142</v>
      </c>
      <c r="C1041" t="s">
        <v>143</v>
      </c>
      <c r="D1041" t="s">
        <v>52</v>
      </c>
      <c r="E1041" t="s">
        <v>21</v>
      </c>
      <c r="F1041">
        <v>23</v>
      </c>
      <c r="G1041">
        <v>3</v>
      </c>
      <c r="H1041">
        <v>12</v>
      </c>
      <c r="I1041">
        <f>Inventory_Data[[#This Row],[Opening_Stock]]+Inventory_Data[[#This Row],[Units_Received]]-Inventory_Data[[#This Row],[Units_Sold]]</f>
        <v>14</v>
      </c>
      <c r="J1041">
        <v>0</v>
      </c>
      <c r="K1041">
        <v>7</v>
      </c>
      <c r="L1041" t="s">
        <v>56</v>
      </c>
      <c r="M1041" s="3">
        <v>71.569999999999993</v>
      </c>
      <c r="N1041" s="3">
        <v>102.77</v>
      </c>
      <c r="O1041" s="10" t="str">
        <f>TEXT(Inventory_Data[[#This Row],[Date]],"mmm")</f>
        <v>Jul</v>
      </c>
    </row>
    <row r="1042" spans="1:15" x14ac:dyDescent="0.2">
      <c r="A1042" s="21">
        <v>45847</v>
      </c>
      <c r="B1042" s="5" t="s">
        <v>102</v>
      </c>
      <c r="C1042" t="s">
        <v>103</v>
      </c>
      <c r="D1042" t="s">
        <v>52</v>
      </c>
      <c r="E1042" t="s">
        <v>35</v>
      </c>
      <c r="F1042">
        <v>56</v>
      </c>
      <c r="G1042">
        <v>18</v>
      </c>
      <c r="H1042">
        <v>3</v>
      </c>
      <c r="I1042">
        <f>Inventory_Data[[#This Row],[Opening_Stock]]+Inventory_Data[[#This Row],[Units_Received]]-Inventory_Data[[#This Row],[Units_Sold]]</f>
        <v>71</v>
      </c>
      <c r="J1042">
        <v>0</v>
      </c>
      <c r="K1042">
        <v>13</v>
      </c>
      <c r="L1042" t="s">
        <v>83</v>
      </c>
      <c r="M1042" s="3">
        <v>305.41000000000003</v>
      </c>
      <c r="N1042" s="3">
        <v>377.7</v>
      </c>
      <c r="O1042" s="10" t="str">
        <f>TEXT(Inventory_Data[[#This Row],[Date]],"mmm")</f>
        <v>Jul</v>
      </c>
    </row>
    <row r="1043" spans="1:15" x14ac:dyDescent="0.2">
      <c r="A1043" s="21">
        <v>45848</v>
      </c>
      <c r="B1043" s="5" t="s">
        <v>75</v>
      </c>
      <c r="C1043" t="s">
        <v>76</v>
      </c>
      <c r="D1043" t="s">
        <v>48</v>
      </c>
      <c r="E1043" t="s">
        <v>21</v>
      </c>
      <c r="F1043">
        <v>283</v>
      </c>
      <c r="G1043">
        <v>104</v>
      </c>
      <c r="H1043">
        <v>136</v>
      </c>
      <c r="I1043">
        <f>Inventory_Data[[#This Row],[Opening_Stock]]+Inventory_Data[[#This Row],[Units_Received]]-Inventory_Data[[#This Row],[Units_Sold]]</f>
        <v>251</v>
      </c>
      <c r="J1043">
        <v>0</v>
      </c>
      <c r="K1043">
        <v>10</v>
      </c>
      <c r="L1043" t="s">
        <v>63</v>
      </c>
      <c r="M1043" s="3">
        <v>43.59</v>
      </c>
      <c r="N1043" s="3">
        <v>54.64</v>
      </c>
      <c r="O1043" s="10" t="str">
        <f>TEXT(Inventory_Data[[#This Row],[Date]],"mmm")</f>
        <v>Jul</v>
      </c>
    </row>
    <row r="1044" spans="1:15" x14ac:dyDescent="0.2">
      <c r="A1044" s="21">
        <v>45848</v>
      </c>
      <c r="B1044" s="5" t="s">
        <v>116</v>
      </c>
      <c r="C1044" t="s">
        <v>117</v>
      </c>
      <c r="D1044" t="s">
        <v>52</v>
      </c>
      <c r="E1044" t="s">
        <v>21</v>
      </c>
      <c r="F1044">
        <v>45</v>
      </c>
      <c r="G1044">
        <v>8</v>
      </c>
      <c r="H1044">
        <v>12</v>
      </c>
      <c r="I1044">
        <f>Inventory_Data[[#This Row],[Opening_Stock]]+Inventory_Data[[#This Row],[Units_Received]]-Inventory_Data[[#This Row],[Units_Sold]]</f>
        <v>41</v>
      </c>
      <c r="J1044">
        <v>0</v>
      </c>
      <c r="K1044">
        <v>3</v>
      </c>
      <c r="L1044" t="s">
        <v>53</v>
      </c>
      <c r="M1044" s="3">
        <v>39.33</v>
      </c>
      <c r="N1044" s="3">
        <v>51.43</v>
      </c>
      <c r="O1044" s="10" t="str">
        <f>TEXT(Inventory_Data[[#This Row],[Date]],"mmm")</f>
        <v>Jul</v>
      </c>
    </row>
    <row r="1045" spans="1:15" x14ac:dyDescent="0.2">
      <c r="A1045" s="21">
        <v>45848</v>
      </c>
      <c r="B1045" s="5" t="s">
        <v>174</v>
      </c>
      <c r="C1045" t="s">
        <v>175</v>
      </c>
      <c r="D1045" t="s">
        <v>52</v>
      </c>
      <c r="E1045" t="s">
        <v>28</v>
      </c>
      <c r="F1045">
        <v>16</v>
      </c>
      <c r="G1045">
        <v>23</v>
      </c>
      <c r="H1045">
        <v>14</v>
      </c>
      <c r="I1045">
        <f>Inventory_Data[[#This Row],[Opening_Stock]]+Inventory_Data[[#This Row],[Units_Received]]-Inventory_Data[[#This Row],[Units_Sold]]</f>
        <v>25</v>
      </c>
      <c r="J1045">
        <v>0</v>
      </c>
      <c r="K1045">
        <v>8</v>
      </c>
      <c r="L1045" t="s">
        <v>53</v>
      </c>
      <c r="M1045" s="3">
        <v>263.42</v>
      </c>
      <c r="N1045" s="3">
        <v>383.99</v>
      </c>
      <c r="O1045" s="10" t="str">
        <f>TEXT(Inventory_Data[[#This Row],[Date]],"mmm")</f>
        <v>Jul</v>
      </c>
    </row>
    <row r="1046" spans="1:15" x14ac:dyDescent="0.2">
      <c r="A1046" s="21">
        <v>45848</v>
      </c>
      <c r="B1046" s="5" t="s">
        <v>168</v>
      </c>
      <c r="C1046" t="s">
        <v>169</v>
      </c>
      <c r="D1046" t="s">
        <v>34</v>
      </c>
      <c r="E1046" t="s">
        <v>21</v>
      </c>
      <c r="F1046">
        <v>390</v>
      </c>
      <c r="G1046">
        <v>55</v>
      </c>
      <c r="H1046">
        <v>141</v>
      </c>
      <c r="I1046">
        <f>Inventory_Data[[#This Row],[Opening_Stock]]+Inventory_Data[[#This Row],[Units_Received]]-Inventory_Data[[#This Row],[Units_Sold]]</f>
        <v>304</v>
      </c>
      <c r="J1046">
        <v>0</v>
      </c>
      <c r="K1046">
        <v>4</v>
      </c>
      <c r="L1046" t="s">
        <v>36</v>
      </c>
      <c r="M1046" s="3">
        <v>9.8800000000000008</v>
      </c>
      <c r="N1046" s="3">
        <v>11.61</v>
      </c>
      <c r="O1046" s="10" t="str">
        <f>TEXT(Inventory_Data[[#This Row],[Date]],"mmm")</f>
        <v>Jul</v>
      </c>
    </row>
    <row r="1047" spans="1:15" x14ac:dyDescent="0.2">
      <c r="A1047" s="21">
        <v>45849</v>
      </c>
      <c r="B1047" s="5" t="s">
        <v>14</v>
      </c>
      <c r="C1047" t="s">
        <v>15</v>
      </c>
      <c r="D1047" t="s">
        <v>16</v>
      </c>
      <c r="E1047" t="s">
        <v>35</v>
      </c>
      <c r="F1047">
        <v>28</v>
      </c>
      <c r="G1047">
        <v>39</v>
      </c>
      <c r="H1047">
        <v>42</v>
      </c>
      <c r="I1047">
        <f>Inventory_Data[[#This Row],[Opening_Stock]]+Inventory_Data[[#This Row],[Units_Received]]-Inventory_Data[[#This Row],[Units_Sold]]</f>
        <v>25</v>
      </c>
      <c r="J1047">
        <v>0</v>
      </c>
      <c r="K1047">
        <v>13</v>
      </c>
      <c r="L1047" t="s">
        <v>45</v>
      </c>
      <c r="M1047" s="3">
        <v>204.78</v>
      </c>
      <c r="N1047" s="3">
        <v>288.36</v>
      </c>
      <c r="O1047" s="10" t="str">
        <f>TEXT(Inventory_Data[[#This Row],[Date]],"mmm")</f>
        <v>Jul</v>
      </c>
    </row>
    <row r="1048" spans="1:15" x14ac:dyDescent="0.2">
      <c r="A1048" s="21">
        <v>45849</v>
      </c>
      <c r="B1048" s="5" t="s">
        <v>144</v>
      </c>
      <c r="C1048" t="s">
        <v>145</v>
      </c>
      <c r="D1048" t="s">
        <v>48</v>
      </c>
      <c r="E1048" t="s">
        <v>21</v>
      </c>
      <c r="F1048">
        <v>267</v>
      </c>
      <c r="G1048">
        <v>34</v>
      </c>
      <c r="H1048">
        <v>52</v>
      </c>
      <c r="I1048">
        <f>Inventory_Data[[#This Row],[Opening_Stock]]+Inventory_Data[[#This Row],[Units_Received]]-Inventory_Data[[#This Row],[Units_Sold]]</f>
        <v>249</v>
      </c>
      <c r="J1048">
        <v>0</v>
      </c>
      <c r="K1048">
        <v>8</v>
      </c>
      <c r="L1048" t="s">
        <v>77</v>
      </c>
      <c r="M1048" s="3">
        <v>74.66</v>
      </c>
      <c r="N1048" s="3">
        <v>107.31</v>
      </c>
      <c r="O1048" s="10" t="str">
        <f>TEXT(Inventory_Data[[#This Row],[Date]],"mmm")</f>
        <v>Jul</v>
      </c>
    </row>
    <row r="1049" spans="1:15" x14ac:dyDescent="0.2">
      <c r="A1049" s="21">
        <v>45849</v>
      </c>
      <c r="B1049" s="5" t="s">
        <v>75</v>
      </c>
      <c r="C1049" t="s">
        <v>76</v>
      </c>
      <c r="D1049" t="s">
        <v>48</v>
      </c>
      <c r="E1049" t="s">
        <v>17</v>
      </c>
      <c r="F1049">
        <v>249</v>
      </c>
      <c r="G1049">
        <v>91</v>
      </c>
      <c r="H1049">
        <v>133</v>
      </c>
      <c r="I1049">
        <f>Inventory_Data[[#This Row],[Opening_Stock]]+Inventory_Data[[#This Row],[Units_Received]]-Inventory_Data[[#This Row],[Units_Sold]]</f>
        <v>207</v>
      </c>
      <c r="J1049">
        <v>0</v>
      </c>
      <c r="K1049">
        <v>2</v>
      </c>
      <c r="L1049" t="s">
        <v>63</v>
      </c>
      <c r="M1049" s="3">
        <v>53.01</v>
      </c>
      <c r="N1049" s="3">
        <v>67.06</v>
      </c>
      <c r="O1049" s="10" t="str">
        <f>TEXT(Inventory_Data[[#This Row],[Date]],"mmm")</f>
        <v>Jul</v>
      </c>
    </row>
    <row r="1050" spans="1:15" x14ac:dyDescent="0.2">
      <c r="A1050" s="21">
        <v>45849</v>
      </c>
      <c r="B1050" s="5" t="s">
        <v>114</v>
      </c>
      <c r="C1050" t="s">
        <v>115</v>
      </c>
      <c r="D1050" t="s">
        <v>27</v>
      </c>
      <c r="E1050" t="s">
        <v>21</v>
      </c>
      <c r="F1050">
        <v>317</v>
      </c>
      <c r="G1050">
        <v>52</v>
      </c>
      <c r="H1050">
        <v>84</v>
      </c>
      <c r="I1050">
        <f>Inventory_Data[[#This Row],[Opening_Stock]]+Inventory_Data[[#This Row],[Units_Received]]-Inventory_Data[[#This Row],[Units_Sold]]</f>
        <v>285</v>
      </c>
      <c r="J1050">
        <v>0</v>
      </c>
      <c r="K1050">
        <v>7</v>
      </c>
      <c r="L1050" t="s">
        <v>66</v>
      </c>
      <c r="M1050" s="3">
        <v>10.25</v>
      </c>
      <c r="N1050" s="3">
        <v>12.27</v>
      </c>
      <c r="O1050" s="10" t="str">
        <f>TEXT(Inventory_Data[[#This Row],[Date]],"mmm")</f>
        <v>Jul</v>
      </c>
    </row>
    <row r="1051" spans="1:15" x14ac:dyDescent="0.2">
      <c r="A1051" s="21">
        <v>45849</v>
      </c>
      <c r="B1051" s="5" t="s">
        <v>160</v>
      </c>
      <c r="C1051" t="s">
        <v>161</v>
      </c>
      <c r="D1051" t="s">
        <v>27</v>
      </c>
      <c r="E1051" t="s">
        <v>21</v>
      </c>
      <c r="F1051">
        <v>212</v>
      </c>
      <c r="G1051">
        <v>145</v>
      </c>
      <c r="H1051">
        <v>136</v>
      </c>
      <c r="I1051">
        <f>Inventory_Data[[#This Row],[Opening_Stock]]+Inventory_Data[[#This Row],[Units_Received]]-Inventory_Data[[#This Row],[Units_Sold]]</f>
        <v>221</v>
      </c>
      <c r="J1051">
        <v>0</v>
      </c>
      <c r="K1051">
        <v>5</v>
      </c>
      <c r="L1051" t="s">
        <v>66</v>
      </c>
      <c r="M1051" s="3">
        <v>15.3</v>
      </c>
      <c r="N1051" s="3">
        <v>21.25</v>
      </c>
      <c r="O1051" s="10" t="str">
        <f>TEXT(Inventory_Data[[#This Row],[Date]],"mmm")</f>
        <v>Jul</v>
      </c>
    </row>
    <row r="1052" spans="1:15" x14ac:dyDescent="0.2">
      <c r="A1052" s="21">
        <v>45849</v>
      </c>
      <c r="B1052" s="5" t="s">
        <v>124</v>
      </c>
      <c r="C1052" t="s">
        <v>125</v>
      </c>
      <c r="D1052" t="s">
        <v>52</v>
      </c>
      <c r="E1052" t="s">
        <v>28</v>
      </c>
      <c r="F1052">
        <v>47</v>
      </c>
      <c r="G1052">
        <v>11</v>
      </c>
      <c r="H1052">
        <v>10</v>
      </c>
      <c r="I1052">
        <f>Inventory_Data[[#This Row],[Opening_Stock]]+Inventory_Data[[#This Row],[Units_Received]]-Inventory_Data[[#This Row],[Units_Sold]]</f>
        <v>48</v>
      </c>
      <c r="J1052">
        <v>0</v>
      </c>
      <c r="K1052">
        <v>9</v>
      </c>
      <c r="L1052" t="s">
        <v>53</v>
      </c>
      <c r="M1052" s="3">
        <v>130.24</v>
      </c>
      <c r="N1052" s="3">
        <v>184.22</v>
      </c>
      <c r="O1052" s="10" t="str">
        <f>TEXT(Inventory_Data[[#This Row],[Date]],"mmm")</f>
        <v>Jul</v>
      </c>
    </row>
    <row r="1053" spans="1:15" x14ac:dyDescent="0.2">
      <c r="A1053" s="21">
        <v>45849</v>
      </c>
      <c r="B1053" s="5" t="s">
        <v>142</v>
      </c>
      <c r="C1053" t="s">
        <v>143</v>
      </c>
      <c r="D1053" t="s">
        <v>52</v>
      </c>
      <c r="E1053" t="s">
        <v>17</v>
      </c>
      <c r="F1053">
        <v>26</v>
      </c>
      <c r="G1053">
        <v>8</v>
      </c>
      <c r="H1053">
        <v>13</v>
      </c>
      <c r="I1053">
        <f>Inventory_Data[[#This Row],[Opening_Stock]]+Inventory_Data[[#This Row],[Units_Received]]-Inventory_Data[[#This Row],[Units_Sold]]</f>
        <v>21</v>
      </c>
      <c r="J1053">
        <v>0</v>
      </c>
      <c r="K1053">
        <v>3</v>
      </c>
      <c r="L1053" t="s">
        <v>83</v>
      </c>
      <c r="M1053" s="3">
        <v>154.31</v>
      </c>
      <c r="N1053" s="3">
        <v>228.54</v>
      </c>
      <c r="O1053" s="10" t="str">
        <f>TEXT(Inventory_Data[[#This Row],[Date]],"mmm")</f>
        <v>Jul</v>
      </c>
    </row>
    <row r="1054" spans="1:15" x14ac:dyDescent="0.2">
      <c r="A1054" s="21">
        <v>45849</v>
      </c>
      <c r="B1054" s="5" t="s">
        <v>32</v>
      </c>
      <c r="C1054" t="s">
        <v>33</v>
      </c>
      <c r="D1054" t="s">
        <v>34</v>
      </c>
      <c r="E1054" t="s">
        <v>28</v>
      </c>
      <c r="F1054">
        <v>121</v>
      </c>
      <c r="G1054">
        <v>81</v>
      </c>
      <c r="H1054">
        <v>54</v>
      </c>
      <c r="I1054">
        <f>Inventory_Data[[#This Row],[Opening_Stock]]+Inventory_Data[[#This Row],[Units_Received]]-Inventory_Data[[#This Row],[Units_Sold]]</f>
        <v>148</v>
      </c>
      <c r="J1054">
        <v>0</v>
      </c>
      <c r="K1054">
        <v>7</v>
      </c>
      <c r="L1054" t="s">
        <v>39</v>
      </c>
      <c r="M1054" s="3">
        <v>14.25</v>
      </c>
      <c r="N1054" s="3">
        <v>18.04</v>
      </c>
      <c r="O1054" s="10" t="str">
        <f>TEXT(Inventory_Data[[#This Row],[Date]],"mmm")</f>
        <v>Jul</v>
      </c>
    </row>
    <row r="1055" spans="1:15" x14ac:dyDescent="0.2">
      <c r="A1055" s="21">
        <v>45849</v>
      </c>
      <c r="B1055" s="5" t="s">
        <v>37</v>
      </c>
      <c r="C1055" t="s">
        <v>38</v>
      </c>
      <c r="D1055" t="s">
        <v>34</v>
      </c>
      <c r="E1055" t="s">
        <v>21</v>
      </c>
      <c r="F1055">
        <v>185</v>
      </c>
      <c r="G1055">
        <v>217</v>
      </c>
      <c r="H1055">
        <v>111</v>
      </c>
      <c r="I1055">
        <f>Inventory_Data[[#This Row],[Opening_Stock]]+Inventory_Data[[#This Row],[Units_Received]]-Inventory_Data[[#This Row],[Units_Sold]]</f>
        <v>291</v>
      </c>
      <c r="J1055">
        <v>0</v>
      </c>
      <c r="K1055">
        <v>11</v>
      </c>
      <c r="L1055" t="s">
        <v>39</v>
      </c>
      <c r="M1055" s="3">
        <v>29.06</v>
      </c>
      <c r="N1055" s="3">
        <v>41.06</v>
      </c>
      <c r="O1055" s="10" t="str">
        <f>TEXT(Inventory_Data[[#This Row],[Date]],"mmm")</f>
        <v>Jul</v>
      </c>
    </row>
    <row r="1056" spans="1:15" x14ac:dyDescent="0.2">
      <c r="A1056" s="21">
        <v>45850</v>
      </c>
      <c r="B1056" s="5" t="s">
        <v>112</v>
      </c>
      <c r="C1056" t="s">
        <v>113</v>
      </c>
      <c r="D1056" t="s">
        <v>16</v>
      </c>
      <c r="E1056" t="s">
        <v>17</v>
      </c>
      <c r="F1056">
        <v>137</v>
      </c>
      <c r="G1056">
        <v>89</v>
      </c>
      <c r="H1056">
        <v>76</v>
      </c>
      <c r="I1056">
        <f>Inventory_Data[[#This Row],[Opening_Stock]]+Inventory_Data[[#This Row],[Units_Received]]-Inventory_Data[[#This Row],[Units_Sold]]</f>
        <v>150</v>
      </c>
      <c r="J1056">
        <v>0</v>
      </c>
      <c r="K1056">
        <v>9</v>
      </c>
      <c r="L1056" t="s">
        <v>18</v>
      </c>
      <c r="M1056" s="3">
        <v>134.38999999999999</v>
      </c>
      <c r="N1056" s="3">
        <v>191.59</v>
      </c>
      <c r="O1056" s="10" t="str">
        <f>TEXT(Inventory_Data[[#This Row],[Date]],"mmm")</f>
        <v>Jul</v>
      </c>
    </row>
    <row r="1057" spans="1:15" x14ac:dyDescent="0.2">
      <c r="A1057" s="21">
        <v>45850</v>
      </c>
      <c r="B1057" s="5" t="s">
        <v>94</v>
      </c>
      <c r="C1057" t="s">
        <v>95</v>
      </c>
      <c r="D1057" t="s">
        <v>16</v>
      </c>
      <c r="E1057" t="s">
        <v>35</v>
      </c>
      <c r="F1057">
        <v>160</v>
      </c>
      <c r="G1057">
        <v>77</v>
      </c>
      <c r="H1057">
        <v>47</v>
      </c>
      <c r="I1057">
        <f>Inventory_Data[[#This Row],[Opening_Stock]]+Inventory_Data[[#This Row],[Units_Received]]-Inventory_Data[[#This Row],[Units_Sold]]</f>
        <v>190</v>
      </c>
      <c r="J1057">
        <v>0</v>
      </c>
      <c r="K1057">
        <v>10</v>
      </c>
      <c r="L1057" t="s">
        <v>45</v>
      </c>
      <c r="M1057" s="3">
        <v>38.19</v>
      </c>
      <c r="N1057" s="3">
        <v>56.57</v>
      </c>
      <c r="O1057" s="10" t="str">
        <f>TEXT(Inventory_Data[[#This Row],[Date]],"mmm")</f>
        <v>Jul</v>
      </c>
    </row>
    <row r="1058" spans="1:15" x14ac:dyDescent="0.2">
      <c r="A1058" s="21">
        <v>45850</v>
      </c>
      <c r="B1058" s="5" t="s">
        <v>81</v>
      </c>
      <c r="C1058" t="s">
        <v>82</v>
      </c>
      <c r="D1058" t="s">
        <v>52</v>
      </c>
      <c r="E1058" t="s">
        <v>17</v>
      </c>
      <c r="F1058">
        <v>21</v>
      </c>
      <c r="G1058">
        <v>14</v>
      </c>
      <c r="H1058">
        <v>4</v>
      </c>
      <c r="I1058">
        <f>Inventory_Data[[#This Row],[Opening_Stock]]+Inventory_Data[[#This Row],[Units_Received]]-Inventory_Data[[#This Row],[Units_Sold]]</f>
        <v>31</v>
      </c>
      <c r="J1058">
        <v>0</v>
      </c>
      <c r="K1058">
        <v>8</v>
      </c>
      <c r="L1058" t="s">
        <v>56</v>
      </c>
      <c r="M1058" s="3">
        <v>80.680000000000007</v>
      </c>
      <c r="N1058" s="3">
        <v>114.33</v>
      </c>
      <c r="O1058" s="10" t="str">
        <f>TEXT(Inventory_Data[[#This Row],[Date]],"mmm")</f>
        <v>Jul</v>
      </c>
    </row>
    <row r="1059" spans="1:15" x14ac:dyDescent="0.2">
      <c r="A1059" s="21">
        <v>45851</v>
      </c>
      <c r="B1059" s="5" t="s">
        <v>164</v>
      </c>
      <c r="C1059" t="s">
        <v>165</v>
      </c>
      <c r="D1059" t="s">
        <v>48</v>
      </c>
      <c r="E1059" t="s">
        <v>28</v>
      </c>
      <c r="F1059">
        <v>65</v>
      </c>
      <c r="G1059">
        <v>33</v>
      </c>
      <c r="H1059">
        <v>98</v>
      </c>
      <c r="I1059">
        <f>Inventory_Data[[#This Row],[Opening_Stock]]+Inventory_Data[[#This Row],[Units_Received]]-Inventory_Data[[#This Row],[Units_Sold]]</f>
        <v>0</v>
      </c>
      <c r="J1059">
        <v>1</v>
      </c>
      <c r="K1059">
        <v>14</v>
      </c>
      <c r="L1059" t="s">
        <v>77</v>
      </c>
      <c r="M1059" s="3">
        <v>26.42</v>
      </c>
      <c r="N1059" s="3">
        <v>34.6</v>
      </c>
      <c r="O1059" s="10" t="str">
        <f>TEXT(Inventory_Data[[#This Row],[Date]],"mmm")</f>
        <v>Jul</v>
      </c>
    </row>
    <row r="1060" spans="1:15" x14ac:dyDescent="0.2">
      <c r="A1060" s="21">
        <v>45851</v>
      </c>
      <c r="B1060" s="5" t="s">
        <v>30</v>
      </c>
      <c r="C1060" t="s">
        <v>31</v>
      </c>
      <c r="D1060" t="s">
        <v>27</v>
      </c>
      <c r="E1060" t="s">
        <v>35</v>
      </c>
      <c r="F1060">
        <v>299</v>
      </c>
      <c r="G1060">
        <v>63</v>
      </c>
      <c r="H1060">
        <v>155</v>
      </c>
      <c r="I1060">
        <f>Inventory_Data[[#This Row],[Opening_Stock]]+Inventory_Data[[#This Row],[Units_Received]]-Inventory_Data[[#This Row],[Units_Sold]]</f>
        <v>207</v>
      </c>
      <c r="J1060">
        <v>0</v>
      </c>
      <c r="K1060">
        <v>2</v>
      </c>
      <c r="L1060" t="s">
        <v>29</v>
      </c>
      <c r="M1060" s="3">
        <v>22.44</v>
      </c>
      <c r="N1060" s="3">
        <v>32.020000000000003</v>
      </c>
      <c r="O1060" s="10" t="str">
        <f>TEXT(Inventory_Data[[#This Row],[Date]],"mmm")</f>
        <v>Jul</v>
      </c>
    </row>
    <row r="1061" spans="1:15" x14ac:dyDescent="0.2">
      <c r="A1061" s="21">
        <v>45851</v>
      </c>
      <c r="B1061" s="5" t="s">
        <v>134</v>
      </c>
      <c r="C1061" t="s">
        <v>135</v>
      </c>
      <c r="D1061" t="s">
        <v>27</v>
      </c>
      <c r="E1061" t="s">
        <v>17</v>
      </c>
      <c r="F1061">
        <v>208</v>
      </c>
      <c r="G1061">
        <v>199</v>
      </c>
      <c r="H1061">
        <v>108</v>
      </c>
      <c r="I1061">
        <f>Inventory_Data[[#This Row],[Opening_Stock]]+Inventory_Data[[#This Row],[Units_Received]]-Inventory_Data[[#This Row],[Units_Sold]]</f>
        <v>299</v>
      </c>
      <c r="J1061">
        <v>0</v>
      </c>
      <c r="K1061">
        <v>5</v>
      </c>
      <c r="L1061" t="s">
        <v>29</v>
      </c>
      <c r="M1061" s="3">
        <v>13.08</v>
      </c>
      <c r="N1061" s="3">
        <v>18.37</v>
      </c>
      <c r="O1061" s="10" t="str">
        <f>TEXT(Inventory_Data[[#This Row],[Date]],"mmm")</f>
        <v>Jul</v>
      </c>
    </row>
    <row r="1062" spans="1:15" x14ac:dyDescent="0.2">
      <c r="A1062" s="21">
        <v>45851</v>
      </c>
      <c r="B1062" s="5" t="s">
        <v>140</v>
      </c>
      <c r="C1062" t="s">
        <v>141</v>
      </c>
      <c r="D1062" t="s">
        <v>52</v>
      </c>
      <c r="E1062" t="s">
        <v>21</v>
      </c>
      <c r="F1062">
        <v>78</v>
      </c>
      <c r="G1062">
        <v>25</v>
      </c>
      <c r="H1062">
        <v>3</v>
      </c>
      <c r="I1062">
        <f>Inventory_Data[[#This Row],[Opening_Stock]]+Inventory_Data[[#This Row],[Units_Received]]-Inventory_Data[[#This Row],[Units_Sold]]</f>
        <v>100</v>
      </c>
      <c r="J1062">
        <v>0</v>
      </c>
      <c r="K1062">
        <v>14</v>
      </c>
      <c r="L1062" t="s">
        <v>83</v>
      </c>
      <c r="M1062" s="3">
        <v>287.43</v>
      </c>
      <c r="N1062" s="3">
        <v>343.12</v>
      </c>
      <c r="O1062" s="10" t="str">
        <f>TEXT(Inventory_Data[[#This Row],[Date]],"mmm")</f>
        <v>Jul</v>
      </c>
    </row>
    <row r="1063" spans="1:15" x14ac:dyDescent="0.2">
      <c r="A1063" s="21">
        <v>45851</v>
      </c>
      <c r="B1063" s="5" t="s">
        <v>138</v>
      </c>
      <c r="C1063" t="s">
        <v>139</v>
      </c>
      <c r="D1063" t="s">
        <v>34</v>
      </c>
      <c r="E1063" t="s">
        <v>28</v>
      </c>
      <c r="F1063">
        <v>168</v>
      </c>
      <c r="G1063">
        <v>196</v>
      </c>
      <c r="H1063">
        <v>103</v>
      </c>
      <c r="I1063">
        <f>Inventory_Data[[#This Row],[Opening_Stock]]+Inventory_Data[[#This Row],[Units_Received]]-Inventory_Data[[#This Row],[Units_Sold]]</f>
        <v>261</v>
      </c>
      <c r="J1063">
        <v>0</v>
      </c>
      <c r="K1063">
        <v>11</v>
      </c>
      <c r="L1063" t="s">
        <v>42</v>
      </c>
      <c r="M1063" s="3">
        <v>24.62</v>
      </c>
      <c r="N1063" s="3">
        <v>32.83</v>
      </c>
      <c r="O1063" s="10" t="str">
        <f>TEXT(Inventory_Data[[#This Row],[Date]],"mmm")</f>
        <v>Jul</v>
      </c>
    </row>
    <row r="1064" spans="1:15" x14ac:dyDescent="0.2">
      <c r="A1064" s="21">
        <v>45852</v>
      </c>
      <c r="B1064" s="5" t="s">
        <v>162</v>
      </c>
      <c r="C1064" t="s">
        <v>163</v>
      </c>
      <c r="D1064" t="s">
        <v>16</v>
      </c>
      <c r="E1064" t="s">
        <v>21</v>
      </c>
      <c r="F1064">
        <v>164</v>
      </c>
      <c r="G1064">
        <v>28</v>
      </c>
      <c r="H1064">
        <v>52</v>
      </c>
      <c r="I1064">
        <f>Inventory_Data[[#This Row],[Opening_Stock]]+Inventory_Data[[#This Row],[Units_Received]]-Inventory_Data[[#This Row],[Units_Sold]]</f>
        <v>140</v>
      </c>
      <c r="J1064">
        <v>0</v>
      </c>
      <c r="K1064">
        <v>4</v>
      </c>
      <c r="L1064" t="s">
        <v>45</v>
      </c>
      <c r="M1064" s="3">
        <v>81.58</v>
      </c>
      <c r="N1064" s="3">
        <v>103.39</v>
      </c>
      <c r="O1064" s="10" t="str">
        <f>TEXT(Inventory_Data[[#This Row],[Date]],"mmm")</f>
        <v>Jul</v>
      </c>
    </row>
    <row r="1065" spans="1:15" x14ac:dyDescent="0.2">
      <c r="A1065" s="21">
        <v>45852</v>
      </c>
      <c r="B1065" s="5" t="s">
        <v>14</v>
      </c>
      <c r="C1065" t="s">
        <v>15</v>
      </c>
      <c r="D1065" t="s">
        <v>16</v>
      </c>
      <c r="E1065" t="s">
        <v>28</v>
      </c>
      <c r="F1065">
        <v>68</v>
      </c>
      <c r="G1065">
        <v>61</v>
      </c>
      <c r="H1065">
        <v>37</v>
      </c>
      <c r="I1065">
        <f>Inventory_Data[[#This Row],[Opening_Stock]]+Inventory_Data[[#This Row],[Units_Received]]-Inventory_Data[[#This Row],[Units_Sold]]</f>
        <v>92</v>
      </c>
      <c r="J1065">
        <v>0</v>
      </c>
      <c r="K1065">
        <v>7</v>
      </c>
      <c r="L1065" t="s">
        <v>45</v>
      </c>
      <c r="M1065" s="3">
        <v>180.39</v>
      </c>
      <c r="N1065" s="3">
        <v>225.62</v>
      </c>
      <c r="O1065" s="10" t="str">
        <f>TEXT(Inventory_Data[[#This Row],[Date]],"mmm")</f>
        <v>Jul</v>
      </c>
    </row>
    <row r="1066" spans="1:15" x14ac:dyDescent="0.2">
      <c r="A1066" s="21">
        <v>45852</v>
      </c>
      <c r="B1066" s="5" t="s">
        <v>92</v>
      </c>
      <c r="C1066" t="s">
        <v>93</v>
      </c>
      <c r="D1066" t="s">
        <v>27</v>
      </c>
      <c r="E1066" t="s">
        <v>17</v>
      </c>
      <c r="F1066">
        <v>103</v>
      </c>
      <c r="G1066">
        <v>63</v>
      </c>
      <c r="H1066">
        <v>23</v>
      </c>
      <c r="I1066">
        <f>Inventory_Data[[#This Row],[Opening_Stock]]+Inventory_Data[[#This Row],[Units_Received]]-Inventory_Data[[#This Row],[Units_Sold]]</f>
        <v>143</v>
      </c>
      <c r="J1066">
        <v>0</v>
      </c>
      <c r="K1066">
        <v>3</v>
      </c>
      <c r="L1066" t="s">
        <v>66</v>
      </c>
      <c r="M1066" s="3">
        <v>13.86</v>
      </c>
      <c r="N1066" s="3">
        <v>18.510000000000002</v>
      </c>
      <c r="O1066" s="10" t="str">
        <f>TEXT(Inventory_Data[[#This Row],[Date]],"mmm")</f>
        <v>Jul</v>
      </c>
    </row>
    <row r="1067" spans="1:15" x14ac:dyDescent="0.2">
      <c r="A1067" s="21">
        <v>45852</v>
      </c>
      <c r="B1067" s="5" t="s">
        <v>98</v>
      </c>
      <c r="C1067" t="s">
        <v>99</v>
      </c>
      <c r="D1067" t="s">
        <v>27</v>
      </c>
      <c r="E1067" t="s">
        <v>17</v>
      </c>
      <c r="F1067">
        <v>436</v>
      </c>
      <c r="G1067">
        <v>98</v>
      </c>
      <c r="H1067">
        <v>143</v>
      </c>
      <c r="I1067">
        <f>Inventory_Data[[#This Row],[Opening_Stock]]+Inventory_Data[[#This Row],[Units_Received]]-Inventory_Data[[#This Row],[Units_Sold]]</f>
        <v>391</v>
      </c>
      <c r="J1067">
        <v>0</v>
      </c>
      <c r="K1067">
        <v>2</v>
      </c>
      <c r="L1067" t="s">
        <v>29</v>
      </c>
      <c r="M1067" s="3">
        <v>23.63</v>
      </c>
      <c r="N1067" s="3">
        <v>35.74</v>
      </c>
      <c r="O1067" s="10" t="str">
        <f>TEXT(Inventory_Data[[#This Row],[Date]],"mmm")</f>
        <v>Jul</v>
      </c>
    </row>
    <row r="1068" spans="1:15" x14ac:dyDescent="0.2">
      <c r="A1068" s="21">
        <v>45852</v>
      </c>
      <c r="B1068" s="5" t="s">
        <v>100</v>
      </c>
      <c r="C1068" t="s">
        <v>101</v>
      </c>
      <c r="D1068" t="s">
        <v>52</v>
      </c>
      <c r="E1068" t="s">
        <v>21</v>
      </c>
      <c r="F1068">
        <v>19</v>
      </c>
      <c r="G1068">
        <v>16</v>
      </c>
      <c r="H1068">
        <v>10</v>
      </c>
      <c r="I1068">
        <f>Inventory_Data[[#This Row],[Opening_Stock]]+Inventory_Data[[#This Row],[Units_Received]]-Inventory_Data[[#This Row],[Units_Sold]]</f>
        <v>25</v>
      </c>
      <c r="J1068">
        <v>0</v>
      </c>
      <c r="K1068">
        <v>12</v>
      </c>
      <c r="L1068" t="s">
        <v>53</v>
      </c>
      <c r="M1068" s="3">
        <v>249.78</v>
      </c>
      <c r="N1068" s="3">
        <v>366.68</v>
      </c>
      <c r="O1068" s="10" t="str">
        <f>TEXT(Inventory_Data[[#This Row],[Date]],"mmm")</f>
        <v>Jul</v>
      </c>
    </row>
    <row r="1069" spans="1:15" x14ac:dyDescent="0.2">
      <c r="A1069" s="21">
        <v>45852</v>
      </c>
      <c r="B1069" s="5" t="s">
        <v>118</v>
      </c>
      <c r="C1069" t="s">
        <v>119</v>
      </c>
      <c r="D1069" t="s">
        <v>34</v>
      </c>
      <c r="E1069" t="s">
        <v>35</v>
      </c>
      <c r="F1069">
        <v>255</v>
      </c>
      <c r="G1069">
        <v>193</v>
      </c>
      <c r="H1069">
        <v>101</v>
      </c>
      <c r="I1069">
        <f>Inventory_Data[[#This Row],[Opening_Stock]]+Inventory_Data[[#This Row],[Units_Received]]-Inventory_Data[[#This Row],[Units_Sold]]</f>
        <v>347</v>
      </c>
      <c r="J1069">
        <v>0</v>
      </c>
      <c r="K1069">
        <v>13</v>
      </c>
      <c r="L1069" t="s">
        <v>36</v>
      </c>
      <c r="M1069" s="3">
        <v>1.35</v>
      </c>
      <c r="N1069" s="3">
        <v>1.82</v>
      </c>
      <c r="O1069" s="10" t="str">
        <f>TEXT(Inventory_Data[[#This Row],[Date]],"mmm")</f>
        <v>Jul</v>
      </c>
    </row>
    <row r="1070" spans="1:15" x14ac:dyDescent="0.2">
      <c r="A1070" s="21">
        <v>45852</v>
      </c>
      <c r="B1070" s="5" t="s">
        <v>37</v>
      </c>
      <c r="C1070" t="s">
        <v>38</v>
      </c>
      <c r="D1070" t="s">
        <v>34</v>
      </c>
      <c r="E1070" t="s">
        <v>17</v>
      </c>
      <c r="F1070">
        <v>191</v>
      </c>
      <c r="G1070">
        <v>77</v>
      </c>
      <c r="H1070">
        <v>31</v>
      </c>
      <c r="I1070">
        <f>Inventory_Data[[#This Row],[Opening_Stock]]+Inventory_Data[[#This Row],[Units_Received]]-Inventory_Data[[#This Row],[Units_Sold]]</f>
        <v>237</v>
      </c>
      <c r="J1070">
        <v>0</v>
      </c>
      <c r="K1070">
        <v>5</v>
      </c>
      <c r="L1070" t="s">
        <v>36</v>
      </c>
      <c r="M1070" s="3">
        <v>3.31</v>
      </c>
      <c r="N1070" s="3">
        <v>4.3600000000000003</v>
      </c>
      <c r="O1070" s="10" t="str">
        <f>TEXT(Inventory_Data[[#This Row],[Date]],"mmm")</f>
        <v>Jul</v>
      </c>
    </row>
    <row r="1071" spans="1:15" x14ac:dyDescent="0.2">
      <c r="A1071" s="21">
        <v>45853</v>
      </c>
      <c r="B1071" s="5" t="s">
        <v>132</v>
      </c>
      <c r="C1071" t="s">
        <v>133</v>
      </c>
      <c r="D1071" t="s">
        <v>16</v>
      </c>
      <c r="E1071" t="s">
        <v>17</v>
      </c>
      <c r="F1071">
        <v>51</v>
      </c>
      <c r="G1071">
        <v>20</v>
      </c>
      <c r="H1071">
        <v>65</v>
      </c>
      <c r="I1071">
        <f>Inventory_Data[[#This Row],[Opening_Stock]]+Inventory_Data[[#This Row],[Units_Received]]-Inventory_Data[[#This Row],[Units_Sold]]</f>
        <v>6</v>
      </c>
      <c r="J1071">
        <v>0</v>
      </c>
      <c r="K1071">
        <v>3</v>
      </c>
      <c r="L1071" t="s">
        <v>18</v>
      </c>
      <c r="M1071" s="3">
        <v>89.3</v>
      </c>
      <c r="N1071" s="3">
        <v>133.54</v>
      </c>
      <c r="O1071" s="10" t="str">
        <f>TEXT(Inventory_Data[[#This Row],[Date]],"mmm")</f>
        <v>Jul</v>
      </c>
    </row>
    <row r="1072" spans="1:15" x14ac:dyDescent="0.2">
      <c r="A1072" s="21">
        <v>45853</v>
      </c>
      <c r="B1072" s="5" t="s">
        <v>128</v>
      </c>
      <c r="C1072" t="s">
        <v>129</v>
      </c>
      <c r="D1072" t="s">
        <v>48</v>
      </c>
      <c r="E1072" t="s">
        <v>21</v>
      </c>
      <c r="F1072">
        <v>116</v>
      </c>
      <c r="G1072">
        <v>61</v>
      </c>
      <c r="H1072">
        <v>115</v>
      </c>
      <c r="I1072">
        <f>Inventory_Data[[#This Row],[Opening_Stock]]+Inventory_Data[[#This Row],[Units_Received]]-Inventory_Data[[#This Row],[Units_Sold]]</f>
        <v>62</v>
      </c>
      <c r="J1072">
        <v>0</v>
      </c>
      <c r="K1072">
        <v>8</v>
      </c>
      <c r="L1072" t="s">
        <v>77</v>
      </c>
      <c r="M1072" s="3">
        <v>17.62</v>
      </c>
      <c r="N1072" s="3">
        <v>21.45</v>
      </c>
      <c r="O1072" s="10" t="str">
        <f>TEXT(Inventory_Data[[#This Row],[Date]],"mmm")</f>
        <v>Jul</v>
      </c>
    </row>
    <row r="1073" spans="1:15" x14ac:dyDescent="0.2">
      <c r="A1073" s="21">
        <v>45853</v>
      </c>
      <c r="B1073" s="5" t="s">
        <v>130</v>
      </c>
      <c r="C1073" t="s">
        <v>131</v>
      </c>
      <c r="D1073" t="s">
        <v>48</v>
      </c>
      <c r="E1073" t="s">
        <v>28</v>
      </c>
      <c r="F1073">
        <v>111</v>
      </c>
      <c r="G1073">
        <v>132</v>
      </c>
      <c r="H1073">
        <v>116</v>
      </c>
      <c r="I1073">
        <f>Inventory_Data[[#This Row],[Opening_Stock]]+Inventory_Data[[#This Row],[Units_Received]]-Inventory_Data[[#This Row],[Units_Sold]]</f>
        <v>127</v>
      </c>
      <c r="J1073">
        <v>0</v>
      </c>
      <c r="K1073">
        <v>3</v>
      </c>
      <c r="L1073" t="s">
        <v>63</v>
      </c>
      <c r="M1073" s="3">
        <v>22.4</v>
      </c>
      <c r="N1073" s="3">
        <v>29.54</v>
      </c>
      <c r="O1073" s="10" t="str">
        <f>TEXT(Inventory_Data[[#This Row],[Date]],"mmm")</f>
        <v>Jul</v>
      </c>
    </row>
    <row r="1074" spans="1:15" x14ac:dyDescent="0.2">
      <c r="A1074" s="21">
        <v>45853</v>
      </c>
      <c r="B1074" s="5" t="s">
        <v>154</v>
      </c>
      <c r="C1074" t="s">
        <v>155</v>
      </c>
      <c r="D1074" t="s">
        <v>48</v>
      </c>
      <c r="E1074" t="s">
        <v>28</v>
      </c>
      <c r="F1074">
        <v>68</v>
      </c>
      <c r="G1074">
        <v>146</v>
      </c>
      <c r="H1074">
        <v>91</v>
      </c>
      <c r="I1074">
        <f>Inventory_Data[[#This Row],[Opening_Stock]]+Inventory_Data[[#This Row],[Units_Received]]-Inventory_Data[[#This Row],[Units_Sold]]</f>
        <v>123</v>
      </c>
      <c r="J1074">
        <v>0</v>
      </c>
      <c r="K1074">
        <v>11</v>
      </c>
      <c r="L1074" t="s">
        <v>49</v>
      </c>
      <c r="M1074" s="3">
        <v>12.49</v>
      </c>
      <c r="N1074" s="3">
        <v>16.14</v>
      </c>
      <c r="O1074" s="10" t="str">
        <f>TEXT(Inventory_Data[[#This Row],[Date]],"mmm")</f>
        <v>Jul</v>
      </c>
    </row>
    <row r="1075" spans="1:15" x14ac:dyDescent="0.2">
      <c r="A1075" s="21">
        <v>45854</v>
      </c>
      <c r="B1075" s="5" t="s">
        <v>22</v>
      </c>
      <c r="C1075" t="s">
        <v>23</v>
      </c>
      <c r="D1075" t="s">
        <v>16</v>
      </c>
      <c r="E1075" t="s">
        <v>17</v>
      </c>
      <c r="F1075">
        <v>76</v>
      </c>
      <c r="G1075">
        <v>25</v>
      </c>
      <c r="H1075">
        <v>28</v>
      </c>
      <c r="I1075">
        <f>Inventory_Data[[#This Row],[Opening_Stock]]+Inventory_Data[[#This Row],[Units_Received]]-Inventory_Data[[#This Row],[Units_Sold]]</f>
        <v>73</v>
      </c>
      <c r="J1075">
        <v>0</v>
      </c>
      <c r="K1075">
        <v>6</v>
      </c>
      <c r="L1075" t="s">
        <v>24</v>
      </c>
      <c r="M1075" s="3">
        <v>217.2</v>
      </c>
      <c r="N1075" s="3">
        <v>277.17</v>
      </c>
      <c r="O1075" s="10" t="str">
        <f>TEXT(Inventory_Data[[#This Row],[Date]],"mmm")</f>
        <v>Jul</v>
      </c>
    </row>
    <row r="1076" spans="1:15" x14ac:dyDescent="0.2">
      <c r="A1076" s="21">
        <v>45854</v>
      </c>
      <c r="B1076" s="5" t="s">
        <v>140</v>
      </c>
      <c r="C1076" t="s">
        <v>141</v>
      </c>
      <c r="D1076" t="s">
        <v>52</v>
      </c>
      <c r="E1076" t="s">
        <v>35</v>
      </c>
      <c r="F1076">
        <v>36</v>
      </c>
      <c r="G1076">
        <v>16</v>
      </c>
      <c r="H1076">
        <v>5</v>
      </c>
      <c r="I1076">
        <f>Inventory_Data[[#This Row],[Opening_Stock]]+Inventory_Data[[#This Row],[Units_Received]]-Inventory_Data[[#This Row],[Units_Sold]]</f>
        <v>47</v>
      </c>
      <c r="J1076">
        <v>0</v>
      </c>
      <c r="K1076">
        <v>8</v>
      </c>
      <c r="L1076" t="s">
        <v>83</v>
      </c>
      <c r="M1076" s="3">
        <v>266.77</v>
      </c>
      <c r="N1076" s="3">
        <v>404.87</v>
      </c>
      <c r="O1076" s="10" t="str">
        <f>TEXT(Inventory_Data[[#This Row],[Date]],"mmm")</f>
        <v>Jul</v>
      </c>
    </row>
    <row r="1077" spans="1:15" x14ac:dyDescent="0.2">
      <c r="A1077" s="21">
        <v>45854</v>
      </c>
      <c r="B1077" s="5" t="s">
        <v>168</v>
      </c>
      <c r="C1077" t="s">
        <v>169</v>
      </c>
      <c r="D1077" t="s">
        <v>34</v>
      </c>
      <c r="E1077" t="s">
        <v>17</v>
      </c>
      <c r="F1077">
        <v>389</v>
      </c>
      <c r="G1077">
        <v>148</v>
      </c>
      <c r="H1077">
        <v>136</v>
      </c>
      <c r="I1077">
        <f>Inventory_Data[[#This Row],[Opening_Stock]]+Inventory_Data[[#This Row],[Units_Received]]-Inventory_Data[[#This Row],[Units_Sold]]</f>
        <v>401</v>
      </c>
      <c r="J1077">
        <v>0</v>
      </c>
      <c r="K1077">
        <v>7</v>
      </c>
      <c r="L1077" t="s">
        <v>39</v>
      </c>
      <c r="M1077" s="3">
        <v>17.03</v>
      </c>
      <c r="N1077" s="3">
        <v>24.63</v>
      </c>
      <c r="O1077" s="10" t="str">
        <f>TEXT(Inventory_Data[[#This Row],[Date]],"mmm")</f>
        <v>Jul</v>
      </c>
    </row>
    <row r="1078" spans="1:15" x14ac:dyDescent="0.2">
      <c r="A1078" s="21">
        <v>45855</v>
      </c>
      <c r="B1078" s="5" t="s">
        <v>106</v>
      </c>
      <c r="C1078" t="s">
        <v>107</v>
      </c>
      <c r="D1078" t="s">
        <v>16</v>
      </c>
      <c r="E1078" t="s">
        <v>28</v>
      </c>
      <c r="F1078">
        <v>103</v>
      </c>
      <c r="G1078">
        <v>65</v>
      </c>
      <c r="H1078">
        <v>53</v>
      </c>
      <c r="I1078">
        <f>Inventory_Data[[#This Row],[Opening_Stock]]+Inventory_Data[[#This Row],[Units_Received]]-Inventory_Data[[#This Row],[Units_Sold]]</f>
        <v>115</v>
      </c>
      <c r="J1078">
        <v>0</v>
      </c>
      <c r="K1078">
        <v>14</v>
      </c>
      <c r="L1078" t="s">
        <v>45</v>
      </c>
      <c r="M1078" s="3">
        <v>125.09</v>
      </c>
      <c r="N1078" s="3">
        <v>186.59</v>
      </c>
      <c r="O1078" s="10" t="str">
        <f>TEXT(Inventory_Data[[#This Row],[Date]],"mmm")</f>
        <v>Jul</v>
      </c>
    </row>
    <row r="1079" spans="1:15" x14ac:dyDescent="0.2">
      <c r="A1079" s="21">
        <v>45855</v>
      </c>
      <c r="B1079" s="5" t="s">
        <v>132</v>
      </c>
      <c r="C1079" t="s">
        <v>133</v>
      </c>
      <c r="D1079" t="s">
        <v>16</v>
      </c>
      <c r="E1079" t="s">
        <v>21</v>
      </c>
      <c r="F1079">
        <v>93</v>
      </c>
      <c r="G1079">
        <v>83</v>
      </c>
      <c r="H1079">
        <v>15</v>
      </c>
      <c r="I1079">
        <f>Inventory_Data[[#This Row],[Opening_Stock]]+Inventory_Data[[#This Row],[Units_Received]]-Inventory_Data[[#This Row],[Units_Sold]]</f>
        <v>161</v>
      </c>
      <c r="J1079">
        <v>0</v>
      </c>
      <c r="K1079">
        <v>12</v>
      </c>
      <c r="L1079" t="s">
        <v>24</v>
      </c>
      <c r="M1079" s="3">
        <v>174.58</v>
      </c>
      <c r="N1079" s="3">
        <v>212.68</v>
      </c>
      <c r="O1079" s="10" t="str">
        <f>TEXT(Inventory_Data[[#This Row],[Date]],"mmm")</f>
        <v>Jul</v>
      </c>
    </row>
    <row r="1080" spans="1:15" x14ac:dyDescent="0.2">
      <c r="A1080" s="21">
        <v>45855</v>
      </c>
      <c r="B1080" s="5" t="s">
        <v>120</v>
      </c>
      <c r="C1080" t="s">
        <v>121</v>
      </c>
      <c r="D1080" t="s">
        <v>16</v>
      </c>
      <c r="E1080" t="s">
        <v>28</v>
      </c>
      <c r="F1080">
        <v>56</v>
      </c>
      <c r="G1080">
        <v>10</v>
      </c>
      <c r="H1080">
        <v>19</v>
      </c>
      <c r="I1080">
        <f>Inventory_Data[[#This Row],[Opening_Stock]]+Inventory_Data[[#This Row],[Units_Received]]-Inventory_Data[[#This Row],[Units_Sold]]</f>
        <v>47</v>
      </c>
      <c r="J1080">
        <v>0</v>
      </c>
      <c r="K1080">
        <v>6</v>
      </c>
      <c r="L1080" t="s">
        <v>24</v>
      </c>
      <c r="M1080" s="3">
        <v>16.16</v>
      </c>
      <c r="N1080" s="3">
        <v>24.64</v>
      </c>
      <c r="O1080" s="10" t="str">
        <f>TEXT(Inventory_Data[[#This Row],[Date]],"mmm")</f>
        <v>Jul</v>
      </c>
    </row>
    <row r="1081" spans="1:15" x14ac:dyDescent="0.2">
      <c r="A1081" s="21">
        <v>45855</v>
      </c>
      <c r="B1081" s="5" t="s">
        <v>120</v>
      </c>
      <c r="C1081" t="s">
        <v>121</v>
      </c>
      <c r="D1081" t="s">
        <v>16</v>
      </c>
      <c r="E1081" t="s">
        <v>35</v>
      </c>
      <c r="F1081">
        <v>162</v>
      </c>
      <c r="G1081">
        <v>44</v>
      </c>
      <c r="H1081">
        <v>53</v>
      </c>
      <c r="I1081">
        <f>Inventory_Data[[#This Row],[Opening_Stock]]+Inventory_Data[[#This Row],[Units_Received]]-Inventory_Data[[#This Row],[Units_Sold]]</f>
        <v>153</v>
      </c>
      <c r="J1081">
        <v>0</v>
      </c>
      <c r="K1081">
        <v>12</v>
      </c>
      <c r="L1081" t="s">
        <v>18</v>
      </c>
      <c r="M1081" s="3">
        <v>176.41</v>
      </c>
      <c r="N1081" s="3">
        <v>241.07</v>
      </c>
      <c r="O1081" s="10" t="str">
        <f>TEXT(Inventory_Data[[#This Row],[Date]],"mmm")</f>
        <v>Jul</v>
      </c>
    </row>
    <row r="1082" spans="1:15" x14ac:dyDescent="0.2">
      <c r="A1082" s="21">
        <v>45855</v>
      </c>
      <c r="B1082" s="5" t="s">
        <v>188</v>
      </c>
      <c r="C1082" t="s">
        <v>189</v>
      </c>
      <c r="D1082" t="s">
        <v>27</v>
      </c>
      <c r="E1082" t="s">
        <v>28</v>
      </c>
      <c r="F1082">
        <v>395</v>
      </c>
      <c r="G1082">
        <v>196</v>
      </c>
      <c r="H1082">
        <v>197</v>
      </c>
      <c r="I1082">
        <f>Inventory_Data[[#This Row],[Opening_Stock]]+Inventory_Data[[#This Row],[Units_Received]]-Inventory_Data[[#This Row],[Units_Sold]]</f>
        <v>394</v>
      </c>
      <c r="J1082">
        <v>0</v>
      </c>
      <c r="K1082">
        <v>2</v>
      </c>
      <c r="L1082" t="s">
        <v>66</v>
      </c>
      <c r="M1082" s="3">
        <v>20.440000000000001</v>
      </c>
      <c r="N1082" s="3">
        <v>28.66</v>
      </c>
      <c r="O1082" s="10" t="str">
        <f>TEXT(Inventory_Data[[#This Row],[Date]],"mmm")</f>
        <v>Jul</v>
      </c>
    </row>
    <row r="1083" spans="1:15" x14ac:dyDescent="0.2">
      <c r="A1083" s="21">
        <v>45855</v>
      </c>
      <c r="B1083" s="5" t="s">
        <v>110</v>
      </c>
      <c r="C1083" t="s">
        <v>111</v>
      </c>
      <c r="D1083" t="s">
        <v>52</v>
      </c>
      <c r="E1083" t="s">
        <v>21</v>
      </c>
      <c r="F1083">
        <v>20</v>
      </c>
      <c r="G1083">
        <v>8</v>
      </c>
      <c r="H1083">
        <v>5</v>
      </c>
      <c r="I1083">
        <f>Inventory_Data[[#This Row],[Opening_Stock]]+Inventory_Data[[#This Row],[Units_Received]]-Inventory_Data[[#This Row],[Units_Sold]]</f>
        <v>23</v>
      </c>
      <c r="J1083">
        <v>0</v>
      </c>
      <c r="K1083">
        <v>2</v>
      </c>
      <c r="L1083" t="s">
        <v>53</v>
      </c>
      <c r="M1083" s="3">
        <v>246.25</v>
      </c>
      <c r="N1083" s="3">
        <v>329.17</v>
      </c>
      <c r="O1083" s="10" t="str">
        <f>TEXT(Inventory_Data[[#This Row],[Date]],"mmm")</f>
        <v>Jul</v>
      </c>
    </row>
    <row r="1084" spans="1:15" x14ac:dyDescent="0.2">
      <c r="A1084" s="21">
        <v>45855</v>
      </c>
      <c r="B1084" s="5" t="s">
        <v>176</v>
      </c>
      <c r="C1084" t="s">
        <v>177</v>
      </c>
      <c r="D1084" t="s">
        <v>34</v>
      </c>
      <c r="E1084" t="s">
        <v>28</v>
      </c>
      <c r="F1084">
        <v>132</v>
      </c>
      <c r="G1084">
        <v>113</v>
      </c>
      <c r="H1084">
        <v>67</v>
      </c>
      <c r="I1084">
        <f>Inventory_Data[[#This Row],[Opening_Stock]]+Inventory_Data[[#This Row],[Units_Received]]-Inventory_Data[[#This Row],[Units_Sold]]</f>
        <v>178</v>
      </c>
      <c r="J1084">
        <v>0</v>
      </c>
      <c r="K1084">
        <v>4</v>
      </c>
      <c r="L1084" t="s">
        <v>42</v>
      </c>
      <c r="M1084" s="3">
        <v>20.18</v>
      </c>
      <c r="N1084" s="3">
        <v>30.5</v>
      </c>
      <c r="O1084" s="10" t="str">
        <f>TEXT(Inventory_Data[[#This Row],[Date]],"mmm")</f>
        <v>Jul</v>
      </c>
    </row>
    <row r="1085" spans="1:15" x14ac:dyDescent="0.2">
      <c r="A1085" s="21">
        <v>45855</v>
      </c>
      <c r="B1085" s="5" t="s">
        <v>196</v>
      </c>
      <c r="C1085" t="s">
        <v>197</v>
      </c>
      <c r="D1085" t="s">
        <v>34</v>
      </c>
      <c r="E1085" t="s">
        <v>17</v>
      </c>
      <c r="F1085">
        <v>159</v>
      </c>
      <c r="G1085">
        <v>106</v>
      </c>
      <c r="H1085">
        <v>149</v>
      </c>
      <c r="I1085">
        <f>Inventory_Data[[#This Row],[Opening_Stock]]+Inventory_Data[[#This Row],[Units_Received]]-Inventory_Data[[#This Row],[Units_Sold]]</f>
        <v>116</v>
      </c>
      <c r="J1085">
        <v>0</v>
      </c>
      <c r="K1085">
        <v>9</v>
      </c>
      <c r="L1085" t="s">
        <v>36</v>
      </c>
      <c r="M1085" s="3">
        <v>10.65</v>
      </c>
      <c r="N1085" s="3">
        <v>15.46</v>
      </c>
      <c r="O1085" s="10" t="str">
        <f>TEXT(Inventory_Data[[#This Row],[Date]],"mmm")</f>
        <v>Jul</v>
      </c>
    </row>
    <row r="1086" spans="1:15" x14ac:dyDescent="0.2">
      <c r="A1086" s="21">
        <v>45856</v>
      </c>
      <c r="B1086" s="5" t="s">
        <v>92</v>
      </c>
      <c r="C1086" t="s">
        <v>93</v>
      </c>
      <c r="D1086" t="s">
        <v>27</v>
      </c>
      <c r="E1086" t="s">
        <v>35</v>
      </c>
      <c r="F1086">
        <v>387</v>
      </c>
      <c r="G1086">
        <v>235</v>
      </c>
      <c r="H1086">
        <v>40</v>
      </c>
      <c r="I1086">
        <f>Inventory_Data[[#This Row],[Opening_Stock]]+Inventory_Data[[#This Row],[Units_Received]]-Inventory_Data[[#This Row],[Units_Sold]]</f>
        <v>582</v>
      </c>
      <c r="J1086">
        <v>0</v>
      </c>
      <c r="K1086">
        <v>2</v>
      </c>
      <c r="L1086" t="s">
        <v>29</v>
      </c>
      <c r="M1086" s="3">
        <v>6.08</v>
      </c>
      <c r="N1086" s="3">
        <v>8.15</v>
      </c>
      <c r="O1086" s="10" t="str">
        <f>TEXT(Inventory_Data[[#This Row],[Date]],"mmm")</f>
        <v>Jul</v>
      </c>
    </row>
    <row r="1087" spans="1:15" x14ac:dyDescent="0.2">
      <c r="A1087" s="21">
        <v>45856</v>
      </c>
      <c r="B1087" s="5" t="s">
        <v>188</v>
      </c>
      <c r="C1087" t="s">
        <v>189</v>
      </c>
      <c r="D1087" t="s">
        <v>27</v>
      </c>
      <c r="E1087" t="s">
        <v>21</v>
      </c>
      <c r="F1087">
        <v>385</v>
      </c>
      <c r="G1087">
        <v>47</v>
      </c>
      <c r="H1087">
        <v>188</v>
      </c>
      <c r="I1087">
        <f>Inventory_Data[[#This Row],[Opening_Stock]]+Inventory_Data[[#This Row],[Units_Received]]-Inventory_Data[[#This Row],[Units_Sold]]</f>
        <v>244</v>
      </c>
      <c r="J1087">
        <v>0</v>
      </c>
      <c r="K1087">
        <v>6</v>
      </c>
      <c r="L1087" t="s">
        <v>66</v>
      </c>
      <c r="M1087" s="3">
        <v>7.68</v>
      </c>
      <c r="N1087" s="3">
        <v>11.11</v>
      </c>
      <c r="O1087" s="10" t="str">
        <f>TEXT(Inventory_Data[[#This Row],[Date]],"mmm")</f>
        <v>Jul</v>
      </c>
    </row>
    <row r="1088" spans="1:15" x14ac:dyDescent="0.2">
      <c r="A1088" s="21">
        <v>45856</v>
      </c>
      <c r="B1088" s="5" t="s">
        <v>136</v>
      </c>
      <c r="C1088" t="s">
        <v>137</v>
      </c>
      <c r="D1088" t="s">
        <v>27</v>
      </c>
      <c r="E1088" t="s">
        <v>21</v>
      </c>
      <c r="F1088">
        <v>305</v>
      </c>
      <c r="G1088">
        <v>235</v>
      </c>
      <c r="H1088">
        <v>185</v>
      </c>
      <c r="I1088">
        <f>Inventory_Data[[#This Row],[Opening_Stock]]+Inventory_Data[[#This Row],[Units_Received]]-Inventory_Data[[#This Row],[Units_Sold]]</f>
        <v>355</v>
      </c>
      <c r="J1088">
        <v>0</v>
      </c>
      <c r="K1088">
        <v>6</v>
      </c>
      <c r="L1088" t="s">
        <v>66</v>
      </c>
      <c r="M1088" s="3">
        <v>24.93</v>
      </c>
      <c r="N1088" s="3">
        <v>32.909999999999997</v>
      </c>
      <c r="O1088" s="10" t="str">
        <f>TEXT(Inventory_Data[[#This Row],[Date]],"mmm")</f>
        <v>Jul</v>
      </c>
    </row>
    <row r="1089" spans="1:15" x14ac:dyDescent="0.2">
      <c r="A1089" s="21">
        <v>45856</v>
      </c>
      <c r="B1089" s="5" t="s">
        <v>37</v>
      </c>
      <c r="C1089" t="s">
        <v>38</v>
      </c>
      <c r="D1089" t="s">
        <v>34</v>
      </c>
      <c r="E1089" t="s">
        <v>35</v>
      </c>
      <c r="F1089">
        <v>218</v>
      </c>
      <c r="G1089">
        <v>74</v>
      </c>
      <c r="H1089">
        <v>59</v>
      </c>
      <c r="I1089">
        <f>Inventory_Data[[#This Row],[Opening_Stock]]+Inventory_Data[[#This Row],[Units_Received]]-Inventory_Data[[#This Row],[Units_Sold]]</f>
        <v>233</v>
      </c>
      <c r="J1089">
        <v>0</v>
      </c>
      <c r="K1089">
        <v>12</v>
      </c>
      <c r="L1089" t="s">
        <v>39</v>
      </c>
      <c r="M1089" s="3">
        <v>27.9</v>
      </c>
      <c r="N1089" s="3">
        <v>32.82</v>
      </c>
      <c r="O1089" s="10" t="str">
        <f>TEXT(Inventory_Data[[#This Row],[Date]],"mmm")</f>
        <v>Jul</v>
      </c>
    </row>
    <row r="1090" spans="1:15" x14ac:dyDescent="0.2">
      <c r="A1090" s="21">
        <v>45857</v>
      </c>
      <c r="B1090" s="5" t="s">
        <v>71</v>
      </c>
      <c r="C1090" t="s">
        <v>72</v>
      </c>
      <c r="D1090" t="s">
        <v>16</v>
      </c>
      <c r="E1090" t="s">
        <v>21</v>
      </c>
      <c r="F1090">
        <v>102</v>
      </c>
      <c r="G1090">
        <v>75</v>
      </c>
      <c r="H1090">
        <v>26</v>
      </c>
      <c r="I1090">
        <f>Inventory_Data[[#This Row],[Opening_Stock]]+Inventory_Data[[#This Row],[Units_Received]]-Inventory_Data[[#This Row],[Units_Sold]]</f>
        <v>151</v>
      </c>
      <c r="J1090">
        <v>0</v>
      </c>
      <c r="K1090">
        <v>5</v>
      </c>
      <c r="L1090" t="s">
        <v>45</v>
      </c>
      <c r="M1090" s="3">
        <v>162.83000000000001</v>
      </c>
      <c r="N1090" s="3">
        <v>210.23</v>
      </c>
      <c r="O1090" s="10" t="str">
        <f>TEXT(Inventory_Data[[#This Row],[Date]],"mmm")</f>
        <v>Jul</v>
      </c>
    </row>
    <row r="1091" spans="1:15" x14ac:dyDescent="0.2">
      <c r="A1091" s="21">
        <v>45857</v>
      </c>
      <c r="B1091" s="5" t="s">
        <v>98</v>
      </c>
      <c r="C1091" t="s">
        <v>99</v>
      </c>
      <c r="D1091" t="s">
        <v>27</v>
      </c>
      <c r="E1091" t="s">
        <v>28</v>
      </c>
      <c r="F1091">
        <v>171</v>
      </c>
      <c r="G1091">
        <v>100</v>
      </c>
      <c r="H1091">
        <v>161</v>
      </c>
      <c r="I1091">
        <f>Inventory_Data[[#This Row],[Opening_Stock]]+Inventory_Data[[#This Row],[Units_Received]]-Inventory_Data[[#This Row],[Units_Sold]]</f>
        <v>110</v>
      </c>
      <c r="J1091">
        <v>0</v>
      </c>
      <c r="K1091">
        <v>4</v>
      </c>
      <c r="L1091" t="s">
        <v>66</v>
      </c>
      <c r="M1091" s="3">
        <v>23.99</v>
      </c>
      <c r="N1091" s="3">
        <v>34.630000000000003</v>
      </c>
      <c r="O1091" s="10" t="str">
        <f>TEXT(Inventory_Data[[#This Row],[Date]],"mmm")</f>
        <v>Jul</v>
      </c>
    </row>
    <row r="1092" spans="1:15" x14ac:dyDescent="0.2">
      <c r="A1092" s="21">
        <v>45858</v>
      </c>
      <c r="B1092" s="5" t="s">
        <v>19</v>
      </c>
      <c r="C1092" t="s">
        <v>20</v>
      </c>
      <c r="D1092" t="s">
        <v>16</v>
      </c>
      <c r="E1092" t="s">
        <v>28</v>
      </c>
      <c r="F1092">
        <v>53</v>
      </c>
      <c r="G1092">
        <v>54</v>
      </c>
      <c r="H1092">
        <v>65</v>
      </c>
      <c r="I1092">
        <f>Inventory_Data[[#This Row],[Opening_Stock]]+Inventory_Data[[#This Row],[Units_Received]]-Inventory_Data[[#This Row],[Units_Sold]]</f>
        <v>42</v>
      </c>
      <c r="J1092">
        <v>0</v>
      </c>
      <c r="K1092">
        <v>4</v>
      </c>
      <c r="L1092" t="s">
        <v>24</v>
      </c>
      <c r="M1092" s="3">
        <v>122.13</v>
      </c>
      <c r="N1092" s="3">
        <v>155.08000000000001</v>
      </c>
      <c r="O1092" s="10" t="str">
        <f>TEXT(Inventory_Data[[#This Row],[Date]],"mmm")</f>
        <v>Jul</v>
      </c>
    </row>
    <row r="1093" spans="1:15" x14ac:dyDescent="0.2">
      <c r="A1093" s="21">
        <v>45858</v>
      </c>
      <c r="B1093" s="5" t="s">
        <v>172</v>
      </c>
      <c r="C1093" t="s">
        <v>173</v>
      </c>
      <c r="D1093" t="s">
        <v>27</v>
      </c>
      <c r="E1093" t="s">
        <v>21</v>
      </c>
      <c r="F1093">
        <v>138</v>
      </c>
      <c r="G1093">
        <v>128</v>
      </c>
      <c r="H1093">
        <v>211</v>
      </c>
      <c r="I1093">
        <f>Inventory_Data[[#This Row],[Opening_Stock]]+Inventory_Data[[#This Row],[Units_Received]]-Inventory_Data[[#This Row],[Units_Sold]]</f>
        <v>55</v>
      </c>
      <c r="J1093">
        <v>0</v>
      </c>
      <c r="K1093">
        <v>1</v>
      </c>
      <c r="L1093" t="s">
        <v>29</v>
      </c>
      <c r="M1093" s="3">
        <v>10.32</v>
      </c>
      <c r="N1093" s="3">
        <v>11.91</v>
      </c>
      <c r="O1093" s="10" t="str">
        <f>TEXT(Inventory_Data[[#This Row],[Date]],"mmm")</f>
        <v>Jul</v>
      </c>
    </row>
    <row r="1094" spans="1:15" x14ac:dyDescent="0.2">
      <c r="A1094" s="21">
        <v>45858</v>
      </c>
      <c r="B1094" s="5" t="s">
        <v>142</v>
      </c>
      <c r="C1094" t="s">
        <v>143</v>
      </c>
      <c r="D1094" t="s">
        <v>52</v>
      </c>
      <c r="E1094" t="s">
        <v>17</v>
      </c>
      <c r="F1094">
        <v>42</v>
      </c>
      <c r="G1094">
        <v>17</v>
      </c>
      <c r="H1094">
        <v>15</v>
      </c>
      <c r="I1094">
        <f>Inventory_Data[[#This Row],[Opening_Stock]]+Inventory_Data[[#This Row],[Units_Received]]-Inventory_Data[[#This Row],[Units_Sold]]</f>
        <v>44</v>
      </c>
      <c r="J1094">
        <v>0</v>
      </c>
      <c r="K1094">
        <v>7</v>
      </c>
      <c r="L1094" t="s">
        <v>56</v>
      </c>
      <c r="M1094" s="3">
        <v>35.67</v>
      </c>
      <c r="N1094" s="3">
        <v>47.7</v>
      </c>
      <c r="O1094" s="10" t="str">
        <f>TEXT(Inventory_Data[[#This Row],[Date]],"mmm")</f>
        <v>Jul</v>
      </c>
    </row>
    <row r="1095" spans="1:15" x14ac:dyDescent="0.2">
      <c r="A1095" s="21">
        <v>45858</v>
      </c>
      <c r="B1095" s="5" t="s">
        <v>88</v>
      </c>
      <c r="C1095" t="s">
        <v>89</v>
      </c>
      <c r="D1095" t="s">
        <v>34</v>
      </c>
      <c r="E1095" t="s">
        <v>21</v>
      </c>
      <c r="F1095">
        <v>251</v>
      </c>
      <c r="G1095">
        <v>48</v>
      </c>
      <c r="H1095">
        <v>108</v>
      </c>
      <c r="I1095">
        <f>Inventory_Data[[#This Row],[Opening_Stock]]+Inventory_Data[[#This Row],[Units_Received]]-Inventory_Data[[#This Row],[Units_Sold]]</f>
        <v>191</v>
      </c>
      <c r="J1095">
        <v>0</v>
      </c>
      <c r="K1095">
        <v>8</v>
      </c>
      <c r="L1095" t="s">
        <v>36</v>
      </c>
      <c r="M1095" s="3">
        <v>22.33</v>
      </c>
      <c r="N1095" s="3">
        <v>27.79</v>
      </c>
      <c r="O1095" s="10" t="str">
        <f>TEXT(Inventory_Data[[#This Row],[Date]],"mmm")</f>
        <v>Jul</v>
      </c>
    </row>
    <row r="1096" spans="1:15" x14ac:dyDescent="0.2">
      <c r="A1096" s="21">
        <v>45858</v>
      </c>
      <c r="B1096" s="5" t="s">
        <v>104</v>
      </c>
      <c r="C1096" t="s">
        <v>105</v>
      </c>
      <c r="D1096" t="s">
        <v>34</v>
      </c>
      <c r="E1096" t="s">
        <v>21</v>
      </c>
      <c r="F1096">
        <v>318</v>
      </c>
      <c r="G1096">
        <v>151</v>
      </c>
      <c r="H1096">
        <v>57</v>
      </c>
      <c r="I1096">
        <f>Inventory_Data[[#This Row],[Opening_Stock]]+Inventory_Data[[#This Row],[Units_Received]]-Inventory_Data[[#This Row],[Units_Sold]]</f>
        <v>412</v>
      </c>
      <c r="J1096">
        <v>0</v>
      </c>
      <c r="K1096">
        <v>8</v>
      </c>
      <c r="L1096" t="s">
        <v>39</v>
      </c>
      <c r="M1096" s="3">
        <v>5.46</v>
      </c>
      <c r="N1096" s="3">
        <v>8.2899999999999991</v>
      </c>
      <c r="O1096" s="10" t="str">
        <f>TEXT(Inventory_Data[[#This Row],[Date]],"mmm")</f>
        <v>Jul</v>
      </c>
    </row>
    <row r="1097" spans="1:15" x14ac:dyDescent="0.2">
      <c r="A1097" s="21">
        <v>45858</v>
      </c>
      <c r="B1097" s="5" t="s">
        <v>69</v>
      </c>
      <c r="C1097" t="s">
        <v>70</v>
      </c>
      <c r="D1097" t="s">
        <v>34</v>
      </c>
      <c r="E1097" t="s">
        <v>35</v>
      </c>
      <c r="F1097">
        <v>246</v>
      </c>
      <c r="G1097">
        <v>215</v>
      </c>
      <c r="H1097">
        <v>144</v>
      </c>
      <c r="I1097">
        <f>Inventory_Data[[#This Row],[Opening_Stock]]+Inventory_Data[[#This Row],[Units_Received]]-Inventory_Data[[#This Row],[Units_Sold]]</f>
        <v>317</v>
      </c>
      <c r="J1097">
        <v>0</v>
      </c>
      <c r="K1097">
        <v>5</v>
      </c>
      <c r="L1097" t="s">
        <v>42</v>
      </c>
      <c r="M1097" s="3">
        <v>16</v>
      </c>
      <c r="N1097" s="3">
        <v>21.04</v>
      </c>
      <c r="O1097" s="10" t="str">
        <f>TEXT(Inventory_Data[[#This Row],[Date]],"mmm")</f>
        <v>Jul</v>
      </c>
    </row>
    <row r="1098" spans="1:15" x14ac:dyDescent="0.2">
      <c r="A1098" s="21">
        <v>45859</v>
      </c>
      <c r="B1098" s="5" t="s">
        <v>166</v>
      </c>
      <c r="C1098" t="s">
        <v>167</v>
      </c>
      <c r="D1098" t="s">
        <v>16</v>
      </c>
      <c r="E1098" t="s">
        <v>17</v>
      </c>
      <c r="F1098">
        <v>81</v>
      </c>
      <c r="G1098">
        <v>36</v>
      </c>
      <c r="H1098">
        <v>39</v>
      </c>
      <c r="I1098">
        <f>Inventory_Data[[#This Row],[Opening_Stock]]+Inventory_Data[[#This Row],[Units_Received]]-Inventory_Data[[#This Row],[Units_Sold]]</f>
        <v>78</v>
      </c>
      <c r="J1098">
        <v>0</v>
      </c>
      <c r="K1098">
        <v>5</v>
      </c>
      <c r="L1098" t="s">
        <v>45</v>
      </c>
      <c r="M1098" s="3">
        <v>160.1</v>
      </c>
      <c r="N1098" s="3">
        <v>215.05</v>
      </c>
      <c r="O1098" s="10" t="str">
        <f>TEXT(Inventory_Data[[#This Row],[Date]],"mmm")</f>
        <v>Jul</v>
      </c>
    </row>
    <row r="1099" spans="1:15" x14ac:dyDescent="0.2">
      <c r="A1099" s="21">
        <v>45859</v>
      </c>
      <c r="B1099" s="5" t="s">
        <v>120</v>
      </c>
      <c r="C1099" t="s">
        <v>121</v>
      </c>
      <c r="D1099" t="s">
        <v>16</v>
      </c>
      <c r="E1099" t="s">
        <v>35</v>
      </c>
      <c r="F1099">
        <v>108</v>
      </c>
      <c r="G1099">
        <v>58</v>
      </c>
      <c r="H1099">
        <v>74</v>
      </c>
      <c r="I1099">
        <f>Inventory_Data[[#This Row],[Opening_Stock]]+Inventory_Data[[#This Row],[Units_Received]]-Inventory_Data[[#This Row],[Units_Sold]]</f>
        <v>92</v>
      </c>
      <c r="J1099">
        <v>0</v>
      </c>
      <c r="K1099">
        <v>11</v>
      </c>
      <c r="L1099" t="s">
        <v>45</v>
      </c>
      <c r="M1099" s="3">
        <v>202.48</v>
      </c>
      <c r="N1099" s="3">
        <v>242.01</v>
      </c>
      <c r="O1099" s="10" t="str">
        <f>TEXT(Inventory_Data[[#This Row],[Date]],"mmm")</f>
        <v>Jul</v>
      </c>
    </row>
    <row r="1100" spans="1:15" x14ac:dyDescent="0.2">
      <c r="A1100" s="21">
        <v>45859</v>
      </c>
      <c r="B1100" s="5" t="s">
        <v>25</v>
      </c>
      <c r="C1100" t="s">
        <v>26</v>
      </c>
      <c r="D1100" t="s">
        <v>27</v>
      </c>
      <c r="E1100" t="s">
        <v>21</v>
      </c>
      <c r="F1100">
        <v>398</v>
      </c>
      <c r="G1100">
        <v>112</v>
      </c>
      <c r="H1100">
        <v>80</v>
      </c>
      <c r="I1100">
        <f>Inventory_Data[[#This Row],[Opening_Stock]]+Inventory_Data[[#This Row],[Units_Received]]-Inventory_Data[[#This Row],[Units_Sold]]</f>
        <v>430</v>
      </c>
      <c r="J1100">
        <v>0</v>
      </c>
      <c r="K1100">
        <v>5</v>
      </c>
      <c r="L1100" t="s">
        <v>66</v>
      </c>
      <c r="M1100" s="3">
        <v>18.27</v>
      </c>
      <c r="N1100" s="3">
        <v>25.92</v>
      </c>
      <c r="O1100" s="10" t="str">
        <f>TEXT(Inventory_Data[[#This Row],[Date]],"mmm")</f>
        <v>Jul</v>
      </c>
    </row>
    <row r="1101" spans="1:15" x14ac:dyDescent="0.2">
      <c r="A1101" s="21">
        <v>45859</v>
      </c>
      <c r="B1101" s="5" t="s">
        <v>186</v>
      </c>
      <c r="C1101" t="s">
        <v>187</v>
      </c>
      <c r="D1101" t="s">
        <v>27</v>
      </c>
      <c r="E1101" t="s">
        <v>17</v>
      </c>
      <c r="F1101">
        <v>167</v>
      </c>
      <c r="G1101">
        <v>111</v>
      </c>
      <c r="H1101">
        <v>144</v>
      </c>
      <c r="I1101">
        <f>Inventory_Data[[#This Row],[Opening_Stock]]+Inventory_Data[[#This Row],[Units_Received]]-Inventory_Data[[#This Row],[Units_Sold]]</f>
        <v>134</v>
      </c>
      <c r="J1101">
        <v>0</v>
      </c>
      <c r="K1101">
        <v>6</v>
      </c>
      <c r="L1101" t="s">
        <v>29</v>
      </c>
      <c r="M1101" s="3">
        <v>10.44</v>
      </c>
      <c r="N1101" s="3">
        <v>12.42</v>
      </c>
      <c r="O1101" s="10" t="str">
        <f>TEXT(Inventory_Data[[#This Row],[Date]],"mmm")</f>
        <v>Jul</v>
      </c>
    </row>
    <row r="1102" spans="1:15" x14ac:dyDescent="0.2">
      <c r="A1102" s="21">
        <v>45859</v>
      </c>
      <c r="B1102" s="5" t="s">
        <v>50</v>
      </c>
      <c r="C1102" t="s">
        <v>51</v>
      </c>
      <c r="D1102" t="s">
        <v>52</v>
      </c>
      <c r="E1102" t="s">
        <v>17</v>
      </c>
      <c r="F1102">
        <v>25</v>
      </c>
      <c r="G1102">
        <v>16</v>
      </c>
      <c r="H1102">
        <v>3</v>
      </c>
      <c r="I1102">
        <f>Inventory_Data[[#This Row],[Opening_Stock]]+Inventory_Data[[#This Row],[Units_Received]]-Inventory_Data[[#This Row],[Units_Sold]]</f>
        <v>38</v>
      </c>
      <c r="J1102">
        <v>0</v>
      </c>
      <c r="K1102">
        <v>10</v>
      </c>
      <c r="L1102" t="s">
        <v>53</v>
      </c>
      <c r="M1102" s="3">
        <v>313.01</v>
      </c>
      <c r="N1102" s="3">
        <v>417.37</v>
      </c>
      <c r="O1102" s="10" t="str">
        <f>TEXT(Inventory_Data[[#This Row],[Date]],"mmm")</f>
        <v>Jul</v>
      </c>
    </row>
    <row r="1103" spans="1:15" x14ac:dyDescent="0.2">
      <c r="A1103" s="21">
        <v>45859</v>
      </c>
      <c r="B1103" s="5" t="s">
        <v>174</v>
      </c>
      <c r="C1103" t="s">
        <v>175</v>
      </c>
      <c r="D1103" t="s">
        <v>52</v>
      </c>
      <c r="E1103" t="s">
        <v>35</v>
      </c>
      <c r="F1103">
        <v>60</v>
      </c>
      <c r="G1103">
        <v>10</v>
      </c>
      <c r="H1103">
        <v>8</v>
      </c>
      <c r="I1103">
        <f>Inventory_Data[[#This Row],[Opening_Stock]]+Inventory_Data[[#This Row],[Units_Received]]-Inventory_Data[[#This Row],[Units_Sold]]</f>
        <v>62</v>
      </c>
      <c r="J1103">
        <v>0</v>
      </c>
      <c r="K1103">
        <v>9</v>
      </c>
      <c r="L1103" t="s">
        <v>83</v>
      </c>
      <c r="M1103" s="3">
        <v>228.51</v>
      </c>
      <c r="N1103" s="3">
        <v>289</v>
      </c>
      <c r="O1103" s="10" t="str">
        <f>TEXT(Inventory_Data[[#This Row],[Date]],"mmm")</f>
        <v>Jul</v>
      </c>
    </row>
    <row r="1104" spans="1:15" x14ac:dyDescent="0.2">
      <c r="A1104" s="21">
        <v>45859</v>
      </c>
      <c r="B1104" s="5" t="s">
        <v>180</v>
      </c>
      <c r="C1104" t="s">
        <v>181</v>
      </c>
      <c r="D1104" t="s">
        <v>34</v>
      </c>
      <c r="E1104" t="s">
        <v>28</v>
      </c>
      <c r="F1104">
        <v>250</v>
      </c>
      <c r="G1104">
        <v>178</v>
      </c>
      <c r="H1104">
        <v>66</v>
      </c>
      <c r="I1104">
        <f>Inventory_Data[[#This Row],[Opening_Stock]]+Inventory_Data[[#This Row],[Units_Received]]-Inventory_Data[[#This Row],[Units_Sold]]</f>
        <v>362</v>
      </c>
      <c r="J1104">
        <v>0</v>
      </c>
      <c r="K1104">
        <v>8</v>
      </c>
      <c r="L1104" t="s">
        <v>39</v>
      </c>
      <c r="M1104" s="3">
        <v>5.33</v>
      </c>
      <c r="N1104" s="3">
        <v>6.4</v>
      </c>
      <c r="O1104" s="10" t="str">
        <f>TEXT(Inventory_Data[[#This Row],[Date]],"mmm")</f>
        <v>Jul</v>
      </c>
    </row>
    <row r="1105" spans="1:15" x14ac:dyDescent="0.2">
      <c r="A1105" s="21">
        <v>45859</v>
      </c>
      <c r="B1105" s="5" t="s">
        <v>180</v>
      </c>
      <c r="C1105" t="s">
        <v>181</v>
      </c>
      <c r="D1105" t="s">
        <v>34</v>
      </c>
      <c r="E1105" t="s">
        <v>28</v>
      </c>
      <c r="F1105">
        <v>300</v>
      </c>
      <c r="G1105">
        <v>195</v>
      </c>
      <c r="H1105">
        <v>144</v>
      </c>
      <c r="I1105">
        <f>Inventory_Data[[#This Row],[Opening_Stock]]+Inventory_Data[[#This Row],[Units_Received]]-Inventory_Data[[#This Row],[Units_Sold]]</f>
        <v>351</v>
      </c>
      <c r="J1105">
        <v>0</v>
      </c>
      <c r="K1105">
        <v>2</v>
      </c>
      <c r="L1105" t="s">
        <v>39</v>
      </c>
      <c r="M1105" s="3">
        <v>26.2</v>
      </c>
      <c r="N1105" s="3">
        <v>39.61</v>
      </c>
      <c r="O1105" s="10" t="str">
        <f>TEXT(Inventory_Data[[#This Row],[Date]],"mmm")</f>
        <v>Jul</v>
      </c>
    </row>
    <row r="1106" spans="1:15" x14ac:dyDescent="0.2">
      <c r="A1106" s="21">
        <v>45860</v>
      </c>
      <c r="B1106" s="5" t="s">
        <v>190</v>
      </c>
      <c r="C1106" t="s">
        <v>191</v>
      </c>
      <c r="D1106" t="s">
        <v>48</v>
      </c>
      <c r="E1106" t="s">
        <v>35</v>
      </c>
      <c r="F1106">
        <v>141</v>
      </c>
      <c r="G1106">
        <v>94</v>
      </c>
      <c r="H1106">
        <v>91</v>
      </c>
      <c r="I1106">
        <f>Inventory_Data[[#This Row],[Opening_Stock]]+Inventory_Data[[#This Row],[Units_Received]]-Inventory_Data[[#This Row],[Units_Sold]]</f>
        <v>144</v>
      </c>
      <c r="J1106">
        <v>0</v>
      </c>
      <c r="K1106">
        <v>13</v>
      </c>
      <c r="L1106" t="s">
        <v>49</v>
      </c>
      <c r="M1106" s="3">
        <v>75.86</v>
      </c>
      <c r="N1106" s="3">
        <v>110.44</v>
      </c>
      <c r="O1106" s="10" t="str">
        <f>TEXT(Inventory_Data[[#This Row],[Date]],"mmm")</f>
        <v>Jul</v>
      </c>
    </row>
    <row r="1107" spans="1:15" x14ac:dyDescent="0.2">
      <c r="A1107" s="21">
        <v>45860</v>
      </c>
      <c r="B1107" s="5" t="s">
        <v>25</v>
      </c>
      <c r="C1107" t="s">
        <v>26</v>
      </c>
      <c r="D1107" t="s">
        <v>27</v>
      </c>
      <c r="E1107" t="s">
        <v>28</v>
      </c>
      <c r="F1107">
        <v>494</v>
      </c>
      <c r="G1107">
        <v>231</v>
      </c>
      <c r="H1107">
        <v>172</v>
      </c>
      <c r="I1107">
        <f>Inventory_Data[[#This Row],[Opening_Stock]]+Inventory_Data[[#This Row],[Units_Received]]-Inventory_Data[[#This Row],[Units_Sold]]</f>
        <v>553</v>
      </c>
      <c r="J1107">
        <v>0</v>
      </c>
      <c r="K1107">
        <v>6</v>
      </c>
      <c r="L1107" t="s">
        <v>29</v>
      </c>
      <c r="M1107" s="3">
        <v>3.45</v>
      </c>
      <c r="N1107" s="3">
        <v>4.5199999999999996</v>
      </c>
      <c r="O1107" s="10" t="str">
        <f>TEXT(Inventory_Data[[#This Row],[Date]],"mmm")</f>
        <v>Jul</v>
      </c>
    </row>
    <row r="1108" spans="1:15" x14ac:dyDescent="0.2">
      <c r="A1108" s="21">
        <v>45860</v>
      </c>
      <c r="B1108" s="5" t="s">
        <v>180</v>
      </c>
      <c r="C1108" t="s">
        <v>181</v>
      </c>
      <c r="D1108" t="s">
        <v>34</v>
      </c>
      <c r="E1108" t="s">
        <v>21</v>
      </c>
      <c r="F1108">
        <v>234</v>
      </c>
      <c r="G1108">
        <v>55</v>
      </c>
      <c r="H1108">
        <v>51</v>
      </c>
      <c r="I1108">
        <f>Inventory_Data[[#This Row],[Opening_Stock]]+Inventory_Data[[#This Row],[Units_Received]]-Inventory_Data[[#This Row],[Units_Sold]]</f>
        <v>238</v>
      </c>
      <c r="J1108">
        <v>0</v>
      </c>
      <c r="K1108">
        <v>3</v>
      </c>
      <c r="L1108" t="s">
        <v>36</v>
      </c>
      <c r="M1108" s="3">
        <v>11.49</v>
      </c>
      <c r="N1108" s="3">
        <v>15.08</v>
      </c>
      <c r="O1108" s="10" t="str">
        <f>TEXT(Inventory_Data[[#This Row],[Date]],"mmm")</f>
        <v>Jul</v>
      </c>
    </row>
    <row r="1109" spans="1:15" x14ac:dyDescent="0.2">
      <c r="A1109" s="21">
        <v>45861</v>
      </c>
      <c r="B1109" s="5" t="s">
        <v>120</v>
      </c>
      <c r="C1109" t="s">
        <v>121</v>
      </c>
      <c r="D1109" t="s">
        <v>16</v>
      </c>
      <c r="E1109" t="s">
        <v>35</v>
      </c>
      <c r="F1109">
        <v>50</v>
      </c>
      <c r="G1109">
        <v>23</v>
      </c>
      <c r="H1109">
        <v>29</v>
      </c>
      <c r="I1109">
        <f>Inventory_Data[[#This Row],[Opening_Stock]]+Inventory_Data[[#This Row],[Units_Received]]-Inventory_Data[[#This Row],[Units_Sold]]</f>
        <v>44</v>
      </c>
      <c r="J1109">
        <v>0</v>
      </c>
      <c r="K1109">
        <v>3</v>
      </c>
      <c r="L1109" t="s">
        <v>45</v>
      </c>
      <c r="M1109" s="3">
        <v>53.83</v>
      </c>
      <c r="N1109" s="3">
        <v>62.01</v>
      </c>
      <c r="O1109" s="10" t="str">
        <f>TEXT(Inventory_Data[[#This Row],[Date]],"mmm")</f>
        <v>Jul</v>
      </c>
    </row>
    <row r="1110" spans="1:15" x14ac:dyDescent="0.2">
      <c r="A1110" s="21">
        <v>45861</v>
      </c>
      <c r="B1110" s="5" t="s">
        <v>94</v>
      </c>
      <c r="C1110" t="s">
        <v>95</v>
      </c>
      <c r="D1110" t="s">
        <v>16</v>
      </c>
      <c r="E1110" t="s">
        <v>21</v>
      </c>
      <c r="F1110">
        <v>90</v>
      </c>
      <c r="G1110">
        <v>82</v>
      </c>
      <c r="H1110">
        <v>30</v>
      </c>
      <c r="I1110">
        <f>Inventory_Data[[#This Row],[Opening_Stock]]+Inventory_Data[[#This Row],[Units_Received]]-Inventory_Data[[#This Row],[Units_Sold]]</f>
        <v>142</v>
      </c>
      <c r="J1110">
        <v>0</v>
      </c>
      <c r="K1110">
        <v>6</v>
      </c>
      <c r="L1110" t="s">
        <v>45</v>
      </c>
      <c r="M1110" s="3">
        <v>165.86</v>
      </c>
      <c r="N1110" s="3">
        <v>246.37</v>
      </c>
      <c r="O1110" s="10" t="str">
        <f>TEXT(Inventory_Data[[#This Row],[Date]],"mmm")</f>
        <v>Jul</v>
      </c>
    </row>
    <row r="1111" spans="1:15" x14ac:dyDescent="0.2">
      <c r="A1111" s="21">
        <v>45861</v>
      </c>
      <c r="B1111" s="5" t="s">
        <v>192</v>
      </c>
      <c r="C1111" t="s">
        <v>193</v>
      </c>
      <c r="D1111" t="s">
        <v>48</v>
      </c>
      <c r="E1111" t="s">
        <v>35</v>
      </c>
      <c r="F1111">
        <v>62</v>
      </c>
      <c r="G1111">
        <v>102</v>
      </c>
      <c r="H1111">
        <v>64</v>
      </c>
      <c r="I1111">
        <f>Inventory_Data[[#This Row],[Opening_Stock]]+Inventory_Data[[#This Row],[Units_Received]]-Inventory_Data[[#This Row],[Units_Sold]]</f>
        <v>100</v>
      </c>
      <c r="J1111">
        <v>0</v>
      </c>
      <c r="K1111">
        <v>5</v>
      </c>
      <c r="L1111" t="s">
        <v>63</v>
      </c>
      <c r="M1111" s="3">
        <v>46.37</v>
      </c>
      <c r="N1111" s="3">
        <v>55.69</v>
      </c>
      <c r="O1111" s="10" t="str">
        <f>TEXT(Inventory_Data[[#This Row],[Date]],"mmm")</f>
        <v>Jul</v>
      </c>
    </row>
    <row r="1112" spans="1:15" x14ac:dyDescent="0.2">
      <c r="A1112" s="21">
        <v>45861</v>
      </c>
      <c r="B1112" s="5" t="s">
        <v>136</v>
      </c>
      <c r="C1112" t="s">
        <v>137</v>
      </c>
      <c r="D1112" t="s">
        <v>27</v>
      </c>
      <c r="E1112" t="s">
        <v>17</v>
      </c>
      <c r="F1112">
        <v>157</v>
      </c>
      <c r="G1112">
        <v>140</v>
      </c>
      <c r="H1112">
        <v>201</v>
      </c>
      <c r="I1112">
        <f>Inventory_Data[[#This Row],[Opening_Stock]]+Inventory_Data[[#This Row],[Units_Received]]-Inventory_Data[[#This Row],[Units_Sold]]</f>
        <v>96</v>
      </c>
      <c r="J1112">
        <v>0</v>
      </c>
      <c r="K1112">
        <v>6</v>
      </c>
      <c r="L1112" t="s">
        <v>80</v>
      </c>
      <c r="M1112" s="3">
        <v>14.26</v>
      </c>
      <c r="N1112" s="3">
        <v>20.73</v>
      </c>
      <c r="O1112" s="10" t="str">
        <f>TEXT(Inventory_Data[[#This Row],[Date]],"mmm")</f>
        <v>Jul</v>
      </c>
    </row>
    <row r="1113" spans="1:15" x14ac:dyDescent="0.2">
      <c r="A1113" s="21">
        <v>45862</v>
      </c>
      <c r="B1113" s="5" t="s">
        <v>14</v>
      </c>
      <c r="C1113" t="s">
        <v>15</v>
      </c>
      <c r="D1113" t="s">
        <v>16</v>
      </c>
      <c r="E1113" t="s">
        <v>35</v>
      </c>
      <c r="F1113">
        <v>63</v>
      </c>
      <c r="G1113">
        <v>69</v>
      </c>
      <c r="H1113">
        <v>13</v>
      </c>
      <c r="I1113">
        <f>Inventory_Data[[#This Row],[Opening_Stock]]+Inventory_Data[[#This Row],[Units_Received]]-Inventory_Data[[#This Row],[Units_Sold]]</f>
        <v>119</v>
      </c>
      <c r="J1113">
        <v>0</v>
      </c>
      <c r="K1113">
        <v>3</v>
      </c>
      <c r="L1113" t="s">
        <v>18</v>
      </c>
      <c r="M1113" s="3">
        <v>63.31</v>
      </c>
      <c r="N1113" s="3">
        <v>95.46</v>
      </c>
      <c r="O1113" s="10" t="str">
        <f>TEXT(Inventory_Data[[#This Row],[Date]],"mmm")</f>
        <v>Jul</v>
      </c>
    </row>
    <row r="1114" spans="1:15" x14ac:dyDescent="0.2">
      <c r="A1114" s="21">
        <v>45862</v>
      </c>
      <c r="B1114" s="5" t="s">
        <v>172</v>
      </c>
      <c r="C1114" t="s">
        <v>173</v>
      </c>
      <c r="D1114" t="s">
        <v>27</v>
      </c>
      <c r="E1114" t="s">
        <v>17</v>
      </c>
      <c r="F1114">
        <v>83</v>
      </c>
      <c r="G1114">
        <v>177</v>
      </c>
      <c r="H1114">
        <v>107</v>
      </c>
      <c r="I1114">
        <f>Inventory_Data[[#This Row],[Opening_Stock]]+Inventory_Data[[#This Row],[Units_Received]]-Inventory_Data[[#This Row],[Units_Sold]]</f>
        <v>153</v>
      </c>
      <c r="J1114">
        <v>0</v>
      </c>
      <c r="K1114">
        <v>1</v>
      </c>
      <c r="L1114" t="s">
        <v>66</v>
      </c>
      <c r="M1114" s="3">
        <v>8.24</v>
      </c>
      <c r="N1114" s="3">
        <v>11.98</v>
      </c>
      <c r="O1114" s="10" t="str">
        <f>TEXT(Inventory_Data[[#This Row],[Date]],"mmm")</f>
        <v>Jul</v>
      </c>
    </row>
    <row r="1115" spans="1:15" x14ac:dyDescent="0.2">
      <c r="A1115" s="21">
        <v>45862</v>
      </c>
      <c r="B1115" s="5" t="s">
        <v>148</v>
      </c>
      <c r="C1115" t="s">
        <v>149</v>
      </c>
      <c r="D1115" t="s">
        <v>27</v>
      </c>
      <c r="E1115" t="s">
        <v>17</v>
      </c>
      <c r="F1115">
        <v>230</v>
      </c>
      <c r="G1115">
        <v>207</v>
      </c>
      <c r="H1115">
        <v>207</v>
      </c>
      <c r="I1115">
        <f>Inventory_Data[[#This Row],[Opening_Stock]]+Inventory_Data[[#This Row],[Units_Received]]-Inventory_Data[[#This Row],[Units_Sold]]</f>
        <v>230</v>
      </c>
      <c r="J1115">
        <v>0</v>
      </c>
      <c r="K1115">
        <v>1</v>
      </c>
      <c r="L1115" t="s">
        <v>29</v>
      </c>
      <c r="M1115" s="3">
        <v>11.35</v>
      </c>
      <c r="N1115" s="3">
        <v>17.05</v>
      </c>
      <c r="O1115" s="10" t="str">
        <f>TEXT(Inventory_Data[[#This Row],[Date]],"mmm")</f>
        <v>Jul</v>
      </c>
    </row>
    <row r="1116" spans="1:15" x14ac:dyDescent="0.2">
      <c r="A1116" s="21">
        <v>45863</v>
      </c>
      <c r="B1116" s="5" t="s">
        <v>73</v>
      </c>
      <c r="C1116" t="s">
        <v>74</v>
      </c>
      <c r="D1116" t="s">
        <v>16</v>
      </c>
      <c r="E1116" t="s">
        <v>35</v>
      </c>
      <c r="F1116">
        <v>153</v>
      </c>
      <c r="G1116">
        <v>34</v>
      </c>
      <c r="H1116">
        <v>17</v>
      </c>
      <c r="I1116">
        <f>Inventory_Data[[#This Row],[Opening_Stock]]+Inventory_Data[[#This Row],[Units_Received]]-Inventory_Data[[#This Row],[Units_Sold]]</f>
        <v>170</v>
      </c>
      <c r="J1116">
        <v>0</v>
      </c>
      <c r="K1116">
        <v>6</v>
      </c>
      <c r="L1116" t="s">
        <v>24</v>
      </c>
      <c r="M1116" s="3">
        <v>39.96</v>
      </c>
      <c r="N1116" s="3">
        <v>53.6</v>
      </c>
      <c r="O1116" s="10" t="str">
        <f>TEXT(Inventory_Data[[#This Row],[Date]],"mmm")</f>
        <v>Jul</v>
      </c>
    </row>
    <row r="1117" spans="1:15" x14ac:dyDescent="0.2">
      <c r="A1117" s="21">
        <v>45863</v>
      </c>
      <c r="B1117" s="5" t="s">
        <v>110</v>
      </c>
      <c r="C1117" t="s">
        <v>111</v>
      </c>
      <c r="D1117" t="s">
        <v>52</v>
      </c>
      <c r="E1117" t="s">
        <v>17</v>
      </c>
      <c r="F1117">
        <v>74</v>
      </c>
      <c r="G1117">
        <v>5</v>
      </c>
      <c r="H1117">
        <v>18</v>
      </c>
      <c r="I1117">
        <f>Inventory_Data[[#This Row],[Opening_Stock]]+Inventory_Data[[#This Row],[Units_Received]]-Inventory_Data[[#This Row],[Units_Sold]]</f>
        <v>61</v>
      </c>
      <c r="J1117">
        <v>0</v>
      </c>
      <c r="K1117">
        <v>9</v>
      </c>
      <c r="L1117" t="s">
        <v>53</v>
      </c>
      <c r="M1117" s="3">
        <v>52.87</v>
      </c>
      <c r="N1117" s="3">
        <v>70.55</v>
      </c>
      <c r="O1117" s="10" t="str">
        <f>TEXT(Inventory_Data[[#This Row],[Date]],"mmm")</f>
        <v>Jul</v>
      </c>
    </row>
    <row r="1118" spans="1:15" x14ac:dyDescent="0.2">
      <c r="A1118" s="21">
        <v>45863</v>
      </c>
      <c r="B1118" s="5" t="s">
        <v>126</v>
      </c>
      <c r="C1118" t="s">
        <v>127</v>
      </c>
      <c r="D1118" t="s">
        <v>34</v>
      </c>
      <c r="E1118" t="s">
        <v>21</v>
      </c>
      <c r="F1118">
        <v>113</v>
      </c>
      <c r="G1118">
        <v>214</v>
      </c>
      <c r="H1118">
        <v>130</v>
      </c>
      <c r="I1118">
        <f>Inventory_Data[[#This Row],[Opening_Stock]]+Inventory_Data[[#This Row],[Units_Received]]-Inventory_Data[[#This Row],[Units_Sold]]</f>
        <v>197</v>
      </c>
      <c r="J1118">
        <v>0</v>
      </c>
      <c r="K1118">
        <v>7</v>
      </c>
      <c r="L1118" t="s">
        <v>42</v>
      </c>
      <c r="M1118" s="3">
        <v>19.22</v>
      </c>
      <c r="N1118" s="3">
        <v>29.26</v>
      </c>
      <c r="O1118" s="10" t="str">
        <f>TEXT(Inventory_Data[[#This Row],[Date]],"mmm")</f>
        <v>Jul</v>
      </c>
    </row>
    <row r="1119" spans="1:15" x14ac:dyDescent="0.2">
      <c r="A1119" s="21">
        <v>45863</v>
      </c>
      <c r="B1119" s="5" t="s">
        <v>43</v>
      </c>
      <c r="C1119" t="s">
        <v>44</v>
      </c>
      <c r="D1119" t="s">
        <v>34</v>
      </c>
      <c r="E1119" t="s">
        <v>17</v>
      </c>
      <c r="F1119">
        <v>126</v>
      </c>
      <c r="G1119">
        <v>32</v>
      </c>
      <c r="H1119">
        <v>158</v>
      </c>
      <c r="I1119">
        <f>Inventory_Data[[#This Row],[Opening_Stock]]+Inventory_Data[[#This Row],[Units_Received]]-Inventory_Data[[#This Row],[Units_Sold]]</f>
        <v>0</v>
      </c>
      <c r="J1119">
        <v>1</v>
      </c>
      <c r="K1119">
        <v>14</v>
      </c>
      <c r="L1119" t="s">
        <v>39</v>
      </c>
      <c r="M1119" s="3">
        <v>18.489999999999998</v>
      </c>
      <c r="N1119" s="3">
        <v>27.2</v>
      </c>
      <c r="O1119" s="10" t="str">
        <f>TEXT(Inventory_Data[[#This Row],[Date]],"mmm")</f>
        <v>Jul</v>
      </c>
    </row>
    <row r="1120" spans="1:15" x14ac:dyDescent="0.2">
      <c r="A1120" s="21">
        <v>45864</v>
      </c>
      <c r="B1120" s="5" t="s">
        <v>22</v>
      </c>
      <c r="C1120" t="s">
        <v>23</v>
      </c>
      <c r="D1120" t="s">
        <v>16</v>
      </c>
      <c r="E1120" t="s">
        <v>28</v>
      </c>
      <c r="F1120">
        <v>84</v>
      </c>
      <c r="G1120">
        <v>83</v>
      </c>
      <c r="H1120">
        <v>9</v>
      </c>
      <c r="I1120">
        <f>Inventory_Data[[#This Row],[Opening_Stock]]+Inventory_Data[[#This Row],[Units_Received]]-Inventory_Data[[#This Row],[Units_Sold]]</f>
        <v>158</v>
      </c>
      <c r="J1120">
        <v>0</v>
      </c>
      <c r="K1120">
        <v>3</v>
      </c>
      <c r="L1120" t="s">
        <v>18</v>
      </c>
      <c r="M1120" s="3">
        <v>151.16</v>
      </c>
      <c r="N1120" s="3">
        <v>186.9</v>
      </c>
      <c r="O1120" s="10" t="str">
        <f>TEXT(Inventory_Data[[#This Row],[Date]],"mmm")</f>
        <v>Jul</v>
      </c>
    </row>
    <row r="1121" spans="1:15" x14ac:dyDescent="0.2">
      <c r="A1121" s="21">
        <v>45864</v>
      </c>
      <c r="B1121" s="5" t="s">
        <v>75</v>
      </c>
      <c r="C1121" t="s">
        <v>76</v>
      </c>
      <c r="D1121" t="s">
        <v>48</v>
      </c>
      <c r="E1121" t="s">
        <v>21</v>
      </c>
      <c r="F1121">
        <v>246</v>
      </c>
      <c r="G1121">
        <v>35</v>
      </c>
      <c r="H1121">
        <v>46</v>
      </c>
      <c r="I1121">
        <f>Inventory_Data[[#This Row],[Opening_Stock]]+Inventory_Data[[#This Row],[Units_Received]]-Inventory_Data[[#This Row],[Units_Sold]]</f>
        <v>235</v>
      </c>
      <c r="J1121">
        <v>0</v>
      </c>
      <c r="K1121">
        <v>14</v>
      </c>
      <c r="L1121" t="s">
        <v>63</v>
      </c>
      <c r="M1121" s="3">
        <v>61.37</v>
      </c>
      <c r="N1121" s="3">
        <v>85.67</v>
      </c>
      <c r="O1121" s="10" t="str">
        <f>TEXT(Inventory_Data[[#This Row],[Date]],"mmm")</f>
        <v>Jul</v>
      </c>
    </row>
    <row r="1122" spans="1:15" x14ac:dyDescent="0.2">
      <c r="A1122" s="21">
        <v>45864</v>
      </c>
      <c r="B1122" s="5" t="s">
        <v>90</v>
      </c>
      <c r="C1122" t="s">
        <v>91</v>
      </c>
      <c r="D1122" t="s">
        <v>48</v>
      </c>
      <c r="E1122" t="s">
        <v>17</v>
      </c>
      <c r="F1122">
        <v>172</v>
      </c>
      <c r="G1122">
        <v>44</v>
      </c>
      <c r="H1122">
        <v>44</v>
      </c>
      <c r="I1122">
        <f>Inventory_Data[[#This Row],[Opening_Stock]]+Inventory_Data[[#This Row],[Units_Received]]-Inventory_Data[[#This Row],[Units_Sold]]</f>
        <v>172</v>
      </c>
      <c r="J1122">
        <v>0</v>
      </c>
      <c r="K1122">
        <v>4</v>
      </c>
      <c r="L1122" t="s">
        <v>77</v>
      </c>
      <c r="M1122" s="3">
        <v>76.319999999999993</v>
      </c>
      <c r="N1122" s="3">
        <v>109.31</v>
      </c>
      <c r="O1122" s="10" t="str">
        <f>TEXT(Inventory_Data[[#This Row],[Date]],"mmm")</f>
        <v>Jul</v>
      </c>
    </row>
    <row r="1123" spans="1:15" x14ac:dyDescent="0.2">
      <c r="A1123" s="21">
        <v>45864</v>
      </c>
      <c r="B1123" s="5" t="s">
        <v>168</v>
      </c>
      <c r="C1123" t="s">
        <v>169</v>
      </c>
      <c r="D1123" t="s">
        <v>34</v>
      </c>
      <c r="E1123" t="s">
        <v>17</v>
      </c>
      <c r="F1123">
        <v>270</v>
      </c>
      <c r="G1123">
        <v>152</v>
      </c>
      <c r="H1123">
        <v>96</v>
      </c>
      <c r="I1123">
        <f>Inventory_Data[[#This Row],[Opening_Stock]]+Inventory_Data[[#This Row],[Units_Received]]-Inventory_Data[[#This Row],[Units_Sold]]</f>
        <v>326</v>
      </c>
      <c r="J1123">
        <v>0</v>
      </c>
      <c r="K1123">
        <v>5</v>
      </c>
      <c r="L1123" t="s">
        <v>36</v>
      </c>
      <c r="M1123" s="3">
        <v>19.29</v>
      </c>
      <c r="N1123" s="3">
        <v>25.5</v>
      </c>
      <c r="O1123" s="10" t="str">
        <f>TEXT(Inventory_Data[[#This Row],[Date]],"mmm")</f>
        <v>Jul</v>
      </c>
    </row>
    <row r="1124" spans="1:15" x14ac:dyDescent="0.2">
      <c r="A1124" s="21">
        <v>45865</v>
      </c>
      <c r="B1124" s="5" t="s">
        <v>73</v>
      </c>
      <c r="C1124" t="s">
        <v>74</v>
      </c>
      <c r="D1124" t="s">
        <v>16</v>
      </c>
      <c r="E1124" t="s">
        <v>35</v>
      </c>
      <c r="F1124">
        <v>101</v>
      </c>
      <c r="G1124">
        <v>77</v>
      </c>
      <c r="H1124">
        <v>69</v>
      </c>
      <c r="I1124">
        <f>Inventory_Data[[#This Row],[Opening_Stock]]+Inventory_Data[[#This Row],[Units_Received]]-Inventory_Data[[#This Row],[Units_Sold]]</f>
        <v>109</v>
      </c>
      <c r="J1124">
        <v>0</v>
      </c>
      <c r="K1124">
        <v>3</v>
      </c>
      <c r="L1124" t="s">
        <v>24</v>
      </c>
      <c r="M1124" s="3">
        <v>199.96</v>
      </c>
      <c r="N1124" s="3">
        <v>300.13</v>
      </c>
      <c r="O1124" s="10" t="str">
        <f>TEXT(Inventory_Data[[#This Row],[Date]],"mmm")</f>
        <v>Jul</v>
      </c>
    </row>
    <row r="1125" spans="1:15" x14ac:dyDescent="0.2">
      <c r="A1125" s="21">
        <v>45865</v>
      </c>
      <c r="B1125" s="5" t="s">
        <v>164</v>
      </c>
      <c r="C1125" t="s">
        <v>165</v>
      </c>
      <c r="D1125" t="s">
        <v>48</v>
      </c>
      <c r="E1125" t="s">
        <v>35</v>
      </c>
      <c r="F1125">
        <v>250</v>
      </c>
      <c r="G1125">
        <v>47</v>
      </c>
      <c r="H1125">
        <v>60</v>
      </c>
      <c r="I1125">
        <f>Inventory_Data[[#This Row],[Opening_Stock]]+Inventory_Data[[#This Row],[Units_Received]]-Inventory_Data[[#This Row],[Units_Sold]]</f>
        <v>237</v>
      </c>
      <c r="J1125">
        <v>0</v>
      </c>
      <c r="K1125">
        <v>12</v>
      </c>
      <c r="L1125" t="s">
        <v>49</v>
      </c>
      <c r="M1125" s="3">
        <v>41.79</v>
      </c>
      <c r="N1125" s="3">
        <v>57.25</v>
      </c>
      <c r="O1125" s="10" t="str">
        <f>TEXT(Inventory_Data[[#This Row],[Date]],"mmm")</f>
        <v>Jul</v>
      </c>
    </row>
    <row r="1126" spans="1:15" x14ac:dyDescent="0.2">
      <c r="A1126" s="21">
        <v>45865</v>
      </c>
      <c r="B1126" s="5" t="s">
        <v>136</v>
      </c>
      <c r="C1126" t="s">
        <v>137</v>
      </c>
      <c r="D1126" t="s">
        <v>27</v>
      </c>
      <c r="E1126" t="s">
        <v>28</v>
      </c>
      <c r="F1126">
        <v>389</v>
      </c>
      <c r="G1126">
        <v>86</v>
      </c>
      <c r="H1126">
        <v>33</v>
      </c>
      <c r="I1126">
        <f>Inventory_Data[[#This Row],[Opening_Stock]]+Inventory_Data[[#This Row],[Units_Received]]-Inventory_Data[[#This Row],[Units_Sold]]</f>
        <v>442</v>
      </c>
      <c r="J1126">
        <v>0</v>
      </c>
      <c r="K1126">
        <v>7</v>
      </c>
      <c r="L1126" t="s">
        <v>66</v>
      </c>
      <c r="M1126" s="3">
        <v>14.34</v>
      </c>
      <c r="N1126" s="3">
        <v>20.8</v>
      </c>
      <c r="O1126" s="10" t="str">
        <f>TEXT(Inventory_Data[[#This Row],[Date]],"mmm")</f>
        <v>Jul</v>
      </c>
    </row>
    <row r="1127" spans="1:15" x14ac:dyDescent="0.2">
      <c r="A1127" s="21">
        <v>45865</v>
      </c>
      <c r="B1127" s="5" t="s">
        <v>100</v>
      </c>
      <c r="C1127" t="s">
        <v>101</v>
      </c>
      <c r="D1127" t="s">
        <v>52</v>
      </c>
      <c r="E1127" t="s">
        <v>21</v>
      </c>
      <c r="F1127">
        <v>20</v>
      </c>
      <c r="G1127">
        <v>14</v>
      </c>
      <c r="H1127">
        <v>8</v>
      </c>
      <c r="I1127">
        <f>Inventory_Data[[#This Row],[Opening_Stock]]+Inventory_Data[[#This Row],[Units_Received]]-Inventory_Data[[#This Row],[Units_Sold]]</f>
        <v>26</v>
      </c>
      <c r="J1127">
        <v>0</v>
      </c>
      <c r="K1127">
        <v>9</v>
      </c>
      <c r="L1127" t="s">
        <v>53</v>
      </c>
      <c r="M1127" s="3">
        <v>319.58999999999997</v>
      </c>
      <c r="N1127" s="3">
        <v>388.48</v>
      </c>
      <c r="O1127" s="10" t="str">
        <f>TEXT(Inventory_Data[[#This Row],[Date]],"mmm")</f>
        <v>Jul</v>
      </c>
    </row>
    <row r="1128" spans="1:15" x14ac:dyDescent="0.2">
      <c r="A1128" s="21">
        <v>45865</v>
      </c>
      <c r="B1128" s="5" t="s">
        <v>168</v>
      </c>
      <c r="C1128" t="s">
        <v>169</v>
      </c>
      <c r="D1128" t="s">
        <v>34</v>
      </c>
      <c r="E1128" t="s">
        <v>28</v>
      </c>
      <c r="F1128">
        <v>333</v>
      </c>
      <c r="G1128">
        <v>49</v>
      </c>
      <c r="H1128">
        <v>129</v>
      </c>
      <c r="I1128">
        <f>Inventory_Data[[#This Row],[Opening_Stock]]+Inventory_Data[[#This Row],[Units_Received]]-Inventory_Data[[#This Row],[Units_Sold]]</f>
        <v>253</v>
      </c>
      <c r="J1128">
        <v>0</v>
      </c>
      <c r="K1128">
        <v>2</v>
      </c>
      <c r="L1128" t="s">
        <v>42</v>
      </c>
      <c r="M1128" s="3">
        <v>19.86</v>
      </c>
      <c r="N1128" s="3">
        <v>25.32</v>
      </c>
      <c r="O1128" s="10" t="str">
        <f>TEXT(Inventory_Data[[#This Row],[Date]],"mmm")</f>
        <v>Jul</v>
      </c>
    </row>
    <row r="1129" spans="1:15" x14ac:dyDescent="0.2">
      <c r="A1129" s="21">
        <v>45866</v>
      </c>
      <c r="B1129" s="5" t="s">
        <v>106</v>
      </c>
      <c r="C1129" t="s">
        <v>107</v>
      </c>
      <c r="D1129" t="s">
        <v>16</v>
      </c>
      <c r="E1129" t="s">
        <v>17</v>
      </c>
      <c r="F1129">
        <v>100</v>
      </c>
      <c r="G1129">
        <v>22</v>
      </c>
      <c r="H1129">
        <v>75</v>
      </c>
      <c r="I1129">
        <f>Inventory_Data[[#This Row],[Opening_Stock]]+Inventory_Data[[#This Row],[Units_Received]]-Inventory_Data[[#This Row],[Units_Sold]]</f>
        <v>47</v>
      </c>
      <c r="J1129">
        <v>0</v>
      </c>
      <c r="K1129">
        <v>2</v>
      </c>
      <c r="L1129" t="s">
        <v>45</v>
      </c>
      <c r="M1129" s="3">
        <v>161.26</v>
      </c>
      <c r="N1129" s="3">
        <v>245.19</v>
      </c>
      <c r="O1129" s="10" t="str">
        <f>TEXT(Inventory_Data[[#This Row],[Date]],"mmm")</f>
        <v>Jul</v>
      </c>
    </row>
    <row r="1130" spans="1:15" x14ac:dyDescent="0.2">
      <c r="A1130" s="21">
        <v>45866</v>
      </c>
      <c r="B1130" s="5" t="s">
        <v>156</v>
      </c>
      <c r="C1130" t="s">
        <v>157</v>
      </c>
      <c r="D1130" t="s">
        <v>27</v>
      </c>
      <c r="E1130" t="s">
        <v>28</v>
      </c>
      <c r="F1130">
        <v>208</v>
      </c>
      <c r="G1130">
        <v>153</v>
      </c>
      <c r="H1130">
        <v>174</v>
      </c>
      <c r="I1130">
        <f>Inventory_Data[[#This Row],[Opening_Stock]]+Inventory_Data[[#This Row],[Units_Received]]-Inventory_Data[[#This Row],[Units_Sold]]</f>
        <v>187</v>
      </c>
      <c r="J1130">
        <v>0</v>
      </c>
      <c r="K1130">
        <v>5</v>
      </c>
      <c r="L1130" t="s">
        <v>80</v>
      </c>
      <c r="M1130" s="3">
        <v>19.77</v>
      </c>
      <c r="N1130" s="3">
        <v>24.07</v>
      </c>
      <c r="O1130" s="10" t="str">
        <f>TEXT(Inventory_Data[[#This Row],[Date]],"mmm")</f>
        <v>Jul</v>
      </c>
    </row>
    <row r="1131" spans="1:15" x14ac:dyDescent="0.2">
      <c r="A1131" s="21">
        <v>45866</v>
      </c>
      <c r="B1131" s="5" t="s">
        <v>186</v>
      </c>
      <c r="C1131" t="s">
        <v>187</v>
      </c>
      <c r="D1131" t="s">
        <v>27</v>
      </c>
      <c r="E1131" t="s">
        <v>35</v>
      </c>
      <c r="F1131">
        <v>98</v>
      </c>
      <c r="G1131">
        <v>166</v>
      </c>
      <c r="H1131">
        <v>48</v>
      </c>
      <c r="I1131">
        <f>Inventory_Data[[#This Row],[Opening_Stock]]+Inventory_Data[[#This Row],[Units_Received]]-Inventory_Data[[#This Row],[Units_Sold]]</f>
        <v>216</v>
      </c>
      <c r="J1131">
        <v>0</v>
      </c>
      <c r="K1131">
        <v>5</v>
      </c>
      <c r="L1131" t="s">
        <v>29</v>
      </c>
      <c r="M1131" s="3">
        <v>10.26</v>
      </c>
      <c r="N1131" s="3">
        <v>13.75</v>
      </c>
      <c r="O1131" s="10" t="str">
        <f>TEXT(Inventory_Data[[#This Row],[Date]],"mmm")</f>
        <v>Jul</v>
      </c>
    </row>
    <row r="1132" spans="1:15" x14ac:dyDescent="0.2">
      <c r="A1132" s="21">
        <v>45867</v>
      </c>
      <c r="B1132" s="5" t="s">
        <v>154</v>
      </c>
      <c r="C1132" t="s">
        <v>155</v>
      </c>
      <c r="D1132" t="s">
        <v>48</v>
      </c>
      <c r="E1132" t="s">
        <v>35</v>
      </c>
      <c r="F1132">
        <v>211</v>
      </c>
      <c r="G1132">
        <v>97</v>
      </c>
      <c r="H1132">
        <v>37</v>
      </c>
      <c r="I1132">
        <f>Inventory_Data[[#This Row],[Opening_Stock]]+Inventory_Data[[#This Row],[Units_Received]]-Inventory_Data[[#This Row],[Units_Sold]]</f>
        <v>271</v>
      </c>
      <c r="J1132">
        <v>0</v>
      </c>
      <c r="K1132">
        <v>12</v>
      </c>
      <c r="L1132" t="s">
        <v>77</v>
      </c>
      <c r="M1132" s="3">
        <v>37.619999999999997</v>
      </c>
      <c r="N1132" s="3">
        <v>46.47</v>
      </c>
      <c r="O1132" s="10" t="str">
        <f>TEXT(Inventory_Data[[#This Row],[Date]],"mmm")</f>
        <v>Jul</v>
      </c>
    </row>
    <row r="1133" spans="1:15" x14ac:dyDescent="0.2">
      <c r="A1133" s="21">
        <v>45867</v>
      </c>
      <c r="B1133" s="5" t="s">
        <v>156</v>
      </c>
      <c r="C1133" t="s">
        <v>157</v>
      </c>
      <c r="D1133" t="s">
        <v>27</v>
      </c>
      <c r="E1133" t="s">
        <v>28</v>
      </c>
      <c r="F1133">
        <v>409</v>
      </c>
      <c r="G1133">
        <v>165</v>
      </c>
      <c r="H1133">
        <v>35</v>
      </c>
      <c r="I1133">
        <f>Inventory_Data[[#This Row],[Opening_Stock]]+Inventory_Data[[#This Row],[Units_Received]]-Inventory_Data[[#This Row],[Units_Sold]]</f>
        <v>539</v>
      </c>
      <c r="J1133">
        <v>0</v>
      </c>
      <c r="K1133">
        <v>7</v>
      </c>
      <c r="L1133" t="s">
        <v>66</v>
      </c>
      <c r="M1133" s="3">
        <v>13.36</v>
      </c>
      <c r="N1133" s="3">
        <v>19.59</v>
      </c>
      <c r="O1133" s="10" t="str">
        <f>TEXT(Inventory_Data[[#This Row],[Date]],"mmm")</f>
        <v>Jul</v>
      </c>
    </row>
    <row r="1134" spans="1:15" x14ac:dyDescent="0.2">
      <c r="A1134" s="21">
        <v>45867</v>
      </c>
      <c r="B1134" s="5" t="s">
        <v>134</v>
      </c>
      <c r="C1134" t="s">
        <v>135</v>
      </c>
      <c r="D1134" t="s">
        <v>27</v>
      </c>
      <c r="E1134" t="s">
        <v>35</v>
      </c>
      <c r="F1134">
        <v>288</v>
      </c>
      <c r="G1134">
        <v>77</v>
      </c>
      <c r="H1134">
        <v>119</v>
      </c>
      <c r="I1134">
        <f>Inventory_Data[[#This Row],[Opening_Stock]]+Inventory_Data[[#This Row],[Units_Received]]-Inventory_Data[[#This Row],[Units_Sold]]</f>
        <v>246</v>
      </c>
      <c r="J1134">
        <v>0</v>
      </c>
      <c r="K1134">
        <v>1</v>
      </c>
      <c r="L1134" t="s">
        <v>66</v>
      </c>
      <c r="M1134" s="3">
        <v>9.1199999999999992</v>
      </c>
      <c r="N1134" s="3">
        <v>13.62</v>
      </c>
      <c r="O1134" s="10" t="str">
        <f>TEXT(Inventory_Data[[#This Row],[Date]],"mmm")</f>
        <v>Jul</v>
      </c>
    </row>
    <row r="1135" spans="1:15" x14ac:dyDescent="0.2">
      <c r="A1135" s="21">
        <v>45867</v>
      </c>
      <c r="B1135" s="5" t="s">
        <v>124</v>
      </c>
      <c r="C1135" t="s">
        <v>125</v>
      </c>
      <c r="D1135" t="s">
        <v>52</v>
      </c>
      <c r="E1135" t="s">
        <v>17</v>
      </c>
      <c r="F1135">
        <v>73</v>
      </c>
      <c r="G1135">
        <v>17</v>
      </c>
      <c r="H1135">
        <v>7</v>
      </c>
      <c r="I1135">
        <f>Inventory_Data[[#This Row],[Opening_Stock]]+Inventory_Data[[#This Row],[Units_Received]]-Inventory_Data[[#This Row],[Units_Sold]]</f>
        <v>83</v>
      </c>
      <c r="J1135">
        <v>0</v>
      </c>
      <c r="K1135">
        <v>5</v>
      </c>
      <c r="L1135" t="s">
        <v>56</v>
      </c>
      <c r="M1135" s="3">
        <v>197.88</v>
      </c>
      <c r="N1135" s="3">
        <v>250.08</v>
      </c>
      <c r="O1135" s="10" t="str">
        <f>TEXT(Inventory_Data[[#This Row],[Date]],"mmm")</f>
        <v>Jul</v>
      </c>
    </row>
    <row r="1136" spans="1:15" x14ac:dyDescent="0.2">
      <c r="A1136" s="21">
        <v>45868</v>
      </c>
      <c r="B1136" s="5" t="s">
        <v>122</v>
      </c>
      <c r="C1136" t="s">
        <v>123</v>
      </c>
      <c r="D1136" t="s">
        <v>27</v>
      </c>
      <c r="E1136" t="s">
        <v>35</v>
      </c>
      <c r="F1136">
        <v>187</v>
      </c>
      <c r="G1136">
        <v>234</v>
      </c>
      <c r="H1136">
        <v>93</v>
      </c>
      <c r="I1136">
        <f>Inventory_Data[[#This Row],[Opening_Stock]]+Inventory_Data[[#This Row],[Units_Received]]-Inventory_Data[[#This Row],[Units_Sold]]</f>
        <v>328</v>
      </c>
      <c r="J1136">
        <v>0</v>
      </c>
      <c r="K1136">
        <v>7</v>
      </c>
      <c r="L1136" t="s">
        <v>80</v>
      </c>
      <c r="M1136" s="3">
        <v>22.42</v>
      </c>
      <c r="N1136" s="3">
        <v>32.090000000000003</v>
      </c>
      <c r="O1136" s="10" t="str">
        <f>TEXT(Inventory_Data[[#This Row],[Date]],"mmm")</f>
        <v>Jul</v>
      </c>
    </row>
    <row r="1137" spans="1:15" x14ac:dyDescent="0.2">
      <c r="A1137" s="21">
        <v>45868</v>
      </c>
      <c r="B1137" s="5" t="s">
        <v>188</v>
      </c>
      <c r="C1137" t="s">
        <v>189</v>
      </c>
      <c r="D1137" t="s">
        <v>27</v>
      </c>
      <c r="E1137" t="s">
        <v>21</v>
      </c>
      <c r="F1137">
        <v>183</v>
      </c>
      <c r="G1137">
        <v>122</v>
      </c>
      <c r="H1137">
        <v>217</v>
      </c>
      <c r="I1137">
        <f>Inventory_Data[[#This Row],[Opening_Stock]]+Inventory_Data[[#This Row],[Units_Received]]-Inventory_Data[[#This Row],[Units_Sold]]</f>
        <v>88</v>
      </c>
      <c r="J1137">
        <v>0</v>
      </c>
      <c r="K1137">
        <v>4</v>
      </c>
      <c r="L1137" t="s">
        <v>66</v>
      </c>
      <c r="M1137" s="3">
        <v>21.13</v>
      </c>
      <c r="N1137" s="3">
        <v>25.78</v>
      </c>
      <c r="O1137" s="10" t="str">
        <f>TEXT(Inventory_Data[[#This Row],[Date]],"mmm")</f>
        <v>Jul</v>
      </c>
    </row>
    <row r="1138" spans="1:15" x14ac:dyDescent="0.2">
      <c r="A1138" s="21">
        <v>45869</v>
      </c>
      <c r="B1138" s="5" t="s">
        <v>128</v>
      </c>
      <c r="C1138" t="s">
        <v>129</v>
      </c>
      <c r="D1138" t="s">
        <v>48</v>
      </c>
      <c r="E1138" t="s">
        <v>28</v>
      </c>
      <c r="F1138">
        <v>169</v>
      </c>
      <c r="G1138">
        <v>56</v>
      </c>
      <c r="H1138">
        <v>33</v>
      </c>
      <c r="I1138">
        <f>Inventory_Data[[#This Row],[Opening_Stock]]+Inventory_Data[[#This Row],[Units_Received]]-Inventory_Data[[#This Row],[Units_Sold]]</f>
        <v>192</v>
      </c>
      <c r="J1138">
        <v>0</v>
      </c>
      <c r="K1138">
        <v>4</v>
      </c>
      <c r="L1138" t="s">
        <v>63</v>
      </c>
      <c r="M1138" s="3">
        <v>51.73</v>
      </c>
      <c r="N1138" s="3">
        <v>80.099999999999994</v>
      </c>
      <c r="O1138" s="10" t="str">
        <f>TEXT(Inventory_Data[[#This Row],[Date]],"mmm")</f>
        <v>Jul</v>
      </c>
    </row>
    <row r="1139" spans="1:15" x14ac:dyDescent="0.2">
      <c r="A1139" s="21">
        <v>45869</v>
      </c>
      <c r="B1139" s="5" t="s">
        <v>25</v>
      </c>
      <c r="C1139" t="s">
        <v>26</v>
      </c>
      <c r="D1139" t="s">
        <v>27</v>
      </c>
      <c r="E1139" t="s">
        <v>17</v>
      </c>
      <c r="F1139">
        <v>168</v>
      </c>
      <c r="G1139">
        <v>227</v>
      </c>
      <c r="H1139">
        <v>41</v>
      </c>
      <c r="I1139">
        <f>Inventory_Data[[#This Row],[Opening_Stock]]+Inventory_Data[[#This Row],[Units_Received]]-Inventory_Data[[#This Row],[Units_Sold]]</f>
        <v>354</v>
      </c>
      <c r="J1139">
        <v>0</v>
      </c>
      <c r="K1139">
        <v>7</v>
      </c>
      <c r="L1139" t="s">
        <v>29</v>
      </c>
      <c r="M1139" s="3">
        <v>15.24</v>
      </c>
      <c r="N1139" s="3">
        <v>22.73</v>
      </c>
      <c r="O1139" s="10" t="str">
        <f>TEXT(Inventory_Data[[#This Row],[Date]],"mmm")</f>
        <v>Jul</v>
      </c>
    </row>
    <row r="1140" spans="1:15" x14ac:dyDescent="0.2">
      <c r="A1140" s="21">
        <v>45869</v>
      </c>
      <c r="B1140" s="5" t="s">
        <v>40</v>
      </c>
      <c r="C1140" t="s">
        <v>41</v>
      </c>
      <c r="D1140" t="s">
        <v>34</v>
      </c>
      <c r="E1140" t="s">
        <v>17</v>
      </c>
      <c r="F1140">
        <v>164</v>
      </c>
      <c r="G1140">
        <v>205</v>
      </c>
      <c r="H1140">
        <v>16</v>
      </c>
      <c r="I1140">
        <f>Inventory_Data[[#This Row],[Opening_Stock]]+Inventory_Data[[#This Row],[Units_Received]]-Inventory_Data[[#This Row],[Units_Sold]]</f>
        <v>353</v>
      </c>
      <c r="J1140">
        <v>0</v>
      </c>
      <c r="K1140">
        <v>13</v>
      </c>
      <c r="L1140" t="s">
        <v>36</v>
      </c>
      <c r="M1140" s="3">
        <v>29.46</v>
      </c>
      <c r="N1140" s="3">
        <v>35.03</v>
      </c>
      <c r="O1140" s="10" t="str">
        <f>TEXT(Inventory_Data[[#This Row],[Date]],"mmm")</f>
        <v>Jul</v>
      </c>
    </row>
    <row r="1141" spans="1:15" x14ac:dyDescent="0.2">
      <c r="A1141" s="21">
        <v>45870</v>
      </c>
      <c r="B1141" s="5" t="s">
        <v>108</v>
      </c>
      <c r="C1141" t="s">
        <v>109</v>
      </c>
      <c r="D1141" t="s">
        <v>16</v>
      </c>
      <c r="E1141" t="s">
        <v>17</v>
      </c>
      <c r="F1141">
        <v>35</v>
      </c>
      <c r="G1141">
        <v>23</v>
      </c>
      <c r="H1141">
        <v>13</v>
      </c>
      <c r="I1141">
        <f>Inventory_Data[[#This Row],[Opening_Stock]]+Inventory_Data[[#This Row],[Units_Received]]-Inventory_Data[[#This Row],[Units_Sold]]</f>
        <v>45</v>
      </c>
      <c r="J1141">
        <v>0</v>
      </c>
      <c r="K1141">
        <v>8</v>
      </c>
      <c r="L1141" t="s">
        <v>24</v>
      </c>
      <c r="M1141" s="3">
        <v>197.44</v>
      </c>
      <c r="N1141" s="3">
        <v>278.45999999999998</v>
      </c>
      <c r="O1141" s="10" t="str">
        <f>TEXT(Inventory_Data[[#This Row],[Date]],"mmm")</f>
        <v>Aug</v>
      </c>
    </row>
    <row r="1142" spans="1:15" x14ac:dyDescent="0.2">
      <c r="A1142" s="21">
        <v>45870</v>
      </c>
      <c r="B1142" s="5" t="s">
        <v>61</v>
      </c>
      <c r="C1142" t="s">
        <v>62</v>
      </c>
      <c r="D1142" t="s">
        <v>48</v>
      </c>
      <c r="E1142" t="s">
        <v>17</v>
      </c>
      <c r="F1142">
        <v>73</v>
      </c>
      <c r="G1142">
        <v>98</v>
      </c>
      <c r="H1142">
        <v>87</v>
      </c>
      <c r="I1142">
        <f>Inventory_Data[[#This Row],[Opening_Stock]]+Inventory_Data[[#This Row],[Units_Received]]-Inventory_Data[[#This Row],[Units_Sold]]</f>
        <v>84</v>
      </c>
      <c r="J1142">
        <v>0</v>
      </c>
      <c r="K1142">
        <v>10</v>
      </c>
      <c r="L1142" t="s">
        <v>63</v>
      </c>
      <c r="M1142" s="3">
        <v>22.07</v>
      </c>
      <c r="N1142" s="3">
        <v>26.86</v>
      </c>
      <c r="O1142" s="10" t="str">
        <f>TEXT(Inventory_Data[[#This Row],[Date]],"mmm")</f>
        <v>Aug</v>
      </c>
    </row>
    <row r="1143" spans="1:15" x14ac:dyDescent="0.2">
      <c r="A1143" s="21">
        <v>45870</v>
      </c>
      <c r="B1143" s="5" t="s">
        <v>114</v>
      </c>
      <c r="C1143" t="s">
        <v>115</v>
      </c>
      <c r="D1143" t="s">
        <v>27</v>
      </c>
      <c r="E1143" t="s">
        <v>28</v>
      </c>
      <c r="F1143">
        <v>227</v>
      </c>
      <c r="G1143">
        <v>60</v>
      </c>
      <c r="H1143">
        <v>77</v>
      </c>
      <c r="I1143">
        <f>Inventory_Data[[#This Row],[Opening_Stock]]+Inventory_Data[[#This Row],[Units_Received]]-Inventory_Data[[#This Row],[Units_Sold]]</f>
        <v>210</v>
      </c>
      <c r="J1143">
        <v>0</v>
      </c>
      <c r="K1143">
        <v>7</v>
      </c>
      <c r="L1143" t="s">
        <v>80</v>
      </c>
      <c r="M1143" s="3">
        <v>8.82</v>
      </c>
      <c r="N1143" s="3">
        <v>11.38</v>
      </c>
      <c r="O1143" s="10" t="str">
        <f>TEXT(Inventory_Data[[#This Row],[Date]],"mmm")</f>
        <v>Aug</v>
      </c>
    </row>
    <row r="1144" spans="1:15" x14ac:dyDescent="0.2">
      <c r="A1144" s="21">
        <v>45870</v>
      </c>
      <c r="B1144" s="5" t="s">
        <v>57</v>
      </c>
      <c r="C1144" t="s">
        <v>58</v>
      </c>
      <c r="D1144" t="s">
        <v>52</v>
      </c>
      <c r="E1144" t="s">
        <v>21</v>
      </c>
      <c r="F1144">
        <v>74</v>
      </c>
      <c r="G1144">
        <v>21</v>
      </c>
      <c r="H1144">
        <v>3</v>
      </c>
      <c r="I1144">
        <f>Inventory_Data[[#This Row],[Opening_Stock]]+Inventory_Data[[#This Row],[Units_Received]]-Inventory_Data[[#This Row],[Units_Sold]]</f>
        <v>92</v>
      </c>
      <c r="J1144">
        <v>0</v>
      </c>
      <c r="K1144">
        <v>3</v>
      </c>
      <c r="L1144" t="s">
        <v>53</v>
      </c>
      <c r="M1144" s="3">
        <v>33.42</v>
      </c>
      <c r="N1144" s="3">
        <v>42.25</v>
      </c>
      <c r="O1144" s="10" t="str">
        <f>TEXT(Inventory_Data[[#This Row],[Date]],"mmm")</f>
        <v>Aug</v>
      </c>
    </row>
    <row r="1145" spans="1:15" x14ac:dyDescent="0.2">
      <c r="A1145" s="21">
        <v>45871</v>
      </c>
      <c r="B1145" s="5" t="s">
        <v>86</v>
      </c>
      <c r="C1145" t="s">
        <v>87</v>
      </c>
      <c r="D1145" t="s">
        <v>48</v>
      </c>
      <c r="E1145" t="s">
        <v>28</v>
      </c>
      <c r="F1145">
        <v>290</v>
      </c>
      <c r="G1145">
        <v>84</v>
      </c>
      <c r="H1145">
        <v>117</v>
      </c>
      <c r="I1145">
        <f>Inventory_Data[[#This Row],[Opening_Stock]]+Inventory_Data[[#This Row],[Units_Received]]-Inventory_Data[[#This Row],[Units_Sold]]</f>
        <v>257</v>
      </c>
      <c r="J1145">
        <v>0</v>
      </c>
      <c r="K1145">
        <v>5</v>
      </c>
      <c r="L1145" t="s">
        <v>77</v>
      </c>
      <c r="M1145" s="3">
        <v>50.03</v>
      </c>
      <c r="N1145" s="3">
        <v>64.150000000000006</v>
      </c>
      <c r="O1145" s="10" t="str">
        <f>TEXT(Inventory_Data[[#This Row],[Date]],"mmm")</f>
        <v>Aug</v>
      </c>
    </row>
    <row r="1146" spans="1:15" x14ac:dyDescent="0.2">
      <c r="A1146" s="21">
        <v>45871</v>
      </c>
      <c r="B1146" s="5" t="s">
        <v>172</v>
      </c>
      <c r="C1146" t="s">
        <v>173</v>
      </c>
      <c r="D1146" t="s">
        <v>27</v>
      </c>
      <c r="E1146" t="s">
        <v>28</v>
      </c>
      <c r="F1146">
        <v>288</v>
      </c>
      <c r="G1146">
        <v>168</v>
      </c>
      <c r="H1146">
        <v>136</v>
      </c>
      <c r="I1146">
        <f>Inventory_Data[[#This Row],[Opening_Stock]]+Inventory_Data[[#This Row],[Units_Received]]-Inventory_Data[[#This Row],[Units_Sold]]</f>
        <v>320</v>
      </c>
      <c r="J1146">
        <v>0</v>
      </c>
      <c r="K1146">
        <v>4</v>
      </c>
      <c r="L1146" t="s">
        <v>29</v>
      </c>
      <c r="M1146" s="3">
        <v>23.94</v>
      </c>
      <c r="N1146" s="3">
        <v>29.54</v>
      </c>
      <c r="O1146" s="10" t="str">
        <f>TEXT(Inventory_Data[[#This Row],[Date]],"mmm")</f>
        <v>Aug</v>
      </c>
    </row>
    <row r="1147" spans="1:15" x14ac:dyDescent="0.2">
      <c r="A1147" s="21">
        <v>45871</v>
      </c>
      <c r="B1147" s="5" t="s">
        <v>160</v>
      </c>
      <c r="C1147" t="s">
        <v>161</v>
      </c>
      <c r="D1147" t="s">
        <v>27</v>
      </c>
      <c r="E1147" t="s">
        <v>35</v>
      </c>
      <c r="F1147">
        <v>299</v>
      </c>
      <c r="G1147">
        <v>174</v>
      </c>
      <c r="H1147">
        <v>182</v>
      </c>
      <c r="I1147">
        <f>Inventory_Data[[#This Row],[Opening_Stock]]+Inventory_Data[[#This Row],[Units_Received]]-Inventory_Data[[#This Row],[Units_Sold]]</f>
        <v>291</v>
      </c>
      <c r="J1147">
        <v>0</v>
      </c>
      <c r="K1147">
        <v>7</v>
      </c>
      <c r="L1147" t="s">
        <v>29</v>
      </c>
      <c r="M1147" s="3">
        <v>22.84</v>
      </c>
      <c r="N1147" s="3">
        <v>28.55</v>
      </c>
      <c r="O1147" s="10" t="str">
        <f>TEXT(Inventory_Data[[#This Row],[Date]],"mmm")</f>
        <v>Aug</v>
      </c>
    </row>
    <row r="1148" spans="1:15" x14ac:dyDescent="0.2">
      <c r="A1148" s="21">
        <v>45871</v>
      </c>
      <c r="B1148" s="5" t="s">
        <v>59</v>
      </c>
      <c r="C1148" t="s">
        <v>60</v>
      </c>
      <c r="D1148" t="s">
        <v>34</v>
      </c>
      <c r="E1148" t="s">
        <v>28</v>
      </c>
      <c r="F1148">
        <v>272</v>
      </c>
      <c r="G1148">
        <v>81</v>
      </c>
      <c r="H1148">
        <v>115</v>
      </c>
      <c r="I1148">
        <f>Inventory_Data[[#This Row],[Opening_Stock]]+Inventory_Data[[#This Row],[Units_Received]]-Inventory_Data[[#This Row],[Units_Sold]]</f>
        <v>238</v>
      </c>
      <c r="J1148">
        <v>0</v>
      </c>
      <c r="K1148">
        <v>9</v>
      </c>
      <c r="L1148" t="s">
        <v>36</v>
      </c>
      <c r="M1148" s="3">
        <v>10.02</v>
      </c>
      <c r="N1148" s="3">
        <v>12.83</v>
      </c>
      <c r="O1148" s="10" t="str">
        <f>TEXT(Inventory_Data[[#This Row],[Date]],"mmm")</f>
        <v>Aug</v>
      </c>
    </row>
    <row r="1149" spans="1:15" x14ac:dyDescent="0.2">
      <c r="A1149" s="21">
        <v>45871</v>
      </c>
      <c r="B1149" s="5" t="s">
        <v>40</v>
      </c>
      <c r="C1149" t="s">
        <v>41</v>
      </c>
      <c r="D1149" t="s">
        <v>34</v>
      </c>
      <c r="E1149" t="s">
        <v>21</v>
      </c>
      <c r="F1149">
        <v>202</v>
      </c>
      <c r="G1149">
        <v>163</v>
      </c>
      <c r="H1149">
        <v>134</v>
      </c>
      <c r="I1149">
        <f>Inventory_Data[[#This Row],[Opening_Stock]]+Inventory_Data[[#This Row],[Units_Received]]-Inventory_Data[[#This Row],[Units_Sold]]</f>
        <v>231</v>
      </c>
      <c r="J1149">
        <v>0</v>
      </c>
      <c r="K1149">
        <v>11</v>
      </c>
      <c r="L1149" t="s">
        <v>42</v>
      </c>
      <c r="M1149" s="3">
        <v>1.82</v>
      </c>
      <c r="N1149" s="3">
        <v>2.37</v>
      </c>
      <c r="O1149" s="10" t="str">
        <f>TEXT(Inventory_Data[[#This Row],[Date]],"mmm")</f>
        <v>Aug</v>
      </c>
    </row>
    <row r="1150" spans="1:15" x14ac:dyDescent="0.2">
      <c r="A1150" s="21">
        <v>45871</v>
      </c>
      <c r="B1150" s="5" t="s">
        <v>40</v>
      </c>
      <c r="C1150" t="s">
        <v>41</v>
      </c>
      <c r="D1150" t="s">
        <v>34</v>
      </c>
      <c r="E1150" t="s">
        <v>35</v>
      </c>
      <c r="F1150">
        <v>109</v>
      </c>
      <c r="G1150">
        <v>43</v>
      </c>
      <c r="H1150">
        <v>148</v>
      </c>
      <c r="I1150">
        <f>Inventory_Data[[#This Row],[Opening_Stock]]+Inventory_Data[[#This Row],[Units_Received]]-Inventory_Data[[#This Row],[Units_Sold]]</f>
        <v>4</v>
      </c>
      <c r="J1150">
        <v>0</v>
      </c>
      <c r="K1150">
        <v>13</v>
      </c>
      <c r="L1150" t="s">
        <v>36</v>
      </c>
      <c r="M1150" s="3">
        <v>11.16</v>
      </c>
      <c r="N1150" s="3">
        <v>16.670000000000002</v>
      </c>
      <c r="O1150" s="10" t="str">
        <f>TEXT(Inventory_Data[[#This Row],[Date]],"mmm")</f>
        <v>Aug</v>
      </c>
    </row>
    <row r="1151" spans="1:15" x14ac:dyDescent="0.2">
      <c r="A1151" s="21">
        <v>45872</v>
      </c>
      <c r="B1151" s="5" t="s">
        <v>71</v>
      </c>
      <c r="C1151" t="s">
        <v>72</v>
      </c>
      <c r="D1151" t="s">
        <v>16</v>
      </c>
      <c r="E1151" t="s">
        <v>35</v>
      </c>
      <c r="F1151">
        <v>170</v>
      </c>
      <c r="G1151">
        <v>55</v>
      </c>
      <c r="H1151">
        <v>56</v>
      </c>
      <c r="I1151">
        <f>Inventory_Data[[#This Row],[Opening_Stock]]+Inventory_Data[[#This Row],[Units_Received]]-Inventory_Data[[#This Row],[Units_Sold]]</f>
        <v>169</v>
      </c>
      <c r="J1151">
        <v>0</v>
      </c>
      <c r="K1151">
        <v>11</v>
      </c>
      <c r="L1151" t="s">
        <v>18</v>
      </c>
      <c r="M1151" s="3">
        <v>174.2</v>
      </c>
      <c r="N1151" s="3">
        <v>238.81</v>
      </c>
      <c r="O1151" s="10" t="str">
        <f>TEXT(Inventory_Data[[#This Row],[Date]],"mmm")</f>
        <v>Aug</v>
      </c>
    </row>
    <row r="1152" spans="1:15" x14ac:dyDescent="0.2">
      <c r="A1152" s="21">
        <v>45872</v>
      </c>
      <c r="B1152" s="5" t="s">
        <v>120</v>
      </c>
      <c r="C1152" t="s">
        <v>121</v>
      </c>
      <c r="D1152" t="s">
        <v>16</v>
      </c>
      <c r="E1152" t="s">
        <v>17</v>
      </c>
      <c r="F1152">
        <v>168</v>
      </c>
      <c r="G1152">
        <v>20</v>
      </c>
      <c r="H1152">
        <v>48</v>
      </c>
      <c r="I1152">
        <f>Inventory_Data[[#This Row],[Opening_Stock]]+Inventory_Data[[#This Row],[Units_Received]]-Inventory_Data[[#This Row],[Units_Sold]]</f>
        <v>140</v>
      </c>
      <c r="J1152">
        <v>0</v>
      </c>
      <c r="K1152">
        <v>4</v>
      </c>
      <c r="L1152" t="s">
        <v>45</v>
      </c>
      <c r="M1152" s="3">
        <v>211.95</v>
      </c>
      <c r="N1152" s="3">
        <v>286.08999999999997</v>
      </c>
      <c r="O1152" s="10" t="str">
        <f>TEXT(Inventory_Data[[#This Row],[Date]],"mmm")</f>
        <v>Aug</v>
      </c>
    </row>
    <row r="1153" spans="1:15" x14ac:dyDescent="0.2">
      <c r="A1153" s="21">
        <v>45872</v>
      </c>
      <c r="B1153" s="5" t="s">
        <v>144</v>
      </c>
      <c r="C1153" t="s">
        <v>145</v>
      </c>
      <c r="D1153" t="s">
        <v>48</v>
      </c>
      <c r="E1153" t="s">
        <v>35</v>
      </c>
      <c r="F1153">
        <v>153</v>
      </c>
      <c r="G1153">
        <v>45</v>
      </c>
      <c r="H1153">
        <v>56</v>
      </c>
      <c r="I1153">
        <f>Inventory_Data[[#This Row],[Opening_Stock]]+Inventory_Data[[#This Row],[Units_Received]]-Inventory_Data[[#This Row],[Units_Sold]]</f>
        <v>142</v>
      </c>
      <c r="J1153">
        <v>0</v>
      </c>
      <c r="K1153">
        <v>9</v>
      </c>
      <c r="L1153" t="s">
        <v>63</v>
      </c>
      <c r="M1153" s="3">
        <v>71.02</v>
      </c>
      <c r="N1153" s="3">
        <v>84.89</v>
      </c>
      <c r="O1153" s="10" t="str">
        <f>TEXT(Inventory_Data[[#This Row],[Date]],"mmm")</f>
        <v>Aug</v>
      </c>
    </row>
    <row r="1154" spans="1:15" x14ac:dyDescent="0.2">
      <c r="A1154" s="21">
        <v>45872</v>
      </c>
      <c r="B1154" s="5" t="s">
        <v>90</v>
      </c>
      <c r="C1154" t="s">
        <v>91</v>
      </c>
      <c r="D1154" t="s">
        <v>48</v>
      </c>
      <c r="E1154" t="s">
        <v>21</v>
      </c>
      <c r="F1154">
        <v>110</v>
      </c>
      <c r="G1154">
        <v>143</v>
      </c>
      <c r="H1154">
        <v>134</v>
      </c>
      <c r="I1154">
        <f>Inventory_Data[[#This Row],[Opening_Stock]]+Inventory_Data[[#This Row],[Units_Received]]-Inventory_Data[[#This Row],[Units_Sold]]</f>
        <v>119</v>
      </c>
      <c r="J1154">
        <v>0</v>
      </c>
      <c r="K1154">
        <v>6</v>
      </c>
      <c r="L1154" t="s">
        <v>49</v>
      </c>
      <c r="M1154" s="3">
        <v>67.66</v>
      </c>
      <c r="N1154" s="3">
        <v>90.92</v>
      </c>
      <c r="O1154" s="10" t="str">
        <f>TEXT(Inventory_Data[[#This Row],[Date]],"mmm")</f>
        <v>Aug</v>
      </c>
    </row>
    <row r="1155" spans="1:15" x14ac:dyDescent="0.2">
      <c r="A1155" s="21">
        <v>45872</v>
      </c>
      <c r="B1155" s="5" t="s">
        <v>98</v>
      </c>
      <c r="C1155" t="s">
        <v>99</v>
      </c>
      <c r="D1155" t="s">
        <v>27</v>
      </c>
      <c r="E1155" t="s">
        <v>28</v>
      </c>
      <c r="F1155">
        <v>107</v>
      </c>
      <c r="G1155">
        <v>220</v>
      </c>
      <c r="H1155">
        <v>135</v>
      </c>
      <c r="I1155">
        <f>Inventory_Data[[#This Row],[Opening_Stock]]+Inventory_Data[[#This Row],[Units_Received]]-Inventory_Data[[#This Row],[Units_Sold]]</f>
        <v>192</v>
      </c>
      <c r="J1155">
        <v>0</v>
      </c>
      <c r="K1155">
        <v>3</v>
      </c>
      <c r="L1155" t="s">
        <v>29</v>
      </c>
      <c r="M1155" s="3">
        <v>14.75</v>
      </c>
      <c r="N1155" s="3">
        <v>20.07</v>
      </c>
      <c r="O1155" s="10" t="str">
        <f>TEXT(Inventory_Data[[#This Row],[Date]],"mmm")</f>
        <v>Aug</v>
      </c>
    </row>
    <row r="1156" spans="1:15" x14ac:dyDescent="0.2">
      <c r="A1156" s="21">
        <v>45872</v>
      </c>
      <c r="B1156" s="5" t="s">
        <v>116</v>
      </c>
      <c r="C1156" t="s">
        <v>117</v>
      </c>
      <c r="D1156" t="s">
        <v>52</v>
      </c>
      <c r="E1156" t="s">
        <v>28</v>
      </c>
      <c r="F1156">
        <v>30</v>
      </c>
      <c r="G1156">
        <v>12</v>
      </c>
      <c r="H1156">
        <v>2</v>
      </c>
      <c r="I1156">
        <f>Inventory_Data[[#This Row],[Opening_Stock]]+Inventory_Data[[#This Row],[Units_Received]]-Inventory_Data[[#This Row],[Units_Sold]]</f>
        <v>40</v>
      </c>
      <c r="J1156">
        <v>0</v>
      </c>
      <c r="K1156">
        <v>9</v>
      </c>
      <c r="L1156" t="s">
        <v>56</v>
      </c>
      <c r="M1156" s="3">
        <v>315.91000000000003</v>
      </c>
      <c r="N1156" s="3">
        <v>443.75</v>
      </c>
      <c r="O1156" s="10" t="str">
        <f>TEXT(Inventory_Data[[#This Row],[Date]],"mmm")</f>
        <v>Aug</v>
      </c>
    </row>
    <row r="1157" spans="1:15" x14ac:dyDescent="0.2">
      <c r="A1157" s="21">
        <v>45872</v>
      </c>
      <c r="B1157" s="5" t="s">
        <v>57</v>
      </c>
      <c r="C1157" t="s">
        <v>58</v>
      </c>
      <c r="D1157" t="s">
        <v>52</v>
      </c>
      <c r="E1157" t="s">
        <v>28</v>
      </c>
      <c r="F1157">
        <v>73</v>
      </c>
      <c r="G1157">
        <v>13</v>
      </c>
      <c r="H1157">
        <v>7</v>
      </c>
      <c r="I1157">
        <f>Inventory_Data[[#This Row],[Opening_Stock]]+Inventory_Data[[#This Row],[Units_Received]]-Inventory_Data[[#This Row],[Units_Sold]]</f>
        <v>79</v>
      </c>
      <c r="J1157">
        <v>0</v>
      </c>
      <c r="K1157">
        <v>13</v>
      </c>
      <c r="L1157" t="s">
        <v>53</v>
      </c>
      <c r="M1157" s="3">
        <v>88.37</v>
      </c>
      <c r="N1157" s="3">
        <v>133.1</v>
      </c>
      <c r="O1157" s="10" t="str">
        <f>TEXT(Inventory_Data[[#This Row],[Date]],"mmm")</f>
        <v>Aug</v>
      </c>
    </row>
    <row r="1158" spans="1:15" x14ac:dyDescent="0.2">
      <c r="A1158" s="21">
        <v>45872</v>
      </c>
      <c r="B1158" s="5" t="s">
        <v>57</v>
      </c>
      <c r="C1158" t="s">
        <v>58</v>
      </c>
      <c r="D1158" t="s">
        <v>52</v>
      </c>
      <c r="E1158" t="s">
        <v>17</v>
      </c>
      <c r="F1158">
        <v>75</v>
      </c>
      <c r="G1158">
        <v>7</v>
      </c>
      <c r="H1158">
        <v>10</v>
      </c>
      <c r="I1158">
        <f>Inventory_Data[[#This Row],[Opening_Stock]]+Inventory_Data[[#This Row],[Units_Received]]-Inventory_Data[[#This Row],[Units_Sold]]</f>
        <v>72</v>
      </c>
      <c r="J1158">
        <v>0</v>
      </c>
      <c r="K1158">
        <v>13</v>
      </c>
      <c r="L1158" t="s">
        <v>56</v>
      </c>
      <c r="M1158" s="3">
        <v>315.58</v>
      </c>
      <c r="N1158" s="3">
        <v>425.76</v>
      </c>
      <c r="O1158" s="10" t="str">
        <f>TEXT(Inventory_Data[[#This Row],[Date]],"mmm")</f>
        <v>Aug</v>
      </c>
    </row>
    <row r="1159" spans="1:15" x14ac:dyDescent="0.2">
      <c r="A1159" s="21">
        <v>45872</v>
      </c>
      <c r="B1159" s="5" t="s">
        <v>104</v>
      </c>
      <c r="C1159" t="s">
        <v>105</v>
      </c>
      <c r="D1159" t="s">
        <v>34</v>
      </c>
      <c r="E1159" t="s">
        <v>17</v>
      </c>
      <c r="F1159">
        <v>294</v>
      </c>
      <c r="G1159">
        <v>213</v>
      </c>
      <c r="H1159">
        <v>52</v>
      </c>
      <c r="I1159">
        <f>Inventory_Data[[#This Row],[Opening_Stock]]+Inventory_Data[[#This Row],[Units_Received]]-Inventory_Data[[#This Row],[Units_Sold]]</f>
        <v>455</v>
      </c>
      <c r="J1159">
        <v>0</v>
      </c>
      <c r="K1159">
        <v>12</v>
      </c>
      <c r="L1159" t="s">
        <v>36</v>
      </c>
      <c r="M1159" s="3">
        <v>16.59</v>
      </c>
      <c r="N1159" s="3">
        <v>19.41</v>
      </c>
      <c r="O1159" s="10" t="str">
        <f>TEXT(Inventory_Data[[#This Row],[Date]],"mmm")</f>
        <v>Aug</v>
      </c>
    </row>
    <row r="1160" spans="1:15" x14ac:dyDescent="0.2">
      <c r="A1160" s="21">
        <v>45872</v>
      </c>
      <c r="B1160" s="5" t="s">
        <v>40</v>
      </c>
      <c r="C1160" t="s">
        <v>41</v>
      </c>
      <c r="D1160" t="s">
        <v>34</v>
      </c>
      <c r="E1160" t="s">
        <v>35</v>
      </c>
      <c r="F1160">
        <v>269</v>
      </c>
      <c r="G1160">
        <v>142</v>
      </c>
      <c r="H1160">
        <v>112</v>
      </c>
      <c r="I1160">
        <f>Inventory_Data[[#This Row],[Opening_Stock]]+Inventory_Data[[#This Row],[Units_Received]]-Inventory_Data[[#This Row],[Units_Sold]]</f>
        <v>299</v>
      </c>
      <c r="J1160">
        <v>0</v>
      </c>
      <c r="K1160">
        <v>14</v>
      </c>
      <c r="L1160" t="s">
        <v>42</v>
      </c>
      <c r="M1160" s="3">
        <v>2.98</v>
      </c>
      <c r="N1160" s="3">
        <v>3.69</v>
      </c>
      <c r="O1160" s="10" t="str">
        <f>TEXT(Inventory_Data[[#This Row],[Date]],"mmm")</f>
        <v>Aug</v>
      </c>
    </row>
    <row r="1161" spans="1:15" x14ac:dyDescent="0.2">
      <c r="A1161" s="21">
        <v>45872</v>
      </c>
      <c r="B1161" s="5" t="s">
        <v>138</v>
      </c>
      <c r="C1161" t="s">
        <v>139</v>
      </c>
      <c r="D1161" t="s">
        <v>34</v>
      </c>
      <c r="E1161" t="s">
        <v>28</v>
      </c>
      <c r="F1161">
        <v>85</v>
      </c>
      <c r="G1161">
        <v>37</v>
      </c>
      <c r="H1161">
        <v>18</v>
      </c>
      <c r="I1161">
        <f>Inventory_Data[[#This Row],[Opening_Stock]]+Inventory_Data[[#This Row],[Units_Received]]-Inventory_Data[[#This Row],[Units_Sold]]</f>
        <v>104</v>
      </c>
      <c r="J1161">
        <v>0</v>
      </c>
      <c r="K1161">
        <v>6</v>
      </c>
      <c r="L1161" t="s">
        <v>36</v>
      </c>
      <c r="M1161" s="3">
        <v>20.72</v>
      </c>
      <c r="N1161" s="3">
        <v>29.09</v>
      </c>
      <c r="O1161" s="10" t="str">
        <f>TEXT(Inventory_Data[[#This Row],[Date]],"mmm")</f>
        <v>Aug</v>
      </c>
    </row>
    <row r="1162" spans="1:15" x14ac:dyDescent="0.2">
      <c r="A1162" s="21">
        <v>45873</v>
      </c>
      <c r="B1162" s="5" t="s">
        <v>112</v>
      </c>
      <c r="C1162" t="s">
        <v>113</v>
      </c>
      <c r="D1162" t="s">
        <v>16</v>
      </c>
      <c r="E1162" t="s">
        <v>21</v>
      </c>
      <c r="F1162">
        <v>96</v>
      </c>
      <c r="G1162">
        <v>10</v>
      </c>
      <c r="H1162">
        <v>51</v>
      </c>
      <c r="I1162">
        <f>Inventory_Data[[#This Row],[Opening_Stock]]+Inventory_Data[[#This Row],[Units_Received]]-Inventory_Data[[#This Row],[Units_Sold]]</f>
        <v>55</v>
      </c>
      <c r="J1162">
        <v>0</v>
      </c>
      <c r="K1162">
        <v>5</v>
      </c>
      <c r="L1162" t="s">
        <v>45</v>
      </c>
      <c r="M1162" s="3">
        <v>18.21</v>
      </c>
      <c r="N1162" s="3">
        <v>27.74</v>
      </c>
      <c r="O1162" s="10" t="str">
        <f>TEXT(Inventory_Data[[#This Row],[Date]],"mmm")</f>
        <v>Aug</v>
      </c>
    </row>
    <row r="1163" spans="1:15" x14ac:dyDescent="0.2">
      <c r="A1163" s="21">
        <v>45873</v>
      </c>
      <c r="B1163" s="5" t="s">
        <v>94</v>
      </c>
      <c r="C1163" t="s">
        <v>95</v>
      </c>
      <c r="D1163" t="s">
        <v>16</v>
      </c>
      <c r="E1163" t="s">
        <v>35</v>
      </c>
      <c r="F1163">
        <v>173</v>
      </c>
      <c r="G1163">
        <v>78</v>
      </c>
      <c r="H1163">
        <v>68</v>
      </c>
      <c r="I1163">
        <f>Inventory_Data[[#This Row],[Opening_Stock]]+Inventory_Data[[#This Row],[Units_Received]]-Inventory_Data[[#This Row],[Units_Sold]]</f>
        <v>183</v>
      </c>
      <c r="J1163">
        <v>0</v>
      </c>
      <c r="K1163">
        <v>6</v>
      </c>
      <c r="L1163" t="s">
        <v>45</v>
      </c>
      <c r="M1163" s="3">
        <v>113.59</v>
      </c>
      <c r="N1163" s="3">
        <v>150.4</v>
      </c>
      <c r="O1163" s="10" t="str">
        <f>TEXT(Inventory_Data[[#This Row],[Date]],"mmm")</f>
        <v>Aug</v>
      </c>
    </row>
    <row r="1164" spans="1:15" x14ac:dyDescent="0.2">
      <c r="A1164" s="21">
        <v>45873</v>
      </c>
      <c r="B1164" s="5" t="s">
        <v>46</v>
      </c>
      <c r="C1164" t="s">
        <v>47</v>
      </c>
      <c r="D1164" t="s">
        <v>48</v>
      </c>
      <c r="E1164" t="s">
        <v>21</v>
      </c>
      <c r="F1164">
        <v>298</v>
      </c>
      <c r="G1164">
        <v>70</v>
      </c>
      <c r="H1164">
        <v>88</v>
      </c>
      <c r="I1164">
        <f>Inventory_Data[[#This Row],[Opening_Stock]]+Inventory_Data[[#This Row],[Units_Received]]-Inventory_Data[[#This Row],[Units_Sold]]</f>
        <v>280</v>
      </c>
      <c r="J1164">
        <v>0</v>
      </c>
      <c r="K1164">
        <v>7</v>
      </c>
      <c r="L1164" t="s">
        <v>63</v>
      </c>
      <c r="M1164" s="3">
        <v>84.01</v>
      </c>
      <c r="N1164" s="3">
        <v>118.96</v>
      </c>
      <c r="O1164" s="10" t="str">
        <f>TEXT(Inventory_Data[[#This Row],[Date]],"mmm")</f>
        <v>Aug</v>
      </c>
    </row>
    <row r="1165" spans="1:15" x14ac:dyDescent="0.2">
      <c r="A1165" s="21">
        <v>45873</v>
      </c>
      <c r="B1165" s="5" t="s">
        <v>122</v>
      </c>
      <c r="C1165" t="s">
        <v>123</v>
      </c>
      <c r="D1165" t="s">
        <v>27</v>
      </c>
      <c r="E1165" t="s">
        <v>17</v>
      </c>
      <c r="F1165">
        <v>493</v>
      </c>
      <c r="G1165">
        <v>240</v>
      </c>
      <c r="H1165">
        <v>129</v>
      </c>
      <c r="I1165">
        <f>Inventory_Data[[#This Row],[Opening_Stock]]+Inventory_Data[[#This Row],[Units_Received]]-Inventory_Data[[#This Row],[Units_Sold]]</f>
        <v>604</v>
      </c>
      <c r="J1165">
        <v>0</v>
      </c>
      <c r="K1165">
        <v>3</v>
      </c>
      <c r="L1165" t="s">
        <v>80</v>
      </c>
      <c r="M1165" s="3">
        <v>21.26</v>
      </c>
      <c r="N1165" s="3">
        <v>27.08</v>
      </c>
      <c r="O1165" s="10" t="str">
        <f>TEXT(Inventory_Data[[#This Row],[Date]],"mmm")</f>
        <v>Aug</v>
      </c>
    </row>
    <row r="1166" spans="1:15" x14ac:dyDescent="0.2">
      <c r="A1166" s="21">
        <v>45873</v>
      </c>
      <c r="B1166" s="5" t="s">
        <v>142</v>
      </c>
      <c r="C1166" t="s">
        <v>143</v>
      </c>
      <c r="D1166" t="s">
        <v>52</v>
      </c>
      <c r="E1166" t="s">
        <v>28</v>
      </c>
      <c r="F1166">
        <v>31</v>
      </c>
      <c r="G1166">
        <v>17</v>
      </c>
      <c r="H1166">
        <v>10</v>
      </c>
      <c r="I1166">
        <f>Inventory_Data[[#This Row],[Opening_Stock]]+Inventory_Data[[#This Row],[Units_Received]]-Inventory_Data[[#This Row],[Units_Sold]]</f>
        <v>38</v>
      </c>
      <c r="J1166">
        <v>0</v>
      </c>
      <c r="K1166">
        <v>10</v>
      </c>
      <c r="L1166" t="s">
        <v>56</v>
      </c>
      <c r="M1166" s="3">
        <v>293.19</v>
      </c>
      <c r="N1166" s="3">
        <v>372.92</v>
      </c>
      <c r="O1166" s="10" t="str">
        <f>TEXT(Inventory_Data[[#This Row],[Date]],"mmm")</f>
        <v>Aug</v>
      </c>
    </row>
    <row r="1167" spans="1:15" x14ac:dyDescent="0.2">
      <c r="A1167" s="21">
        <v>45873</v>
      </c>
      <c r="B1167" s="5" t="s">
        <v>102</v>
      </c>
      <c r="C1167" t="s">
        <v>103</v>
      </c>
      <c r="D1167" t="s">
        <v>52</v>
      </c>
      <c r="E1167" t="s">
        <v>21</v>
      </c>
      <c r="F1167">
        <v>61</v>
      </c>
      <c r="G1167">
        <v>6</v>
      </c>
      <c r="H1167">
        <v>8</v>
      </c>
      <c r="I1167">
        <f>Inventory_Data[[#This Row],[Opening_Stock]]+Inventory_Data[[#This Row],[Units_Received]]-Inventory_Data[[#This Row],[Units_Sold]]</f>
        <v>59</v>
      </c>
      <c r="J1167">
        <v>0</v>
      </c>
      <c r="K1167">
        <v>13</v>
      </c>
      <c r="L1167" t="s">
        <v>56</v>
      </c>
      <c r="M1167" s="3">
        <v>275.26</v>
      </c>
      <c r="N1167" s="3">
        <v>385.93</v>
      </c>
      <c r="O1167" s="10" t="str">
        <f>TEXT(Inventory_Data[[#This Row],[Date]],"mmm")</f>
        <v>Aug</v>
      </c>
    </row>
    <row r="1168" spans="1:15" x14ac:dyDescent="0.2">
      <c r="A1168" s="21">
        <v>45874</v>
      </c>
      <c r="B1168" s="5" t="s">
        <v>73</v>
      </c>
      <c r="C1168" t="s">
        <v>74</v>
      </c>
      <c r="D1168" t="s">
        <v>16</v>
      </c>
      <c r="E1168" t="s">
        <v>28</v>
      </c>
      <c r="F1168">
        <v>127</v>
      </c>
      <c r="G1168">
        <v>85</v>
      </c>
      <c r="H1168">
        <v>24</v>
      </c>
      <c r="I1168">
        <f>Inventory_Data[[#This Row],[Opening_Stock]]+Inventory_Data[[#This Row],[Units_Received]]-Inventory_Data[[#This Row],[Units_Sold]]</f>
        <v>188</v>
      </c>
      <c r="J1168">
        <v>0</v>
      </c>
      <c r="K1168">
        <v>10</v>
      </c>
      <c r="L1168" t="s">
        <v>45</v>
      </c>
      <c r="M1168" s="3">
        <v>179.84</v>
      </c>
      <c r="N1168" s="3">
        <v>237.46</v>
      </c>
      <c r="O1168" s="10" t="str">
        <f>TEXT(Inventory_Data[[#This Row],[Date]],"mmm")</f>
        <v>Aug</v>
      </c>
    </row>
    <row r="1169" spans="1:15" x14ac:dyDescent="0.2">
      <c r="A1169" s="21">
        <v>45874</v>
      </c>
      <c r="B1169" s="5" t="s">
        <v>73</v>
      </c>
      <c r="C1169" t="s">
        <v>74</v>
      </c>
      <c r="D1169" t="s">
        <v>16</v>
      </c>
      <c r="E1169" t="s">
        <v>21</v>
      </c>
      <c r="F1169">
        <v>46</v>
      </c>
      <c r="G1169">
        <v>33</v>
      </c>
      <c r="H1169">
        <v>43</v>
      </c>
      <c r="I1169">
        <f>Inventory_Data[[#This Row],[Opening_Stock]]+Inventory_Data[[#This Row],[Units_Received]]-Inventory_Data[[#This Row],[Units_Sold]]</f>
        <v>36</v>
      </c>
      <c r="J1169">
        <v>0</v>
      </c>
      <c r="K1169">
        <v>9</v>
      </c>
      <c r="L1169" t="s">
        <v>24</v>
      </c>
      <c r="M1169" s="3">
        <v>84.84</v>
      </c>
      <c r="N1169" s="3">
        <v>108.56</v>
      </c>
      <c r="O1169" s="10" t="str">
        <f>TEXT(Inventory_Data[[#This Row],[Date]],"mmm")</f>
        <v>Aug</v>
      </c>
    </row>
    <row r="1170" spans="1:15" x14ac:dyDescent="0.2">
      <c r="A1170" s="21">
        <v>45874</v>
      </c>
      <c r="B1170" s="5" t="s">
        <v>19</v>
      </c>
      <c r="C1170" t="s">
        <v>20</v>
      </c>
      <c r="D1170" t="s">
        <v>16</v>
      </c>
      <c r="E1170" t="s">
        <v>21</v>
      </c>
      <c r="F1170">
        <v>21</v>
      </c>
      <c r="G1170">
        <v>22</v>
      </c>
      <c r="H1170">
        <v>43</v>
      </c>
      <c r="I1170">
        <f>Inventory_Data[[#This Row],[Opening_Stock]]+Inventory_Data[[#This Row],[Units_Received]]-Inventory_Data[[#This Row],[Units_Sold]]</f>
        <v>0</v>
      </c>
      <c r="J1170">
        <v>1</v>
      </c>
      <c r="K1170">
        <v>13</v>
      </c>
      <c r="L1170" t="s">
        <v>45</v>
      </c>
      <c r="M1170" s="3">
        <v>47.11</v>
      </c>
      <c r="N1170" s="3">
        <v>55</v>
      </c>
      <c r="O1170" s="10" t="str">
        <f>TEXT(Inventory_Data[[#This Row],[Date]],"mmm")</f>
        <v>Aug</v>
      </c>
    </row>
    <row r="1171" spans="1:15" x14ac:dyDescent="0.2">
      <c r="A1171" s="21">
        <v>45874</v>
      </c>
      <c r="B1171" s="5" t="s">
        <v>128</v>
      </c>
      <c r="C1171" t="s">
        <v>129</v>
      </c>
      <c r="D1171" t="s">
        <v>48</v>
      </c>
      <c r="E1171" t="s">
        <v>17</v>
      </c>
      <c r="F1171">
        <v>284</v>
      </c>
      <c r="G1171">
        <v>52</v>
      </c>
      <c r="H1171">
        <v>32</v>
      </c>
      <c r="I1171">
        <f>Inventory_Data[[#This Row],[Opening_Stock]]+Inventory_Data[[#This Row],[Units_Received]]-Inventory_Data[[#This Row],[Units_Sold]]</f>
        <v>304</v>
      </c>
      <c r="J1171">
        <v>0</v>
      </c>
      <c r="K1171">
        <v>14</v>
      </c>
      <c r="L1171" t="s">
        <v>77</v>
      </c>
      <c r="M1171" s="3">
        <v>53.33</v>
      </c>
      <c r="N1171" s="3">
        <v>66.73</v>
      </c>
      <c r="O1171" s="10" t="str">
        <f>TEXT(Inventory_Data[[#This Row],[Date]],"mmm")</f>
        <v>Aug</v>
      </c>
    </row>
    <row r="1172" spans="1:15" x14ac:dyDescent="0.2">
      <c r="A1172" s="21">
        <v>45874</v>
      </c>
      <c r="B1172" s="5" t="s">
        <v>46</v>
      </c>
      <c r="C1172" t="s">
        <v>47</v>
      </c>
      <c r="D1172" t="s">
        <v>48</v>
      </c>
      <c r="E1172" t="s">
        <v>17</v>
      </c>
      <c r="F1172">
        <v>151</v>
      </c>
      <c r="G1172">
        <v>64</v>
      </c>
      <c r="H1172">
        <v>86</v>
      </c>
      <c r="I1172">
        <f>Inventory_Data[[#This Row],[Opening_Stock]]+Inventory_Data[[#This Row],[Units_Received]]-Inventory_Data[[#This Row],[Units_Sold]]</f>
        <v>129</v>
      </c>
      <c r="J1172">
        <v>0</v>
      </c>
      <c r="K1172">
        <v>2</v>
      </c>
      <c r="L1172" t="s">
        <v>77</v>
      </c>
      <c r="M1172" s="3">
        <v>18.920000000000002</v>
      </c>
      <c r="N1172" s="3">
        <v>23.74</v>
      </c>
      <c r="O1172" s="10" t="str">
        <f>TEXT(Inventory_Data[[#This Row],[Date]],"mmm")</f>
        <v>Aug</v>
      </c>
    </row>
    <row r="1173" spans="1:15" x14ac:dyDescent="0.2">
      <c r="A1173" s="21">
        <v>45874</v>
      </c>
      <c r="B1173" s="5" t="s">
        <v>188</v>
      </c>
      <c r="C1173" t="s">
        <v>189</v>
      </c>
      <c r="D1173" t="s">
        <v>27</v>
      </c>
      <c r="E1173" t="s">
        <v>28</v>
      </c>
      <c r="F1173">
        <v>208</v>
      </c>
      <c r="G1173">
        <v>178</v>
      </c>
      <c r="H1173">
        <v>138</v>
      </c>
      <c r="I1173">
        <f>Inventory_Data[[#This Row],[Opening_Stock]]+Inventory_Data[[#This Row],[Units_Received]]-Inventory_Data[[#This Row],[Units_Sold]]</f>
        <v>248</v>
      </c>
      <c r="J1173">
        <v>0</v>
      </c>
      <c r="K1173">
        <v>5</v>
      </c>
      <c r="L1173" t="s">
        <v>29</v>
      </c>
      <c r="M1173" s="3">
        <v>19.93</v>
      </c>
      <c r="N1173" s="3">
        <v>23.05</v>
      </c>
      <c r="O1173" s="10" t="str">
        <f>TEXT(Inventory_Data[[#This Row],[Date]],"mmm")</f>
        <v>Aug</v>
      </c>
    </row>
    <row r="1174" spans="1:15" x14ac:dyDescent="0.2">
      <c r="A1174" s="21">
        <v>45874</v>
      </c>
      <c r="B1174" s="5" t="s">
        <v>81</v>
      </c>
      <c r="C1174" t="s">
        <v>82</v>
      </c>
      <c r="D1174" t="s">
        <v>52</v>
      </c>
      <c r="E1174" t="s">
        <v>28</v>
      </c>
      <c r="F1174">
        <v>23</v>
      </c>
      <c r="G1174">
        <v>24</v>
      </c>
      <c r="H1174">
        <v>14</v>
      </c>
      <c r="I1174">
        <f>Inventory_Data[[#This Row],[Opening_Stock]]+Inventory_Data[[#This Row],[Units_Received]]-Inventory_Data[[#This Row],[Units_Sold]]</f>
        <v>33</v>
      </c>
      <c r="J1174">
        <v>0</v>
      </c>
      <c r="K1174">
        <v>11</v>
      </c>
      <c r="L1174" t="s">
        <v>56</v>
      </c>
      <c r="M1174" s="3">
        <v>327.3</v>
      </c>
      <c r="N1174" s="3">
        <v>445.47</v>
      </c>
      <c r="O1174" s="10" t="str">
        <f>TEXT(Inventory_Data[[#This Row],[Date]],"mmm")</f>
        <v>Aug</v>
      </c>
    </row>
    <row r="1175" spans="1:15" x14ac:dyDescent="0.2">
      <c r="A1175" s="21">
        <v>45874</v>
      </c>
      <c r="B1175" s="5" t="s">
        <v>138</v>
      </c>
      <c r="C1175" t="s">
        <v>139</v>
      </c>
      <c r="D1175" t="s">
        <v>34</v>
      </c>
      <c r="E1175" t="s">
        <v>28</v>
      </c>
      <c r="F1175">
        <v>265</v>
      </c>
      <c r="G1175">
        <v>108</v>
      </c>
      <c r="H1175">
        <v>57</v>
      </c>
      <c r="I1175">
        <f>Inventory_Data[[#This Row],[Opening_Stock]]+Inventory_Data[[#This Row],[Units_Received]]-Inventory_Data[[#This Row],[Units_Sold]]</f>
        <v>316</v>
      </c>
      <c r="J1175">
        <v>0</v>
      </c>
      <c r="K1175">
        <v>2</v>
      </c>
      <c r="L1175" t="s">
        <v>39</v>
      </c>
      <c r="M1175" s="3">
        <v>1.4</v>
      </c>
      <c r="N1175" s="3">
        <v>1.79</v>
      </c>
      <c r="O1175" s="10" t="str">
        <f>TEXT(Inventory_Data[[#This Row],[Date]],"mmm")</f>
        <v>Aug</v>
      </c>
    </row>
    <row r="1176" spans="1:15" x14ac:dyDescent="0.2">
      <c r="A1176" s="21">
        <v>45875</v>
      </c>
      <c r="B1176" s="5" t="s">
        <v>106</v>
      </c>
      <c r="C1176" t="s">
        <v>107</v>
      </c>
      <c r="D1176" t="s">
        <v>16</v>
      </c>
      <c r="E1176" t="s">
        <v>28</v>
      </c>
      <c r="F1176">
        <v>24</v>
      </c>
      <c r="G1176">
        <v>26</v>
      </c>
      <c r="H1176">
        <v>40</v>
      </c>
      <c r="I1176">
        <f>Inventory_Data[[#This Row],[Opening_Stock]]+Inventory_Data[[#This Row],[Units_Received]]-Inventory_Data[[#This Row],[Units_Sold]]</f>
        <v>10</v>
      </c>
      <c r="J1176">
        <v>0</v>
      </c>
      <c r="K1176">
        <v>7</v>
      </c>
      <c r="L1176" t="s">
        <v>24</v>
      </c>
      <c r="M1176" s="3">
        <v>61.69</v>
      </c>
      <c r="N1176" s="3">
        <v>94.73</v>
      </c>
      <c r="O1176" s="10" t="str">
        <f>TEXT(Inventory_Data[[#This Row],[Date]],"mmm")</f>
        <v>Aug</v>
      </c>
    </row>
    <row r="1177" spans="1:15" x14ac:dyDescent="0.2">
      <c r="A1177" s="21">
        <v>45875</v>
      </c>
      <c r="B1177" s="5" t="s">
        <v>132</v>
      </c>
      <c r="C1177" t="s">
        <v>133</v>
      </c>
      <c r="D1177" t="s">
        <v>16</v>
      </c>
      <c r="E1177" t="s">
        <v>28</v>
      </c>
      <c r="F1177">
        <v>112</v>
      </c>
      <c r="G1177">
        <v>89</v>
      </c>
      <c r="H1177">
        <v>32</v>
      </c>
      <c r="I1177">
        <f>Inventory_Data[[#This Row],[Opening_Stock]]+Inventory_Data[[#This Row],[Units_Received]]-Inventory_Data[[#This Row],[Units_Sold]]</f>
        <v>169</v>
      </c>
      <c r="J1177">
        <v>0</v>
      </c>
      <c r="K1177">
        <v>7</v>
      </c>
      <c r="L1177" t="s">
        <v>18</v>
      </c>
      <c r="M1177" s="3">
        <v>56.58</v>
      </c>
      <c r="N1177" s="3">
        <v>87.66</v>
      </c>
      <c r="O1177" s="10" t="str">
        <f>TEXT(Inventory_Data[[#This Row],[Date]],"mmm")</f>
        <v>Aug</v>
      </c>
    </row>
    <row r="1178" spans="1:15" x14ac:dyDescent="0.2">
      <c r="A1178" s="21">
        <v>45875</v>
      </c>
      <c r="B1178" s="5" t="s">
        <v>94</v>
      </c>
      <c r="C1178" t="s">
        <v>95</v>
      </c>
      <c r="D1178" t="s">
        <v>16</v>
      </c>
      <c r="E1178" t="s">
        <v>28</v>
      </c>
      <c r="F1178">
        <v>149</v>
      </c>
      <c r="G1178">
        <v>71</v>
      </c>
      <c r="H1178">
        <v>25</v>
      </c>
      <c r="I1178">
        <f>Inventory_Data[[#This Row],[Opening_Stock]]+Inventory_Data[[#This Row],[Units_Received]]-Inventory_Data[[#This Row],[Units_Sold]]</f>
        <v>195</v>
      </c>
      <c r="J1178">
        <v>0</v>
      </c>
      <c r="K1178">
        <v>7</v>
      </c>
      <c r="L1178" t="s">
        <v>45</v>
      </c>
      <c r="M1178" s="3">
        <v>177.02</v>
      </c>
      <c r="N1178" s="3">
        <v>244.79</v>
      </c>
      <c r="O1178" s="10" t="str">
        <f>TEXT(Inventory_Data[[#This Row],[Date]],"mmm")</f>
        <v>Aug</v>
      </c>
    </row>
    <row r="1179" spans="1:15" x14ac:dyDescent="0.2">
      <c r="A1179" s="21">
        <v>45875</v>
      </c>
      <c r="B1179" s="5" t="s">
        <v>184</v>
      </c>
      <c r="C1179" t="s">
        <v>185</v>
      </c>
      <c r="D1179" t="s">
        <v>16</v>
      </c>
      <c r="E1179" t="s">
        <v>21</v>
      </c>
      <c r="F1179">
        <v>68</v>
      </c>
      <c r="G1179">
        <v>28</v>
      </c>
      <c r="H1179">
        <v>16</v>
      </c>
      <c r="I1179">
        <f>Inventory_Data[[#This Row],[Opening_Stock]]+Inventory_Data[[#This Row],[Units_Received]]-Inventory_Data[[#This Row],[Units_Sold]]</f>
        <v>80</v>
      </c>
      <c r="J1179">
        <v>0</v>
      </c>
      <c r="K1179">
        <v>10</v>
      </c>
      <c r="L1179" t="s">
        <v>45</v>
      </c>
      <c r="M1179" s="3">
        <v>52.52</v>
      </c>
      <c r="N1179" s="3">
        <v>60.86</v>
      </c>
      <c r="O1179" s="10" t="str">
        <f>TEXT(Inventory_Data[[#This Row],[Date]],"mmm")</f>
        <v>Aug</v>
      </c>
    </row>
    <row r="1180" spans="1:15" x14ac:dyDescent="0.2">
      <c r="A1180" s="21">
        <v>45875</v>
      </c>
      <c r="B1180" s="5" t="s">
        <v>30</v>
      </c>
      <c r="C1180" t="s">
        <v>31</v>
      </c>
      <c r="D1180" t="s">
        <v>27</v>
      </c>
      <c r="E1180" t="s">
        <v>35</v>
      </c>
      <c r="F1180">
        <v>428</v>
      </c>
      <c r="G1180">
        <v>54</v>
      </c>
      <c r="H1180">
        <v>130</v>
      </c>
      <c r="I1180">
        <f>Inventory_Data[[#This Row],[Opening_Stock]]+Inventory_Data[[#This Row],[Units_Received]]-Inventory_Data[[#This Row],[Units_Sold]]</f>
        <v>352</v>
      </c>
      <c r="J1180">
        <v>0</v>
      </c>
      <c r="K1180">
        <v>5</v>
      </c>
      <c r="L1180" t="s">
        <v>29</v>
      </c>
      <c r="M1180" s="3">
        <v>4.33</v>
      </c>
      <c r="N1180" s="3">
        <v>6.15</v>
      </c>
      <c r="O1180" s="10" t="str">
        <f>TEXT(Inventory_Data[[#This Row],[Date]],"mmm")</f>
        <v>Aug</v>
      </c>
    </row>
    <row r="1181" spans="1:15" x14ac:dyDescent="0.2">
      <c r="A1181" s="21">
        <v>45875</v>
      </c>
      <c r="B1181" s="5" t="s">
        <v>140</v>
      </c>
      <c r="C1181" t="s">
        <v>141</v>
      </c>
      <c r="D1181" t="s">
        <v>52</v>
      </c>
      <c r="E1181" t="s">
        <v>21</v>
      </c>
      <c r="F1181">
        <v>35</v>
      </c>
      <c r="G1181">
        <v>21</v>
      </c>
      <c r="H1181">
        <v>8</v>
      </c>
      <c r="I1181">
        <f>Inventory_Data[[#This Row],[Opening_Stock]]+Inventory_Data[[#This Row],[Units_Received]]-Inventory_Data[[#This Row],[Units_Sold]]</f>
        <v>48</v>
      </c>
      <c r="J1181">
        <v>0</v>
      </c>
      <c r="K1181">
        <v>11</v>
      </c>
      <c r="L1181" t="s">
        <v>56</v>
      </c>
      <c r="M1181" s="3">
        <v>82.59</v>
      </c>
      <c r="N1181" s="3">
        <v>104.7</v>
      </c>
      <c r="O1181" s="10" t="str">
        <f>TEXT(Inventory_Data[[#This Row],[Date]],"mmm")</f>
        <v>Aug</v>
      </c>
    </row>
    <row r="1182" spans="1:15" x14ac:dyDescent="0.2">
      <c r="A1182" s="21">
        <v>45875</v>
      </c>
      <c r="B1182" s="5" t="s">
        <v>168</v>
      </c>
      <c r="C1182" t="s">
        <v>169</v>
      </c>
      <c r="D1182" t="s">
        <v>34</v>
      </c>
      <c r="E1182" t="s">
        <v>28</v>
      </c>
      <c r="F1182">
        <v>175</v>
      </c>
      <c r="G1182">
        <v>217</v>
      </c>
      <c r="H1182">
        <v>71</v>
      </c>
      <c r="I1182">
        <f>Inventory_Data[[#This Row],[Opening_Stock]]+Inventory_Data[[#This Row],[Units_Received]]-Inventory_Data[[#This Row],[Units_Sold]]</f>
        <v>321</v>
      </c>
      <c r="J1182">
        <v>0</v>
      </c>
      <c r="K1182">
        <v>12</v>
      </c>
      <c r="L1182" t="s">
        <v>36</v>
      </c>
      <c r="M1182" s="3">
        <v>24.61</v>
      </c>
      <c r="N1182" s="3">
        <v>33.42</v>
      </c>
      <c r="O1182" s="10" t="str">
        <f>TEXT(Inventory_Data[[#This Row],[Date]],"mmm")</f>
        <v>Aug</v>
      </c>
    </row>
    <row r="1183" spans="1:15" x14ac:dyDescent="0.2">
      <c r="A1183" s="21">
        <v>45876</v>
      </c>
      <c r="B1183" s="5" t="s">
        <v>61</v>
      </c>
      <c r="C1183" t="s">
        <v>62</v>
      </c>
      <c r="D1183" t="s">
        <v>48</v>
      </c>
      <c r="E1183" t="s">
        <v>21</v>
      </c>
      <c r="F1183">
        <v>296</v>
      </c>
      <c r="G1183">
        <v>36</v>
      </c>
      <c r="H1183">
        <v>93</v>
      </c>
      <c r="I1183">
        <f>Inventory_Data[[#This Row],[Opening_Stock]]+Inventory_Data[[#This Row],[Units_Received]]-Inventory_Data[[#This Row],[Units_Sold]]</f>
        <v>239</v>
      </c>
      <c r="J1183">
        <v>0</v>
      </c>
      <c r="K1183">
        <v>14</v>
      </c>
      <c r="L1183" t="s">
        <v>77</v>
      </c>
      <c r="M1183" s="3">
        <v>55.94</v>
      </c>
      <c r="N1183" s="3">
        <v>65.180000000000007</v>
      </c>
      <c r="O1183" s="10" t="str">
        <f>TEXT(Inventory_Data[[#This Row],[Date]],"mmm")</f>
        <v>Aug</v>
      </c>
    </row>
    <row r="1184" spans="1:15" x14ac:dyDescent="0.2">
      <c r="A1184" s="21">
        <v>45876</v>
      </c>
      <c r="B1184" s="5" t="s">
        <v>50</v>
      </c>
      <c r="C1184" t="s">
        <v>51</v>
      </c>
      <c r="D1184" t="s">
        <v>52</v>
      </c>
      <c r="E1184" t="s">
        <v>21</v>
      </c>
      <c r="F1184">
        <v>70</v>
      </c>
      <c r="G1184">
        <v>5</v>
      </c>
      <c r="H1184">
        <v>19</v>
      </c>
      <c r="I1184">
        <f>Inventory_Data[[#This Row],[Opening_Stock]]+Inventory_Data[[#This Row],[Units_Received]]-Inventory_Data[[#This Row],[Units_Sold]]</f>
        <v>56</v>
      </c>
      <c r="J1184">
        <v>0</v>
      </c>
      <c r="K1184">
        <v>3</v>
      </c>
      <c r="L1184" t="s">
        <v>56</v>
      </c>
      <c r="M1184" s="3">
        <v>277.97000000000003</v>
      </c>
      <c r="N1184" s="3">
        <v>387.33</v>
      </c>
      <c r="O1184" s="10" t="str">
        <f>TEXT(Inventory_Data[[#This Row],[Date]],"mmm")</f>
        <v>Aug</v>
      </c>
    </row>
    <row r="1185" spans="1:15" x14ac:dyDescent="0.2">
      <c r="A1185" s="21">
        <v>45877</v>
      </c>
      <c r="B1185" s="5" t="s">
        <v>152</v>
      </c>
      <c r="C1185" t="s">
        <v>153</v>
      </c>
      <c r="D1185" t="s">
        <v>16</v>
      </c>
      <c r="E1185" t="s">
        <v>28</v>
      </c>
      <c r="F1185">
        <v>176</v>
      </c>
      <c r="G1185">
        <v>35</v>
      </c>
      <c r="H1185">
        <v>39</v>
      </c>
      <c r="I1185">
        <f>Inventory_Data[[#This Row],[Opening_Stock]]+Inventory_Data[[#This Row],[Units_Received]]-Inventory_Data[[#This Row],[Units_Sold]]</f>
        <v>172</v>
      </c>
      <c r="J1185">
        <v>0</v>
      </c>
      <c r="K1185">
        <v>4</v>
      </c>
      <c r="L1185" t="s">
        <v>18</v>
      </c>
      <c r="M1185" s="3">
        <v>54.36</v>
      </c>
      <c r="N1185" s="3">
        <v>65.69</v>
      </c>
      <c r="O1185" s="10" t="str">
        <f>TEXT(Inventory_Data[[#This Row],[Date]],"mmm")</f>
        <v>Aug</v>
      </c>
    </row>
    <row r="1186" spans="1:15" x14ac:dyDescent="0.2">
      <c r="A1186" s="21">
        <v>45877</v>
      </c>
      <c r="B1186" s="5" t="s">
        <v>162</v>
      </c>
      <c r="C1186" t="s">
        <v>163</v>
      </c>
      <c r="D1186" t="s">
        <v>16</v>
      </c>
      <c r="E1186" t="s">
        <v>35</v>
      </c>
      <c r="F1186">
        <v>149</v>
      </c>
      <c r="G1186">
        <v>34</v>
      </c>
      <c r="H1186">
        <v>17</v>
      </c>
      <c r="I1186">
        <f>Inventory_Data[[#This Row],[Opening_Stock]]+Inventory_Data[[#This Row],[Units_Received]]-Inventory_Data[[#This Row],[Units_Sold]]</f>
        <v>166</v>
      </c>
      <c r="J1186">
        <v>0</v>
      </c>
      <c r="K1186">
        <v>11</v>
      </c>
      <c r="L1186" t="s">
        <v>18</v>
      </c>
      <c r="M1186" s="3">
        <v>132.88999999999999</v>
      </c>
      <c r="N1186" s="3">
        <v>163.82</v>
      </c>
      <c r="O1186" s="10" t="str">
        <f>TEXT(Inventory_Data[[#This Row],[Date]],"mmm")</f>
        <v>Aug</v>
      </c>
    </row>
    <row r="1187" spans="1:15" x14ac:dyDescent="0.2">
      <c r="A1187" s="21">
        <v>45877</v>
      </c>
      <c r="B1187" s="5" t="s">
        <v>73</v>
      </c>
      <c r="C1187" t="s">
        <v>74</v>
      </c>
      <c r="D1187" t="s">
        <v>16</v>
      </c>
      <c r="E1187" t="s">
        <v>35</v>
      </c>
      <c r="F1187">
        <v>44</v>
      </c>
      <c r="G1187">
        <v>57</v>
      </c>
      <c r="H1187">
        <v>47</v>
      </c>
      <c r="I1187">
        <f>Inventory_Data[[#This Row],[Opening_Stock]]+Inventory_Data[[#This Row],[Units_Received]]-Inventory_Data[[#This Row],[Units_Sold]]</f>
        <v>54</v>
      </c>
      <c r="J1187">
        <v>0</v>
      </c>
      <c r="K1187">
        <v>6</v>
      </c>
      <c r="L1187" t="s">
        <v>45</v>
      </c>
      <c r="M1187" s="3">
        <v>94.3</v>
      </c>
      <c r="N1187" s="3">
        <v>111.48</v>
      </c>
      <c r="O1187" s="10" t="str">
        <f>TEXT(Inventory_Data[[#This Row],[Date]],"mmm")</f>
        <v>Aug</v>
      </c>
    </row>
    <row r="1188" spans="1:15" x14ac:dyDescent="0.2">
      <c r="A1188" s="21">
        <v>45877</v>
      </c>
      <c r="B1188" s="5" t="s">
        <v>178</v>
      </c>
      <c r="C1188" t="s">
        <v>179</v>
      </c>
      <c r="D1188" t="s">
        <v>16</v>
      </c>
      <c r="E1188" t="s">
        <v>35</v>
      </c>
      <c r="F1188">
        <v>154</v>
      </c>
      <c r="G1188">
        <v>88</v>
      </c>
      <c r="H1188">
        <v>18</v>
      </c>
      <c r="I1188">
        <f>Inventory_Data[[#This Row],[Opening_Stock]]+Inventory_Data[[#This Row],[Units_Received]]-Inventory_Data[[#This Row],[Units_Sold]]</f>
        <v>224</v>
      </c>
      <c r="J1188">
        <v>0</v>
      </c>
      <c r="K1188">
        <v>8</v>
      </c>
      <c r="L1188" t="s">
        <v>18</v>
      </c>
      <c r="M1188" s="3">
        <v>100.76</v>
      </c>
      <c r="N1188" s="3">
        <v>146.13999999999999</v>
      </c>
      <c r="O1188" s="10" t="str">
        <f>TEXT(Inventory_Data[[#This Row],[Date]],"mmm")</f>
        <v>Aug</v>
      </c>
    </row>
    <row r="1189" spans="1:15" x14ac:dyDescent="0.2">
      <c r="A1189" s="21">
        <v>45877</v>
      </c>
      <c r="B1189" s="5" t="s">
        <v>170</v>
      </c>
      <c r="C1189" t="s">
        <v>171</v>
      </c>
      <c r="D1189" t="s">
        <v>48</v>
      </c>
      <c r="E1189" t="s">
        <v>35</v>
      </c>
      <c r="F1189">
        <v>163</v>
      </c>
      <c r="G1189">
        <v>120</v>
      </c>
      <c r="H1189">
        <v>44</v>
      </c>
      <c r="I1189">
        <f>Inventory_Data[[#This Row],[Opening_Stock]]+Inventory_Data[[#This Row],[Units_Received]]-Inventory_Data[[#This Row],[Units_Sold]]</f>
        <v>239</v>
      </c>
      <c r="J1189">
        <v>0</v>
      </c>
      <c r="K1189">
        <v>8</v>
      </c>
      <c r="L1189" t="s">
        <v>77</v>
      </c>
      <c r="M1189" s="3">
        <v>44.42</v>
      </c>
      <c r="N1189" s="3">
        <v>68.760000000000005</v>
      </c>
      <c r="O1189" s="10" t="str">
        <f>TEXT(Inventory_Data[[#This Row],[Date]],"mmm")</f>
        <v>Aug</v>
      </c>
    </row>
    <row r="1190" spans="1:15" x14ac:dyDescent="0.2">
      <c r="A1190" s="21">
        <v>45877</v>
      </c>
      <c r="B1190" s="5" t="s">
        <v>188</v>
      </c>
      <c r="C1190" t="s">
        <v>189</v>
      </c>
      <c r="D1190" t="s">
        <v>27</v>
      </c>
      <c r="E1190" t="s">
        <v>17</v>
      </c>
      <c r="F1190">
        <v>450</v>
      </c>
      <c r="G1190">
        <v>107</v>
      </c>
      <c r="H1190">
        <v>196</v>
      </c>
      <c r="I1190">
        <f>Inventory_Data[[#This Row],[Opening_Stock]]+Inventory_Data[[#This Row],[Units_Received]]-Inventory_Data[[#This Row],[Units_Sold]]</f>
        <v>361</v>
      </c>
      <c r="J1190">
        <v>0</v>
      </c>
      <c r="K1190">
        <v>3</v>
      </c>
      <c r="L1190" t="s">
        <v>80</v>
      </c>
      <c r="M1190" s="3">
        <v>9.81</v>
      </c>
      <c r="N1190" s="3">
        <v>13.07</v>
      </c>
      <c r="O1190" s="10" t="str">
        <f>TEXT(Inventory_Data[[#This Row],[Date]],"mmm")</f>
        <v>Aug</v>
      </c>
    </row>
    <row r="1191" spans="1:15" x14ac:dyDescent="0.2">
      <c r="A1191" s="21">
        <v>45877</v>
      </c>
      <c r="B1191" s="5" t="s">
        <v>188</v>
      </c>
      <c r="C1191" t="s">
        <v>189</v>
      </c>
      <c r="D1191" t="s">
        <v>27</v>
      </c>
      <c r="E1191" t="s">
        <v>17</v>
      </c>
      <c r="F1191">
        <v>228</v>
      </c>
      <c r="G1191">
        <v>225</v>
      </c>
      <c r="H1191">
        <v>165</v>
      </c>
      <c r="I1191">
        <f>Inventory_Data[[#This Row],[Opening_Stock]]+Inventory_Data[[#This Row],[Units_Received]]-Inventory_Data[[#This Row],[Units_Sold]]</f>
        <v>288</v>
      </c>
      <c r="J1191">
        <v>0</v>
      </c>
      <c r="K1191">
        <v>1</v>
      </c>
      <c r="L1191" t="s">
        <v>66</v>
      </c>
      <c r="M1191" s="3">
        <v>12.58</v>
      </c>
      <c r="N1191" s="3">
        <v>15.87</v>
      </c>
      <c r="O1191" s="10" t="str">
        <f>TEXT(Inventory_Data[[#This Row],[Date]],"mmm")</f>
        <v>Aug</v>
      </c>
    </row>
    <row r="1192" spans="1:15" x14ac:dyDescent="0.2">
      <c r="A1192" s="21">
        <v>45877</v>
      </c>
      <c r="B1192" s="5" t="s">
        <v>50</v>
      </c>
      <c r="C1192" t="s">
        <v>51</v>
      </c>
      <c r="D1192" t="s">
        <v>52</v>
      </c>
      <c r="E1192" t="s">
        <v>28</v>
      </c>
      <c r="F1192">
        <v>28</v>
      </c>
      <c r="G1192">
        <v>23</v>
      </c>
      <c r="H1192">
        <v>2</v>
      </c>
      <c r="I1192">
        <f>Inventory_Data[[#This Row],[Opening_Stock]]+Inventory_Data[[#This Row],[Units_Received]]-Inventory_Data[[#This Row],[Units_Sold]]</f>
        <v>49</v>
      </c>
      <c r="J1192">
        <v>0</v>
      </c>
      <c r="K1192">
        <v>9</v>
      </c>
      <c r="L1192" t="s">
        <v>53</v>
      </c>
      <c r="M1192" s="3">
        <v>135.35</v>
      </c>
      <c r="N1192" s="3">
        <v>161.51</v>
      </c>
      <c r="O1192" s="10" t="str">
        <f>TEXT(Inventory_Data[[#This Row],[Date]],"mmm")</f>
        <v>Aug</v>
      </c>
    </row>
    <row r="1193" spans="1:15" x14ac:dyDescent="0.2">
      <c r="A1193" s="21">
        <v>45878</v>
      </c>
      <c r="B1193" s="5" t="s">
        <v>146</v>
      </c>
      <c r="C1193" t="s">
        <v>147</v>
      </c>
      <c r="D1193" t="s">
        <v>48</v>
      </c>
      <c r="E1193" t="s">
        <v>21</v>
      </c>
      <c r="F1193">
        <v>173</v>
      </c>
      <c r="G1193">
        <v>44</v>
      </c>
      <c r="H1193">
        <v>94</v>
      </c>
      <c r="I1193">
        <f>Inventory_Data[[#This Row],[Opening_Stock]]+Inventory_Data[[#This Row],[Units_Received]]-Inventory_Data[[#This Row],[Units_Sold]]</f>
        <v>123</v>
      </c>
      <c r="J1193">
        <v>0</v>
      </c>
      <c r="K1193">
        <v>8</v>
      </c>
      <c r="L1193" t="s">
        <v>49</v>
      </c>
      <c r="M1193" s="3">
        <v>28.29</v>
      </c>
      <c r="N1193" s="3">
        <v>42.34</v>
      </c>
      <c r="O1193" s="10" t="str">
        <f>TEXT(Inventory_Data[[#This Row],[Date]],"mmm")</f>
        <v>Aug</v>
      </c>
    </row>
    <row r="1194" spans="1:15" x14ac:dyDescent="0.2">
      <c r="A1194" s="21">
        <v>45878</v>
      </c>
      <c r="B1194" s="5" t="s">
        <v>136</v>
      </c>
      <c r="C1194" t="s">
        <v>137</v>
      </c>
      <c r="D1194" t="s">
        <v>27</v>
      </c>
      <c r="E1194" t="s">
        <v>28</v>
      </c>
      <c r="F1194">
        <v>306</v>
      </c>
      <c r="G1194">
        <v>216</v>
      </c>
      <c r="H1194">
        <v>194</v>
      </c>
      <c r="I1194">
        <f>Inventory_Data[[#This Row],[Opening_Stock]]+Inventory_Data[[#This Row],[Units_Received]]-Inventory_Data[[#This Row],[Units_Sold]]</f>
        <v>328</v>
      </c>
      <c r="J1194">
        <v>0</v>
      </c>
      <c r="K1194">
        <v>7</v>
      </c>
      <c r="L1194" t="s">
        <v>29</v>
      </c>
      <c r="M1194" s="3">
        <v>8.61</v>
      </c>
      <c r="N1194" s="3">
        <v>13.14</v>
      </c>
      <c r="O1194" s="10" t="str">
        <f>TEXT(Inventory_Data[[#This Row],[Date]],"mmm")</f>
        <v>Aug</v>
      </c>
    </row>
    <row r="1195" spans="1:15" x14ac:dyDescent="0.2">
      <c r="A1195" s="21">
        <v>45879</v>
      </c>
      <c r="B1195" s="5" t="s">
        <v>22</v>
      </c>
      <c r="C1195" t="s">
        <v>23</v>
      </c>
      <c r="D1195" t="s">
        <v>16</v>
      </c>
      <c r="E1195" t="s">
        <v>35</v>
      </c>
      <c r="F1195">
        <v>140</v>
      </c>
      <c r="G1195">
        <v>14</v>
      </c>
      <c r="H1195">
        <v>74</v>
      </c>
      <c r="I1195">
        <f>Inventory_Data[[#This Row],[Opening_Stock]]+Inventory_Data[[#This Row],[Units_Received]]-Inventory_Data[[#This Row],[Units_Sold]]</f>
        <v>80</v>
      </c>
      <c r="J1195">
        <v>0</v>
      </c>
      <c r="K1195">
        <v>2</v>
      </c>
      <c r="L1195" t="s">
        <v>18</v>
      </c>
      <c r="M1195" s="3">
        <v>24.28</v>
      </c>
      <c r="N1195" s="3">
        <v>30.04</v>
      </c>
      <c r="O1195" s="10" t="str">
        <f>TEXT(Inventory_Data[[#This Row],[Date]],"mmm")</f>
        <v>Aug</v>
      </c>
    </row>
    <row r="1196" spans="1:15" x14ac:dyDescent="0.2">
      <c r="A1196" s="21">
        <v>45879</v>
      </c>
      <c r="B1196" s="5" t="s">
        <v>108</v>
      </c>
      <c r="C1196" t="s">
        <v>109</v>
      </c>
      <c r="D1196" t="s">
        <v>16</v>
      </c>
      <c r="E1196" t="s">
        <v>21</v>
      </c>
      <c r="F1196">
        <v>149</v>
      </c>
      <c r="G1196">
        <v>65</v>
      </c>
      <c r="H1196">
        <v>55</v>
      </c>
      <c r="I1196">
        <f>Inventory_Data[[#This Row],[Opening_Stock]]+Inventory_Data[[#This Row],[Units_Received]]-Inventory_Data[[#This Row],[Units_Sold]]</f>
        <v>159</v>
      </c>
      <c r="J1196">
        <v>0</v>
      </c>
      <c r="K1196">
        <v>7</v>
      </c>
      <c r="L1196" t="s">
        <v>24</v>
      </c>
      <c r="M1196" s="3">
        <v>116.27</v>
      </c>
      <c r="N1196" s="3">
        <v>139.22</v>
      </c>
      <c r="O1196" s="10" t="str">
        <f>TEXT(Inventory_Data[[#This Row],[Date]],"mmm")</f>
        <v>Aug</v>
      </c>
    </row>
    <row r="1197" spans="1:15" x14ac:dyDescent="0.2">
      <c r="A1197" s="21">
        <v>45879</v>
      </c>
      <c r="B1197" s="5" t="s">
        <v>96</v>
      </c>
      <c r="C1197" t="s">
        <v>97</v>
      </c>
      <c r="D1197" t="s">
        <v>48</v>
      </c>
      <c r="E1197" t="s">
        <v>17</v>
      </c>
      <c r="F1197">
        <v>298</v>
      </c>
      <c r="G1197">
        <v>46</v>
      </c>
      <c r="H1197">
        <v>123</v>
      </c>
      <c r="I1197">
        <f>Inventory_Data[[#This Row],[Opening_Stock]]+Inventory_Data[[#This Row],[Units_Received]]-Inventory_Data[[#This Row],[Units_Sold]]</f>
        <v>221</v>
      </c>
      <c r="J1197">
        <v>0</v>
      </c>
      <c r="K1197">
        <v>12</v>
      </c>
      <c r="L1197" t="s">
        <v>63</v>
      </c>
      <c r="M1197" s="3">
        <v>88.65</v>
      </c>
      <c r="N1197" s="3">
        <v>106.94</v>
      </c>
      <c r="O1197" s="10" t="str">
        <f>TEXT(Inventory_Data[[#This Row],[Date]],"mmm")</f>
        <v>Aug</v>
      </c>
    </row>
    <row r="1198" spans="1:15" x14ac:dyDescent="0.2">
      <c r="A1198" s="21">
        <v>45879</v>
      </c>
      <c r="B1198" s="5" t="s">
        <v>96</v>
      </c>
      <c r="C1198" t="s">
        <v>97</v>
      </c>
      <c r="D1198" t="s">
        <v>48</v>
      </c>
      <c r="E1198" t="s">
        <v>21</v>
      </c>
      <c r="F1198">
        <v>189</v>
      </c>
      <c r="G1198">
        <v>78</v>
      </c>
      <c r="H1198">
        <v>77</v>
      </c>
      <c r="I1198">
        <f>Inventory_Data[[#This Row],[Opening_Stock]]+Inventory_Data[[#This Row],[Units_Received]]-Inventory_Data[[#This Row],[Units_Sold]]</f>
        <v>190</v>
      </c>
      <c r="J1198">
        <v>0</v>
      </c>
      <c r="K1198">
        <v>8</v>
      </c>
      <c r="L1198" t="s">
        <v>77</v>
      </c>
      <c r="M1198" s="3">
        <v>29.03</v>
      </c>
      <c r="N1198" s="3">
        <v>44.23</v>
      </c>
      <c r="O1198" s="10" t="str">
        <f>TEXT(Inventory_Data[[#This Row],[Date]],"mmm")</f>
        <v>Aug</v>
      </c>
    </row>
    <row r="1199" spans="1:15" x14ac:dyDescent="0.2">
      <c r="A1199" s="21">
        <v>45879</v>
      </c>
      <c r="B1199" s="5" t="s">
        <v>164</v>
      </c>
      <c r="C1199" t="s">
        <v>165</v>
      </c>
      <c r="D1199" t="s">
        <v>48</v>
      </c>
      <c r="E1199" t="s">
        <v>35</v>
      </c>
      <c r="F1199">
        <v>75</v>
      </c>
      <c r="G1199">
        <v>83</v>
      </c>
      <c r="H1199">
        <v>104</v>
      </c>
      <c r="I1199">
        <f>Inventory_Data[[#This Row],[Opening_Stock]]+Inventory_Data[[#This Row],[Units_Received]]-Inventory_Data[[#This Row],[Units_Sold]]</f>
        <v>54</v>
      </c>
      <c r="J1199">
        <v>0</v>
      </c>
      <c r="K1199">
        <v>10</v>
      </c>
      <c r="L1199" t="s">
        <v>77</v>
      </c>
      <c r="M1199" s="3">
        <v>19.170000000000002</v>
      </c>
      <c r="N1199" s="3">
        <v>26.88</v>
      </c>
      <c r="O1199" s="10" t="str">
        <f>TEXT(Inventory_Data[[#This Row],[Date]],"mmm")</f>
        <v>Aug</v>
      </c>
    </row>
    <row r="1200" spans="1:15" x14ac:dyDescent="0.2">
      <c r="A1200" s="21">
        <v>45879</v>
      </c>
      <c r="B1200" s="5" t="s">
        <v>142</v>
      </c>
      <c r="C1200" t="s">
        <v>143</v>
      </c>
      <c r="D1200" t="s">
        <v>52</v>
      </c>
      <c r="E1200" t="s">
        <v>35</v>
      </c>
      <c r="F1200">
        <v>71</v>
      </c>
      <c r="G1200">
        <v>2</v>
      </c>
      <c r="H1200">
        <v>17</v>
      </c>
      <c r="I1200">
        <f>Inventory_Data[[#This Row],[Opening_Stock]]+Inventory_Data[[#This Row],[Units_Received]]-Inventory_Data[[#This Row],[Units_Sold]]</f>
        <v>56</v>
      </c>
      <c r="J1200">
        <v>0</v>
      </c>
      <c r="K1200">
        <v>10</v>
      </c>
      <c r="L1200" t="s">
        <v>53</v>
      </c>
      <c r="M1200" s="3">
        <v>212.04</v>
      </c>
      <c r="N1200" s="3">
        <v>322.32</v>
      </c>
      <c r="O1200" s="10" t="str">
        <f>TEXT(Inventory_Data[[#This Row],[Date]],"mmm")</f>
        <v>Aug</v>
      </c>
    </row>
    <row r="1201" spans="1:15" x14ac:dyDescent="0.2">
      <c r="A1201" s="21">
        <v>45879</v>
      </c>
      <c r="B1201" s="5" t="s">
        <v>174</v>
      </c>
      <c r="C1201" t="s">
        <v>175</v>
      </c>
      <c r="D1201" t="s">
        <v>52</v>
      </c>
      <c r="E1201" t="s">
        <v>21</v>
      </c>
      <c r="F1201">
        <v>78</v>
      </c>
      <c r="G1201">
        <v>7</v>
      </c>
      <c r="H1201">
        <v>2</v>
      </c>
      <c r="I1201">
        <f>Inventory_Data[[#This Row],[Opening_Stock]]+Inventory_Data[[#This Row],[Units_Received]]-Inventory_Data[[#This Row],[Units_Sold]]</f>
        <v>83</v>
      </c>
      <c r="J1201">
        <v>0</v>
      </c>
      <c r="K1201">
        <v>11</v>
      </c>
      <c r="L1201" t="s">
        <v>83</v>
      </c>
      <c r="M1201" s="3">
        <v>332.57</v>
      </c>
      <c r="N1201" s="3">
        <v>437.66</v>
      </c>
      <c r="O1201" s="10" t="str">
        <f>TEXT(Inventory_Data[[#This Row],[Date]],"mmm")</f>
        <v>Aug</v>
      </c>
    </row>
    <row r="1202" spans="1:15" x14ac:dyDescent="0.2">
      <c r="A1202" s="21">
        <v>45880</v>
      </c>
      <c r="B1202" s="5" t="s">
        <v>71</v>
      </c>
      <c r="C1202" t="s">
        <v>72</v>
      </c>
      <c r="D1202" t="s">
        <v>16</v>
      </c>
      <c r="E1202" t="s">
        <v>35</v>
      </c>
      <c r="F1202">
        <v>94</v>
      </c>
      <c r="G1202">
        <v>48</v>
      </c>
      <c r="H1202">
        <v>29</v>
      </c>
      <c r="I1202">
        <f>Inventory_Data[[#This Row],[Opening_Stock]]+Inventory_Data[[#This Row],[Units_Received]]-Inventory_Data[[#This Row],[Units_Sold]]</f>
        <v>113</v>
      </c>
      <c r="J1202">
        <v>0</v>
      </c>
      <c r="K1202">
        <v>6</v>
      </c>
      <c r="L1202" t="s">
        <v>24</v>
      </c>
      <c r="M1202" s="3">
        <v>167.85</v>
      </c>
      <c r="N1202" s="3">
        <v>259.87</v>
      </c>
      <c r="O1202" s="10" t="str">
        <f>TEXT(Inventory_Data[[#This Row],[Date]],"mmm")</f>
        <v>Aug</v>
      </c>
    </row>
    <row r="1203" spans="1:15" x14ac:dyDescent="0.2">
      <c r="A1203" s="21">
        <v>45880</v>
      </c>
      <c r="B1203" s="5" t="s">
        <v>120</v>
      </c>
      <c r="C1203" t="s">
        <v>121</v>
      </c>
      <c r="D1203" t="s">
        <v>16</v>
      </c>
      <c r="E1203" t="s">
        <v>35</v>
      </c>
      <c r="F1203">
        <v>31</v>
      </c>
      <c r="G1203">
        <v>36</v>
      </c>
      <c r="H1203">
        <v>43</v>
      </c>
      <c r="I1203">
        <f>Inventory_Data[[#This Row],[Opening_Stock]]+Inventory_Data[[#This Row],[Units_Received]]-Inventory_Data[[#This Row],[Units_Sold]]</f>
        <v>24</v>
      </c>
      <c r="J1203">
        <v>0</v>
      </c>
      <c r="K1203">
        <v>10</v>
      </c>
      <c r="L1203" t="s">
        <v>45</v>
      </c>
      <c r="M1203" s="3">
        <v>194.14</v>
      </c>
      <c r="N1203" s="3">
        <v>224.26</v>
      </c>
      <c r="O1203" s="10" t="str">
        <f>TEXT(Inventory_Data[[#This Row],[Date]],"mmm")</f>
        <v>Aug</v>
      </c>
    </row>
    <row r="1204" spans="1:15" x14ac:dyDescent="0.2">
      <c r="A1204" s="21">
        <v>45880</v>
      </c>
      <c r="B1204" s="5" t="s">
        <v>128</v>
      </c>
      <c r="C1204" t="s">
        <v>129</v>
      </c>
      <c r="D1204" t="s">
        <v>48</v>
      </c>
      <c r="E1204" t="s">
        <v>28</v>
      </c>
      <c r="F1204">
        <v>233</v>
      </c>
      <c r="G1204">
        <v>54</v>
      </c>
      <c r="H1204">
        <v>28</v>
      </c>
      <c r="I1204">
        <f>Inventory_Data[[#This Row],[Opening_Stock]]+Inventory_Data[[#This Row],[Units_Received]]-Inventory_Data[[#This Row],[Units_Sold]]</f>
        <v>259</v>
      </c>
      <c r="J1204">
        <v>0</v>
      </c>
      <c r="K1204">
        <v>12</v>
      </c>
      <c r="L1204" t="s">
        <v>77</v>
      </c>
      <c r="M1204" s="3">
        <v>81.7</v>
      </c>
      <c r="N1204" s="3">
        <v>124.38</v>
      </c>
      <c r="O1204" s="10" t="str">
        <f>TEXT(Inventory_Data[[#This Row],[Date]],"mmm")</f>
        <v>Aug</v>
      </c>
    </row>
    <row r="1205" spans="1:15" x14ac:dyDescent="0.2">
      <c r="A1205" s="21">
        <v>45880</v>
      </c>
      <c r="B1205" s="5" t="s">
        <v>96</v>
      </c>
      <c r="C1205" t="s">
        <v>97</v>
      </c>
      <c r="D1205" t="s">
        <v>48</v>
      </c>
      <c r="E1205" t="s">
        <v>21</v>
      </c>
      <c r="F1205">
        <v>205</v>
      </c>
      <c r="G1205">
        <v>100</v>
      </c>
      <c r="H1205">
        <v>87</v>
      </c>
      <c r="I1205">
        <f>Inventory_Data[[#This Row],[Opening_Stock]]+Inventory_Data[[#This Row],[Units_Received]]-Inventory_Data[[#This Row],[Units_Sold]]</f>
        <v>218</v>
      </c>
      <c r="J1205">
        <v>0</v>
      </c>
      <c r="K1205">
        <v>14</v>
      </c>
      <c r="L1205" t="s">
        <v>63</v>
      </c>
      <c r="M1205" s="3">
        <v>76.95</v>
      </c>
      <c r="N1205" s="3">
        <v>95.3</v>
      </c>
      <c r="O1205" s="10" t="str">
        <f>TEXT(Inventory_Data[[#This Row],[Date]],"mmm")</f>
        <v>Aug</v>
      </c>
    </row>
    <row r="1206" spans="1:15" x14ac:dyDescent="0.2">
      <c r="A1206" s="21">
        <v>45880</v>
      </c>
      <c r="B1206" s="5" t="s">
        <v>188</v>
      </c>
      <c r="C1206" t="s">
        <v>189</v>
      </c>
      <c r="D1206" t="s">
        <v>27</v>
      </c>
      <c r="E1206" t="s">
        <v>28</v>
      </c>
      <c r="F1206">
        <v>86</v>
      </c>
      <c r="G1206">
        <v>149</v>
      </c>
      <c r="H1206">
        <v>141</v>
      </c>
      <c r="I1206">
        <f>Inventory_Data[[#This Row],[Opening_Stock]]+Inventory_Data[[#This Row],[Units_Received]]-Inventory_Data[[#This Row],[Units_Sold]]</f>
        <v>94</v>
      </c>
      <c r="J1206">
        <v>0</v>
      </c>
      <c r="K1206">
        <v>3</v>
      </c>
      <c r="L1206" t="s">
        <v>66</v>
      </c>
      <c r="M1206" s="3">
        <v>10.51</v>
      </c>
      <c r="N1206" s="3">
        <v>14.4</v>
      </c>
      <c r="O1206" s="10" t="str">
        <f>TEXT(Inventory_Data[[#This Row],[Date]],"mmm")</f>
        <v>Aug</v>
      </c>
    </row>
    <row r="1207" spans="1:15" x14ac:dyDescent="0.2">
      <c r="A1207" s="21">
        <v>45880</v>
      </c>
      <c r="B1207" s="5" t="s">
        <v>172</v>
      </c>
      <c r="C1207" t="s">
        <v>173</v>
      </c>
      <c r="D1207" t="s">
        <v>27</v>
      </c>
      <c r="E1207" t="s">
        <v>28</v>
      </c>
      <c r="F1207">
        <v>98</v>
      </c>
      <c r="G1207">
        <v>40</v>
      </c>
      <c r="H1207">
        <v>59</v>
      </c>
      <c r="I1207">
        <f>Inventory_Data[[#This Row],[Opening_Stock]]+Inventory_Data[[#This Row],[Units_Received]]-Inventory_Data[[#This Row],[Units_Sold]]</f>
        <v>79</v>
      </c>
      <c r="J1207">
        <v>0</v>
      </c>
      <c r="K1207">
        <v>6</v>
      </c>
      <c r="L1207" t="s">
        <v>66</v>
      </c>
      <c r="M1207" s="3">
        <v>15.04</v>
      </c>
      <c r="N1207" s="3">
        <v>22.88</v>
      </c>
      <c r="O1207" s="10" t="str">
        <f>TEXT(Inventory_Data[[#This Row],[Date]],"mmm")</f>
        <v>Aug</v>
      </c>
    </row>
    <row r="1208" spans="1:15" x14ac:dyDescent="0.2">
      <c r="A1208" s="21">
        <v>45880</v>
      </c>
      <c r="B1208" s="5" t="s">
        <v>158</v>
      </c>
      <c r="C1208" t="s">
        <v>159</v>
      </c>
      <c r="D1208" t="s">
        <v>52</v>
      </c>
      <c r="E1208" t="s">
        <v>28</v>
      </c>
      <c r="F1208">
        <v>48</v>
      </c>
      <c r="G1208">
        <v>18</v>
      </c>
      <c r="H1208">
        <v>1</v>
      </c>
      <c r="I1208">
        <f>Inventory_Data[[#This Row],[Opening_Stock]]+Inventory_Data[[#This Row],[Units_Received]]-Inventory_Data[[#This Row],[Units_Sold]]</f>
        <v>65</v>
      </c>
      <c r="J1208">
        <v>0</v>
      </c>
      <c r="K1208">
        <v>7</v>
      </c>
      <c r="L1208" t="s">
        <v>83</v>
      </c>
      <c r="M1208" s="3">
        <v>304.44</v>
      </c>
      <c r="N1208" s="3">
        <v>354.37</v>
      </c>
      <c r="O1208" s="10" t="str">
        <f>TEXT(Inventory_Data[[#This Row],[Date]],"mmm")</f>
        <v>Aug</v>
      </c>
    </row>
    <row r="1209" spans="1:15" x14ac:dyDescent="0.2">
      <c r="A1209" s="21">
        <v>45880</v>
      </c>
      <c r="B1209" s="5" t="s">
        <v>67</v>
      </c>
      <c r="C1209" t="s">
        <v>68</v>
      </c>
      <c r="D1209" t="s">
        <v>52</v>
      </c>
      <c r="E1209" t="s">
        <v>17</v>
      </c>
      <c r="F1209">
        <v>77</v>
      </c>
      <c r="G1209">
        <v>5</v>
      </c>
      <c r="H1209">
        <v>19</v>
      </c>
      <c r="I1209">
        <f>Inventory_Data[[#This Row],[Opening_Stock]]+Inventory_Data[[#This Row],[Units_Received]]-Inventory_Data[[#This Row],[Units_Sold]]</f>
        <v>63</v>
      </c>
      <c r="J1209">
        <v>0</v>
      </c>
      <c r="K1209">
        <v>12</v>
      </c>
      <c r="L1209" t="s">
        <v>56</v>
      </c>
      <c r="M1209" s="3">
        <v>155.27000000000001</v>
      </c>
      <c r="N1209" s="3">
        <v>191.4</v>
      </c>
      <c r="O1209" s="10" t="str">
        <f>TEXT(Inventory_Data[[#This Row],[Date]],"mmm")</f>
        <v>Aug</v>
      </c>
    </row>
    <row r="1210" spans="1:15" x14ac:dyDescent="0.2">
      <c r="A1210" s="21">
        <v>45880</v>
      </c>
      <c r="B1210" s="5" t="s">
        <v>118</v>
      </c>
      <c r="C1210" t="s">
        <v>119</v>
      </c>
      <c r="D1210" t="s">
        <v>34</v>
      </c>
      <c r="E1210" t="s">
        <v>21</v>
      </c>
      <c r="F1210">
        <v>205</v>
      </c>
      <c r="G1210">
        <v>214</v>
      </c>
      <c r="H1210">
        <v>133</v>
      </c>
      <c r="I1210">
        <f>Inventory_Data[[#This Row],[Opening_Stock]]+Inventory_Data[[#This Row],[Units_Received]]-Inventory_Data[[#This Row],[Units_Sold]]</f>
        <v>286</v>
      </c>
      <c r="J1210">
        <v>0</v>
      </c>
      <c r="K1210">
        <v>6</v>
      </c>
      <c r="L1210" t="s">
        <v>36</v>
      </c>
      <c r="M1210" s="3">
        <v>24.77</v>
      </c>
      <c r="N1210" s="3">
        <v>36.659999999999997</v>
      </c>
      <c r="O1210" s="10" t="str">
        <f>TEXT(Inventory_Data[[#This Row],[Date]],"mmm")</f>
        <v>Aug</v>
      </c>
    </row>
    <row r="1211" spans="1:15" x14ac:dyDescent="0.2">
      <c r="A1211" s="21">
        <v>45881</v>
      </c>
      <c r="B1211" s="5" t="s">
        <v>84</v>
      </c>
      <c r="C1211" t="s">
        <v>85</v>
      </c>
      <c r="D1211" t="s">
        <v>48</v>
      </c>
      <c r="E1211" t="s">
        <v>17</v>
      </c>
      <c r="F1211">
        <v>201</v>
      </c>
      <c r="G1211">
        <v>128</v>
      </c>
      <c r="H1211">
        <v>95</v>
      </c>
      <c r="I1211">
        <f>Inventory_Data[[#This Row],[Opening_Stock]]+Inventory_Data[[#This Row],[Units_Received]]-Inventory_Data[[#This Row],[Units_Sold]]</f>
        <v>234</v>
      </c>
      <c r="J1211">
        <v>0</v>
      </c>
      <c r="K1211">
        <v>6</v>
      </c>
      <c r="L1211" t="s">
        <v>49</v>
      </c>
      <c r="M1211" s="3">
        <v>76.36</v>
      </c>
      <c r="N1211" s="3">
        <v>101.27</v>
      </c>
      <c r="O1211" s="10" t="str">
        <f>TEXT(Inventory_Data[[#This Row],[Date]],"mmm")</f>
        <v>Aug</v>
      </c>
    </row>
    <row r="1212" spans="1:15" x14ac:dyDescent="0.2">
      <c r="A1212" s="21">
        <v>45881</v>
      </c>
      <c r="B1212" s="5" t="s">
        <v>84</v>
      </c>
      <c r="C1212" t="s">
        <v>85</v>
      </c>
      <c r="D1212" t="s">
        <v>48</v>
      </c>
      <c r="E1212" t="s">
        <v>17</v>
      </c>
      <c r="F1212">
        <v>61</v>
      </c>
      <c r="G1212">
        <v>146</v>
      </c>
      <c r="H1212">
        <v>89</v>
      </c>
      <c r="I1212">
        <f>Inventory_Data[[#This Row],[Opening_Stock]]+Inventory_Data[[#This Row],[Units_Received]]-Inventory_Data[[#This Row],[Units_Sold]]</f>
        <v>118</v>
      </c>
      <c r="J1212">
        <v>0</v>
      </c>
      <c r="K1212">
        <v>14</v>
      </c>
      <c r="L1212" t="s">
        <v>49</v>
      </c>
      <c r="M1212" s="3">
        <v>81.819999999999993</v>
      </c>
      <c r="N1212" s="3">
        <v>120.02</v>
      </c>
      <c r="O1212" s="10" t="str">
        <f>TEXT(Inventory_Data[[#This Row],[Date]],"mmm")</f>
        <v>Aug</v>
      </c>
    </row>
    <row r="1213" spans="1:15" x14ac:dyDescent="0.2">
      <c r="A1213" s="21">
        <v>45881</v>
      </c>
      <c r="B1213" s="5" t="s">
        <v>190</v>
      </c>
      <c r="C1213" t="s">
        <v>191</v>
      </c>
      <c r="D1213" t="s">
        <v>48</v>
      </c>
      <c r="E1213" t="s">
        <v>35</v>
      </c>
      <c r="F1213">
        <v>156</v>
      </c>
      <c r="G1213">
        <v>43</v>
      </c>
      <c r="H1213">
        <v>48</v>
      </c>
      <c r="I1213">
        <f>Inventory_Data[[#This Row],[Opening_Stock]]+Inventory_Data[[#This Row],[Units_Received]]-Inventory_Data[[#This Row],[Units_Sold]]</f>
        <v>151</v>
      </c>
      <c r="J1213">
        <v>0</v>
      </c>
      <c r="K1213">
        <v>11</v>
      </c>
      <c r="L1213" t="s">
        <v>49</v>
      </c>
      <c r="M1213" s="3">
        <v>84.31</v>
      </c>
      <c r="N1213" s="3">
        <v>106.08</v>
      </c>
      <c r="O1213" s="10" t="str">
        <f>TEXT(Inventory_Data[[#This Row],[Date]],"mmm")</f>
        <v>Aug</v>
      </c>
    </row>
    <row r="1214" spans="1:15" x14ac:dyDescent="0.2">
      <c r="A1214" s="21">
        <v>45881</v>
      </c>
      <c r="B1214" s="5" t="s">
        <v>188</v>
      </c>
      <c r="C1214" t="s">
        <v>189</v>
      </c>
      <c r="D1214" t="s">
        <v>27</v>
      </c>
      <c r="E1214" t="s">
        <v>28</v>
      </c>
      <c r="F1214">
        <v>408</v>
      </c>
      <c r="G1214">
        <v>170</v>
      </c>
      <c r="H1214">
        <v>145</v>
      </c>
      <c r="I1214">
        <f>Inventory_Data[[#This Row],[Opening_Stock]]+Inventory_Data[[#This Row],[Units_Received]]-Inventory_Data[[#This Row],[Units_Sold]]</f>
        <v>433</v>
      </c>
      <c r="J1214">
        <v>0</v>
      </c>
      <c r="K1214">
        <v>7</v>
      </c>
      <c r="L1214" t="s">
        <v>66</v>
      </c>
      <c r="M1214" s="3">
        <v>2.21</v>
      </c>
      <c r="N1214" s="3">
        <v>2.57</v>
      </c>
      <c r="O1214" s="10" t="str">
        <f>TEXT(Inventory_Data[[#This Row],[Date]],"mmm")</f>
        <v>Aug</v>
      </c>
    </row>
    <row r="1215" spans="1:15" x14ac:dyDescent="0.2">
      <c r="A1215" s="21">
        <v>45881</v>
      </c>
      <c r="B1215" s="5" t="s">
        <v>160</v>
      </c>
      <c r="C1215" t="s">
        <v>161</v>
      </c>
      <c r="D1215" t="s">
        <v>27</v>
      </c>
      <c r="E1215" t="s">
        <v>35</v>
      </c>
      <c r="F1215">
        <v>100</v>
      </c>
      <c r="G1215">
        <v>91</v>
      </c>
      <c r="H1215">
        <v>101</v>
      </c>
      <c r="I1215">
        <f>Inventory_Data[[#This Row],[Opening_Stock]]+Inventory_Data[[#This Row],[Units_Received]]-Inventory_Data[[#This Row],[Units_Sold]]</f>
        <v>90</v>
      </c>
      <c r="J1215">
        <v>0</v>
      </c>
      <c r="K1215">
        <v>3</v>
      </c>
      <c r="L1215" t="s">
        <v>29</v>
      </c>
      <c r="M1215" s="3">
        <v>9.01</v>
      </c>
      <c r="N1215" s="3">
        <v>11.02</v>
      </c>
      <c r="O1215" s="10" t="str">
        <f>TEXT(Inventory_Data[[#This Row],[Date]],"mmm")</f>
        <v>Aug</v>
      </c>
    </row>
    <row r="1216" spans="1:15" x14ac:dyDescent="0.2">
      <c r="A1216" s="21">
        <v>45881</v>
      </c>
      <c r="B1216" s="5" t="s">
        <v>182</v>
      </c>
      <c r="C1216" t="s">
        <v>183</v>
      </c>
      <c r="D1216" t="s">
        <v>52</v>
      </c>
      <c r="E1216" t="s">
        <v>28</v>
      </c>
      <c r="F1216">
        <v>25</v>
      </c>
      <c r="G1216">
        <v>20</v>
      </c>
      <c r="H1216">
        <v>2</v>
      </c>
      <c r="I1216">
        <f>Inventory_Data[[#This Row],[Opening_Stock]]+Inventory_Data[[#This Row],[Units_Received]]-Inventory_Data[[#This Row],[Units_Sold]]</f>
        <v>43</v>
      </c>
      <c r="J1216">
        <v>0</v>
      </c>
      <c r="K1216">
        <v>13</v>
      </c>
      <c r="L1216" t="s">
        <v>53</v>
      </c>
      <c r="M1216" s="3">
        <v>235.75</v>
      </c>
      <c r="N1216" s="3">
        <v>277.57</v>
      </c>
      <c r="O1216" s="10" t="str">
        <f>TEXT(Inventory_Data[[#This Row],[Date]],"mmm")</f>
        <v>Aug</v>
      </c>
    </row>
    <row r="1217" spans="1:15" x14ac:dyDescent="0.2">
      <c r="A1217" s="21">
        <v>45881</v>
      </c>
      <c r="B1217" s="5" t="s">
        <v>174</v>
      </c>
      <c r="C1217" t="s">
        <v>175</v>
      </c>
      <c r="D1217" t="s">
        <v>52</v>
      </c>
      <c r="E1217" t="s">
        <v>21</v>
      </c>
      <c r="F1217">
        <v>80</v>
      </c>
      <c r="G1217">
        <v>13</v>
      </c>
      <c r="H1217">
        <v>20</v>
      </c>
      <c r="I1217">
        <f>Inventory_Data[[#This Row],[Opening_Stock]]+Inventory_Data[[#This Row],[Units_Received]]-Inventory_Data[[#This Row],[Units_Sold]]</f>
        <v>73</v>
      </c>
      <c r="J1217">
        <v>0</v>
      </c>
      <c r="K1217">
        <v>8</v>
      </c>
      <c r="L1217" t="s">
        <v>83</v>
      </c>
      <c r="M1217" s="3">
        <v>330.63</v>
      </c>
      <c r="N1217" s="3">
        <v>414.7</v>
      </c>
      <c r="O1217" s="10" t="str">
        <f>TEXT(Inventory_Data[[#This Row],[Date]],"mmm")</f>
        <v>Aug</v>
      </c>
    </row>
    <row r="1218" spans="1:15" x14ac:dyDescent="0.2">
      <c r="A1218" s="21">
        <v>45881</v>
      </c>
      <c r="B1218" s="5" t="s">
        <v>102</v>
      </c>
      <c r="C1218" t="s">
        <v>103</v>
      </c>
      <c r="D1218" t="s">
        <v>52</v>
      </c>
      <c r="E1218" t="s">
        <v>35</v>
      </c>
      <c r="F1218">
        <v>38</v>
      </c>
      <c r="G1218">
        <v>20</v>
      </c>
      <c r="H1218">
        <v>9</v>
      </c>
      <c r="I1218">
        <f>Inventory_Data[[#This Row],[Opening_Stock]]+Inventory_Data[[#This Row],[Units_Received]]-Inventory_Data[[#This Row],[Units_Sold]]</f>
        <v>49</v>
      </c>
      <c r="J1218">
        <v>0</v>
      </c>
      <c r="K1218">
        <v>11</v>
      </c>
      <c r="L1218" t="s">
        <v>56</v>
      </c>
      <c r="M1218" s="3">
        <v>59.71</v>
      </c>
      <c r="N1218" s="3">
        <v>91.44</v>
      </c>
      <c r="O1218" s="10" t="str">
        <f>TEXT(Inventory_Data[[#This Row],[Date]],"mmm")</f>
        <v>Aug</v>
      </c>
    </row>
    <row r="1219" spans="1:15" x14ac:dyDescent="0.2">
      <c r="A1219" s="21">
        <v>45881</v>
      </c>
      <c r="B1219" s="5" t="s">
        <v>194</v>
      </c>
      <c r="C1219" t="s">
        <v>195</v>
      </c>
      <c r="D1219" t="s">
        <v>34</v>
      </c>
      <c r="E1219" t="s">
        <v>21</v>
      </c>
      <c r="F1219">
        <v>380</v>
      </c>
      <c r="G1219">
        <v>100</v>
      </c>
      <c r="H1219">
        <v>21</v>
      </c>
      <c r="I1219">
        <f>Inventory_Data[[#This Row],[Opening_Stock]]+Inventory_Data[[#This Row],[Units_Received]]-Inventory_Data[[#This Row],[Units_Sold]]</f>
        <v>459</v>
      </c>
      <c r="J1219">
        <v>0</v>
      </c>
      <c r="K1219">
        <v>9</v>
      </c>
      <c r="L1219" t="s">
        <v>36</v>
      </c>
      <c r="M1219" s="3">
        <v>24.57</v>
      </c>
      <c r="N1219" s="3">
        <v>34.79</v>
      </c>
      <c r="O1219" s="10" t="str">
        <f>TEXT(Inventory_Data[[#This Row],[Date]],"mmm")</f>
        <v>Aug</v>
      </c>
    </row>
    <row r="1220" spans="1:15" x14ac:dyDescent="0.2">
      <c r="A1220" s="21">
        <v>45882</v>
      </c>
      <c r="B1220" s="5" t="s">
        <v>71</v>
      </c>
      <c r="C1220" t="s">
        <v>72</v>
      </c>
      <c r="D1220" t="s">
        <v>16</v>
      </c>
      <c r="E1220" t="s">
        <v>28</v>
      </c>
      <c r="F1220">
        <v>66</v>
      </c>
      <c r="G1220">
        <v>24</v>
      </c>
      <c r="H1220">
        <v>23</v>
      </c>
      <c r="I1220">
        <f>Inventory_Data[[#This Row],[Opening_Stock]]+Inventory_Data[[#This Row],[Units_Received]]-Inventory_Data[[#This Row],[Units_Sold]]</f>
        <v>67</v>
      </c>
      <c r="J1220">
        <v>0</v>
      </c>
      <c r="K1220">
        <v>11</v>
      </c>
      <c r="L1220" t="s">
        <v>24</v>
      </c>
      <c r="M1220" s="3">
        <v>48.79</v>
      </c>
      <c r="N1220" s="3">
        <v>59.44</v>
      </c>
      <c r="O1220" s="10" t="str">
        <f>TEXT(Inventory_Data[[#This Row],[Date]],"mmm")</f>
        <v>Aug</v>
      </c>
    </row>
    <row r="1221" spans="1:15" x14ac:dyDescent="0.2">
      <c r="A1221" s="21">
        <v>45882</v>
      </c>
      <c r="B1221" s="5" t="s">
        <v>170</v>
      </c>
      <c r="C1221" t="s">
        <v>171</v>
      </c>
      <c r="D1221" t="s">
        <v>48</v>
      </c>
      <c r="E1221" t="s">
        <v>21</v>
      </c>
      <c r="F1221">
        <v>202</v>
      </c>
      <c r="G1221">
        <v>62</v>
      </c>
      <c r="H1221">
        <v>38</v>
      </c>
      <c r="I1221">
        <f>Inventory_Data[[#This Row],[Opening_Stock]]+Inventory_Data[[#This Row],[Units_Received]]-Inventory_Data[[#This Row],[Units_Sold]]</f>
        <v>226</v>
      </c>
      <c r="J1221">
        <v>0</v>
      </c>
      <c r="K1221">
        <v>6</v>
      </c>
      <c r="L1221" t="s">
        <v>49</v>
      </c>
      <c r="M1221" s="3">
        <v>51.42</v>
      </c>
      <c r="N1221" s="3">
        <v>67.38</v>
      </c>
      <c r="O1221" s="10" t="str">
        <f>TEXT(Inventory_Data[[#This Row],[Date]],"mmm")</f>
        <v>Aug</v>
      </c>
    </row>
    <row r="1222" spans="1:15" x14ac:dyDescent="0.2">
      <c r="A1222" s="21">
        <v>45882</v>
      </c>
      <c r="B1222" s="5" t="s">
        <v>192</v>
      </c>
      <c r="C1222" t="s">
        <v>193</v>
      </c>
      <c r="D1222" t="s">
        <v>48</v>
      </c>
      <c r="E1222" t="s">
        <v>17</v>
      </c>
      <c r="F1222">
        <v>108</v>
      </c>
      <c r="G1222">
        <v>89</v>
      </c>
      <c r="H1222">
        <v>14</v>
      </c>
      <c r="I1222">
        <f>Inventory_Data[[#This Row],[Opening_Stock]]+Inventory_Data[[#This Row],[Units_Received]]-Inventory_Data[[#This Row],[Units_Sold]]</f>
        <v>183</v>
      </c>
      <c r="J1222">
        <v>0</v>
      </c>
      <c r="K1222">
        <v>4</v>
      </c>
      <c r="L1222" t="s">
        <v>49</v>
      </c>
      <c r="M1222" s="3">
        <v>58.4</v>
      </c>
      <c r="N1222" s="3">
        <v>87</v>
      </c>
      <c r="O1222" s="10" t="str">
        <f>TEXT(Inventory_Data[[#This Row],[Date]],"mmm")</f>
        <v>Aug</v>
      </c>
    </row>
    <row r="1223" spans="1:15" x14ac:dyDescent="0.2">
      <c r="A1223" s="21">
        <v>45882</v>
      </c>
      <c r="B1223" s="5" t="s">
        <v>134</v>
      </c>
      <c r="C1223" t="s">
        <v>135</v>
      </c>
      <c r="D1223" t="s">
        <v>27</v>
      </c>
      <c r="E1223" t="s">
        <v>17</v>
      </c>
      <c r="F1223">
        <v>346</v>
      </c>
      <c r="G1223">
        <v>186</v>
      </c>
      <c r="H1223">
        <v>158</v>
      </c>
      <c r="I1223">
        <f>Inventory_Data[[#This Row],[Opening_Stock]]+Inventory_Data[[#This Row],[Units_Received]]-Inventory_Data[[#This Row],[Units_Sold]]</f>
        <v>374</v>
      </c>
      <c r="J1223">
        <v>0</v>
      </c>
      <c r="K1223">
        <v>5</v>
      </c>
      <c r="L1223" t="s">
        <v>80</v>
      </c>
      <c r="M1223" s="3">
        <v>23.38</v>
      </c>
      <c r="N1223" s="3">
        <v>28.43</v>
      </c>
      <c r="O1223" s="10" t="str">
        <f>TEXT(Inventory_Data[[#This Row],[Date]],"mmm")</f>
        <v>Aug</v>
      </c>
    </row>
    <row r="1224" spans="1:15" x14ac:dyDescent="0.2">
      <c r="A1224" s="21">
        <v>45882</v>
      </c>
      <c r="B1224" s="5" t="s">
        <v>57</v>
      </c>
      <c r="C1224" t="s">
        <v>58</v>
      </c>
      <c r="D1224" t="s">
        <v>52</v>
      </c>
      <c r="E1224" t="s">
        <v>17</v>
      </c>
      <c r="F1224">
        <v>35</v>
      </c>
      <c r="G1224">
        <v>24</v>
      </c>
      <c r="H1224">
        <v>15</v>
      </c>
      <c r="I1224">
        <f>Inventory_Data[[#This Row],[Opening_Stock]]+Inventory_Data[[#This Row],[Units_Received]]-Inventory_Data[[#This Row],[Units_Sold]]</f>
        <v>44</v>
      </c>
      <c r="J1224">
        <v>0</v>
      </c>
      <c r="K1224">
        <v>5</v>
      </c>
      <c r="L1224" t="s">
        <v>83</v>
      </c>
      <c r="M1224" s="3">
        <v>206.77</v>
      </c>
      <c r="N1224" s="3">
        <v>253.29</v>
      </c>
      <c r="O1224" s="10" t="str">
        <f>TEXT(Inventory_Data[[#This Row],[Date]],"mmm")</f>
        <v>Aug</v>
      </c>
    </row>
    <row r="1225" spans="1:15" x14ac:dyDescent="0.2">
      <c r="A1225" s="21">
        <v>45882</v>
      </c>
      <c r="B1225" s="5" t="s">
        <v>104</v>
      </c>
      <c r="C1225" t="s">
        <v>105</v>
      </c>
      <c r="D1225" t="s">
        <v>34</v>
      </c>
      <c r="E1225" t="s">
        <v>35</v>
      </c>
      <c r="F1225">
        <v>280</v>
      </c>
      <c r="G1225">
        <v>152</v>
      </c>
      <c r="H1225">
        <v>16</v>
      </c>
      <c r="I1225">
        <f>Inventory_Data[[#This Row],[Opening_Stock]]+Inventory_Data[[#This Row],[Units_Received]]-Inventory_Data[[#This Row],[Units_Sold]]</f>
        <v>416</v>
      </c>
      <c r="J1225">
        <v>0</v>
      </c>
      <c r="K1225">
        <v>10</v>
      </c>
      <c r="L1225" t="s">
        <v>36</v>
      </c>
      <c r="M1225" s="3">
        <v>20.27</v>
      </c>
      <c r="N1225" s="3">
        <v>26.98</v>
      </c>
      <c r="O1225" s="10" t="str">
        <f>TEXT(Inventory_Data[[#This Row],[Date]],"mmm")</f>
        <v>Aug</v>
      </c>
    </row>
    <row r="1226" spans="1:15" x14ac:dyDescent="0.2">
      <c r="A1226" s="21">
        <v>45882</v>
      </c>
      <c r="B1226" s="5" t="s">
        <v>118</v>
      </c>
      <c r="C1226" t="s">
        <v>119</v>
      </c>
      <c r="D1226" t="s">
        <v>34</v>
      </c>
      <c r="E1226" t="s">
        <v>28</v>
      </c>
      <c r="F1226">
        <v>101</v>
      </c>
      <c r="G1226">
        <v>127</v>
      </c>
      <c r="H1226">
        <v>174</v>
      </c>
      <c r="I1226">
        <f>Inventory_Data[[#This Row],[Opening_Stock]]+Inventory_Data[[#This Row],[Units_Received]]-Inventory_Data[[#This Row],[Units_Sold]]</f>
        <v>54</v>
      </c>
      <c r="J1226">
        <v>0</v>
      </c>
      <c r="K1226">
        <v>14</v>
      </c>
      <c r="L1226" t="s">
        <v>36</v>
      </c>
      <c r="M1226" s="3">
        <v>6.64</v>
      </c>
      <c r="N1226" s="3">
        <v>7.79</v>
      </c>
      <c r="O1226" s="10" t="str">
        <f>TEXT(Inventory_Data[[#This Row],[Date]],"mmm")</f>
        <v>Aug</v>
      </c>
    </row>
    <row r="1227" spans="1:15" x14ac:dyDescent="0.2">
      <c r="A1227" s="21">
        <v>45883</v>
      </c>
      <c r="B1227" s="5" t="s">
        <v>71</v>
      </c>
      <c r="C1227" t="s">
        <v>72</v>
      </c>
      <c r="D1227" t="s">
        <v>16</v>
      </c>
      <c r="E1227" t="s">
        <v>17</v>
      </c>
      <c r="F1227">
        <v>92</v>
      </c>
      <c r="G1227">
        <v>22</v>
      </c>
      <c r="H1227">
        <v>74</v>
      </c>
      <c r="I1227">
        <f>Inventory_Data[[#This Row],[Opening_Stock]]+Inventory_Data[[#This Row],[Units_Received]]-Inventory_Data[[#This Row],[Units_Sold]]</f>
        <v>40</v>
      </c>
      <c r="J1227">
        <v>0</v>
      </c>
      <c r="K1227">
        <v>7</v>
      </c>
      <c r="L1227" t="s">
        <v>24</v>
      </c>
      <c r="M1227" s="3">
        <v>151.35</v>
      </c>
      <c r="N1227" s="3">
        <v>183.58</v>
      </c>
      <c r="O1227" s="10" t="str">
        <f>TEXT(Inventory_Data[[#This Row],[Date]],"mmm")</f>
        <v>Aug</v>
      </c>
    </row>
    <row r="1228" spans="1:15" x14ac:dyDescent="0.2">
      <c r="A1228" s="21">
        <v>45883</v>
      </c>
      <c r="B1228" s="5" t="s">
        <v>184</v>
      </c>
      <c r="C1228" t="s">
        <v>185</v>
      </c>
      <c r="D1228" t="s">
        <v>16</v>
      </c>
      <c r="E1228" t="s">
        <v>17</v>
      </c>
      <c r="F1228">
        <v>137</v>
      </c>
      <c r="G1228">
        <v>14</v>
      </c>
      <c r="H1228">
        <v>64</v>
      </c>
      <c r="I1228">
        <f>Inventory_Data[[#This Row],[Opening_Stock]]+Inventory_Data[[#This Row],[Units_Received]]-Inventory_Data[[#This Row],[Units_Sold]]</f>
        <v>87</v>
      </c>
      <c r="J1228">
        <v>0</v>
      </c>
      <c r="K1228">
        <v>4</v>
      </c>
      <c r="L1228" t="s">
        <v>45</v>
      </c>
      <c r="M1228" s="3">
        <v>140.49</v>
      </c>
      <c r="N1228" s="3">
        <v>185.89</v>
      </c>
      <c r="O1228" s="10" t="str">
        <f>TEXT(Inventory_Data[[#This Row],[Date]],"mmm")</f>
        <v>Aug</v>
      </c>
    </row>
    <row r="1229" spans="1:15" x14ac:dyDescent="0.2">
      <c r="A1229" s="21">
        <v>45883</v>
      </c>
      <c r="B1229" s="5" t="s">
        <v>25</v>
      </c>
      <c r="C1229" t="s">
        <v>26</v>
      </c>
      <c r="D1229" t="s">
        <v>27</v>
      </c>
      <c r="E1229" t="s">
        <v>35</v>
      </c>
      <c r="F1229">
        <v>187</v>
      </c>
      <c r="G1229">
        <v>49</v>
      </c>
      <c r="H1229">
        <v>114</v>
      </c>
      <c r="I1229">
        <f>Inventory_Data[[#This Row],[Opening_Stock]]+Inventory_Data[[#This Row],[Units_Received]]-Inventory_Data[[#This Row],[Units_Sold]]</f>
        <v>122</v>
      </c>
      <c r="J1229">
        <v>0</v>
      </c>
      <c r="K1229">
        <v>6</v>
      </c>
      <c r="L1229" t="s">
        <v>29</v>
      </c>
      <c r="M1229" s="3">
        <v>22.9</v>
      </c>
      <c r="N1229" s="3">
        <v>33.53</v>
      </c>
      <c r="O1229" s="10" t="str">
        <f>TEXT(Inventory_Data[[#This Row],[Date]],"mmm")</f>
        <v>Aug</v>
      </c>
    </row>
    <row r="1230" spans="1:15" x14ac:dyDescent="0.2">
      <c r="A1230" s="21">
        <v>45883</v>
      </c>
      <c r="B1230" s="5" t="s">
        <v>30</v>
      </c>
      <c r="C1230" t="s">
        <v>31</v>
      </c>
      <c r="D1230" t="s">
        <v>27</v>
      </c>
      <c r="E1230" t="s">
        <v>35</v>
      </c>
      <c r="F1230">
        <v>287</v>
      </c>
      <c r="G1230">
        <v>208</v>
      </c>
      <c r="H1230">
        <v>93</v>
      </c>
      <c r="I1230">
        <f>Inventory_Data[[#This Row],[Opening_Stock]]+Inventory_Data[[#This Row],[Units_Received]]-Inventory_Data[[#This Row],[Units_Sold]]</f>
        <v>402</v>
      </c>
      <c r="J1230">
        <v>0</v>
      </c>
      <c r="K1230">
        <v>2</v>
      </c>
      <c r="L1230" t="s">
        <v>80</v>
      </c>
      <c r="M1230" s="3">
        <v>4.92</v>
      </c>
      <c r="N1230" s="3">
        <v>7.36</v>
      </c>
      <c r="O1230" s="10" t="str">
        <f>TEXT(Inventory_Data[[#This Row],[Date]],"mmm")</f>
        <v>Aug</v>
      </c>
    </row>
    <row r="1231" spans="1:15" x14ac:dyDescent="0.2">
      <c r="A1231" s="21">
        <v>45883</v>
      </c>
      <c r="B1231" s="5" t="s">
        <v>172</v>
      </c>
      <c r="C1231" t="s">
        <v>173</v>
      </c>
      <c r="D1231" t="s">
        <v>27</v>
      </c>
      <c r="E1231" t="s">
        <v>35</v>
      </c>
      <c r="F1231">
        <v>117</v>
      </c>
      <c r="G1231">
        <v>140</v>
      </c>
      <c r="H1231">
        <v>81</v>
      </c>
      <c r="I1231">
        <f>Inventory_Data[[#This Row],[Opening_Stock]]+Inventory_Data[[#This Row],[Units_Received]]-Inventory_Data[[#This Row],[Units_Sold]]</f>
        <v>176</v>
      </c>
      <c r="J1231">
        <v>0</v>
      </c>
      <c r="K1231">
        <v>1</v>
      </c>
      <c r="L1231" t="s">
        <v>66</v>
      </c>
      <c r="M1231" s="3">
        <v>23.5</v>
      </c>
      <c r="N1231" s="3">
        <v>34.93</v>
      </c>
      <c r="O1231" s="10" t="str">
        <f>TEXT(Inventory_Data[[#This Row],[Date]],"mmm")</f>
        <v>Aug</v>
      </c>
    </row>
    <row r="1232" spans="1:15" x14ac:dyDescent="0.2">
      <c r="A1232" s="21">
        <v>45883</v>
      </c>
      <c r="B1232" s="5" t="s">
        <v>150</v>
      </c>
      <c r="C1232" t="s">
        <v>151</v>
      </c>
      <c r="D1232" t="s">
        <v>52</v>
      </c>
      <c r="E1232" t="s">
        <v>28</v>
      </c>
      <c r="F1232">
        <v>45</v>
      </c>
      <c r="G1232">
        <v>10</v>
      </c>
      <c r="H1232">
        <v>10</v>
      </c>
      <c r="I1232">
        <f>Inventory_Data[[#This Row],[Opening_Stock]]+Inventory_Data[[#This Row],[Units_Received]]-Inventory_Data[[#This Row],[Units_Sold]]</f>
        <v>45</v>
      </c>
      <c r="J1232">
        <v>0</v>
      </c>
      <c r="K1232">
        <v>10</v>
      </c>
      <c r="L1232" t="s">
        <v>56</v>
      </c>
      <c r="M1232" s="3">
        <v>106.28</v>
      </c>
      <c r="N1232" s="3">
        <v>157.79</v>
      </c>
      <c r="O1232" s="10" t="str">
        <f>TEXT(Inventory_Data[[#This Row],[Date]],"mmm")</f>
        <v>Aug</v>
      </c>
    </row>
    <row r="1233" spans="1:15" x14ac:dyDescent="0.2">
      <c r="A1233" s="21">
        <v>45883</v>
      </c>
      <c r="B1233" s="5" t="s">
        <v>150</v>
      </c>
      <c r="C1233" t="s">
        <v>151</v>
      </c>
      <c r="D1233" t="s">
        <v>52</v>
      </c>
      <c r="E1233" t="s">
        <v>28</v>
      </c>
      <c r="F1233">
        <v>66</v>
      </c>
      <c r="G1233">
        <v>23</v>
      </c>
      <c r="H1233">
        <v>20</v>
      </c>
      <c r="I1233">
        <f>Inventory_Data[[#This Row],[Opening_Stock]]+Inventory_Data[[#This Row],[Units_Received]]-Inventory_Data[[#This Row],[Units_Sold]]</f>
        <v>69</v>
      </c>
      <c r="J1233">
        <v>0</v>
      </c>
      <c r="K1233">
        <v>5</v>
      </c>
      <c r="L1233" t="s">
        <v>53</v>
      </c>
      <c r="M1233" s="3">
        <v>145.28</v>
      </c>
      <c r="N1233" s="3">
        <v>168.14</v>
      </c>
      <c r="O1233" s="10" t="str">
        <f>TEXT(Inventory_Data[[#This Row],[Date]],"mmm")</f>
        <v>Aug</v>
      </c>
    </row>
    <row r="1234" spans="1:15" x14ac:dyDescent="0.2">
      <c r="A1234" s="21">
        <v>45883</v>
      </c>
      <c r="B1234" s="5" t="s">
        <v>138</v>
      </c>
      <c r="C1234" t="s">
        <v>139</v>
      </c>
      <c r="D1234" t="s">
        <v>34</v>
      </c>
      <c r="E1234" t="s">
        <v>21</v>
      </c>
      <c r="F1234">
        <v>357</v>
      </c>
      <c r="G1234">
        <v>209</v>
      </c>
      <c r="H1234">
        <v>166</v>
      </c>
      <c r="I1234">
        <f>Inventory_Data[[#This Row],[Opening_Stock]]+Inventory_Data[[#This Row],[Units_Received]]-Inventory_Data[[#This Row],[Units_Sold]]</f>
        <v>400</v>
      </c>
      <c r="J1234">
        <v>0</v>
      </c>
      <c r="K1234">
        <v>6</v>
      </c>
      <c r="L1234" t="s">
        <v>42</v>
      </c>
      <c r="M1234" s="3">
        <v>15.3</v>
      </c>
      <c r="N1234" s="3">
        <v>22.4</v>
      </c>
      <c r="O1234" s="10" t="str">
        <f>TEXT(Inventory_Data[[#This Row],[Date]],"mmm")</f>
        <v>Aug</v>
      </c>
    </row>
    <row r="1235" spans="1:15" x14ac:dyDescent="0.2">
      <c r="A1235" s="21">
        <v>45883</v>
      </c>
      <c r="B1235" s="5" t="s">
        <v>43</v>
      </c>
      <c r="C1235" t="s">
        <v>44</v>
      </c>
      <c r="D1235" t="s">
        <v>34</v>
      </c>
      <c r="E1235" t="s">
        <v>17</v>
      </c>
      <c r="F1235">
        <v>65</v>
      </c>
      <c r="G1235">
        <v>126</v>
      </c>
      <c r="H1235">
        <v>108</v>
      </c>
      <c r="I1235">
        <f>Inventory_Data[[#This Row],[Opening_Stock]]+Inventory_Data[[#This Row],[Units_Received]]-Inventory_Data[[#This Row],[Units_Sold]]</f>
        <v>83</v>
      </c>
      <c r="J1235">
        <v>0</v>
      </c>
      <c r="K1235">
        <v>4</v>
      </c>
      <c r="L1235" t="s">
        <v>36</v>
      </c>
      <c r="M1235" s="3">
        <v>20.11</v>
      </c>
      <c r="N1235" s="3">
        <v>25.32</v>
      </c>
      <c r="O1235" s="10" t="str">
        <f>TEXT(Inventory_Data[[#This Row],[Date]],"mmm")</f>
        <v>Aug</v>
      </c>
    </row>
    <row r="1236" spans="1:15" x14ac:dyDescent="0.2">
      <c r="A1236" s="21">
        <v>45884</v>
      </c>
      <c r="B1236" s="5" t="s">
        <v>120</v>
      </c>
      <c r="C1236" t="s">
        <v>121</v>
      </c>
      <c r="D1236" t="s">
        <v>16</v>
      </c>
      <c r="E1236" t="s">
        <v>17</v>
      </c>
      <c r="F1236">
        <v>113</v>
      </c>
      <c r="G1236">
        <v>15</v>
      </c>
      <c r="H1236">
        <v>73</v>
      </c>
      <c r="I1236">
        <f>Inventory_Data[[#This Row],[Opening_Stock]]+Inventory_Data[[#This Row],[Units_Received]]-Inventory_Data[[#This Row],[Units_Sold]]</f>
        <v>55</v>
      </c>
      <c r="J1236">
        <v>0</v>
      </c>
      <c r="K1236">
        <v>6</v>
      </c>
      <c r="L1236" t="s">
        <v>18</v>
      </c>
      <c r="M1236" s="3">
        <v>203.74</v>
      </c>
      <c r="N1236" s="3">
        <v>262.42</v>
      </c>
      <c r="O1236" s="10" t="str">
        <f>TEXT(Inventory_Data[[#This Row],[Date]],"mmm")</f>
        <v>Aug</v>
      </c>
    </row>
    <row r="1237" spans="1:15" x14ac:dyDescent="0.2">
      <c r="A1237" s="21">
        <v>45884</v>
      </c>
      <c r="B1237" s="5" t="s">
        <v>128</v>
      </c>
      <c r="C1237" t="s">
        <v>129</v>
      </c>
      <c r="D1237" t="s">
        <v>48</v>
      </c>
      <c r="E1237" t="s">
        <v>21</v>
      </c>
      <c r="F1237">
        <v>270</v>
      </c>
      <c r="G1237">
        <v>96</v>
      </c>
      <c r="H1237">
        <v>49</v>
      </c>
      <c r="I1237">
        <f>Inventory_Data[[#This Row],[Opening_Stock]]+Inventory_Data[[#This Row],[Units_Received]]-Inventory_Data[[#This Row],[Units_Sold]]</f>
        <v>317</v>
      </c>
      <c r="J1237">
        <v>0</v>
      </c>
      <c r="K1237">
        <v>12</v>
      </c>
      <c r="L1237" t="s">
        <v>63</v>
      </c>
      <c r="M1237" s="3">
        <v>31.46</v>
      </c>
      <c r="N1237" s="3">
        <v>42.68</v>
      </c>
      <c r="O1237" s="10" t="str">
        <f>TEXT(Inventory_Data[[#This Row],[Date]],"mmm")</f>
        <v>Aug</v>
      </c>
    </row>
    <row r="1238" spans="1:15" x14ac:dyDescent="0.2">
      <c r="A1238" s="21">
        <v>45884</v>
      </c>
      <c r="B1238" s="5" t="s">
        <v>170</v>
      </c>
      <c r="C1238" t="s">
        <v>171</v>
      </c>
      <c r="D1238" t="s">
        <v>48</v>
      </c>
      <c r="E1238" t="s">
        <v>28</v>
      </c>
      <c r="F1238">
        <v>284</v>
      </c>
      <c r="G1238">
        <v>99</v>
      </c>
      <c r="H1238">
        <v>17</v>
      </c>
      <c r="I1238">
        <f>Inventory_Data[[#This Row],[Opening_Stock]]+Inventory_Data[[#This Row],[Units_Received]]-Inventory_Data[[#This Row],[Units_Sold]]</f>
        <v>366</v>
      </c>
      <c r="J1238">
        <v>0</v>
      </c>
      <c r="K1238">
        <v>14</v>
      </c>
      <c r="L1238" t="s">
        <v>49</v>
      </c>
      <c r="M1238" s="3">
        <v>78.05</v>
      </c>
      <c r="N1238" s="3">
        <v>113.89</v>
      </c>
      <c r="O1238" s="10" t="str">
        <f>TEXT(Inventory_Data[[#This Row],[Date]],"mmm")</f>
        <v>Aug</v>
      </c>
    </row>
    <row r="1239" spans="1:15" x14ac:dyDescent="0.2">
      <c r="A1239" s="21">
        <v>45884</v>
      </c>
      <c r="B1239" s="5" t="s">
        <v>154</v>
      </c>
      <c r="C1239" t="s">
        <v>155</v>
      </c>
      <c r="D1239" t="s">
        <v>48</v>
      </c>
      <c r="E1239" t="s">
        <v>21</v>
      </c>
      <c r="F1239">
        <v>199</v>
      </c>
      <c r="G1239">
        <v>43</v>
      </c>
      <c r="H1239">
        <v>79</v>
      </c>
      <c r="I1239">
        <f>Inventory_Data[[#This Row],[Opening_Stock]]+Inventory_Data[[#This Row],[Units_Received]]-Inventory_Data[[#This Row],[Units_Sold]]</f>
        <v>163</v>
      </c>
      <c r="J1239">
        <v>0</v>
      </c>
      <c r="K1239">
        <v>9</v>
      </c>
      <c r="L1239" t="s">
        <v>77</v>
      </c>
      <c r="M1239" s="3">
        <v>13.93</v>
      </c>
      <c r="N1239" s="3">
        <v>20.91</v>
      </c>
      <c r="O1239" s="10" t="str">
        <f>TEXT(Inventory_Data[[#This Row],[Date]],"mmm")</f>
        <v>Aug</v>
      </c>
    </row>
    <row r="1240" spans="1:15" x14ac:dyDescent="0.2">
      <c r="A1240" s="21">
        <v>45884</v>
      </c>
      <c r="B1240" s="5" t="s">
        <v>98</v>
      </c>
      <c r="C1240" t="s">
        <v>99</v>
      </c>
      <c r="D1240" t="s">
        <v>27</v>
      </c>
      <c r="E1240" t="s">
        <v>28</v>
      </c>
      <c r="F1240">
        <v>453</v>
      </c>
      <c r="G1240">
        <v>81</v>
      </c>
      <c r="H1240">
        <v>66</v>
      </c>
      <c r="I1240">
        <f>Inventory_Data[[#This Row],[Opening_Stock]]+Inventory_Data[[#This Row],[Units_Received]]-Inventory_Data[[#This Row],[Units_Sold]]</f>
        <v>468</v>
      </c>
      <c r="J1240">
        <v>0</v>
      </c>
      <c r="K1240">
        <v>5</v>
      </c>
      <c r="L1240" t="s">
        <v>29</v>
      </c>
      <c r="M1240" s="3">
        <v>16.96</v>
      </c>
      <c r="N1240" s="3">
        <v>20.94</v>
      </c>
      <c r="O1240" s="10" t="str">
        <f>TEXT(Inventory_Data[[#This Row],[Date]],"mmm")</f>
        <v>Aug</v>
      </c>
    </row>
    <row r="1241" spans="1:15" x14ac:dyDescent="0.2">
      <c r="A1241" s="21">
        <v>45884</v>
      </c>
      <c r="B1241" s="5" t="s">
        <v>114</v>
      </c>
      <c r="C1241" t="s">
        <v>115</v>
      </c>
      <c r="D1241" t="s">
        <v>27</v>
      </c>
      <c r="E1241" t="s">
        <v>28</v>
      </c>
      <c r="F1241">
        <v>371</v>
      </c>
      <c r="G1241">
        <v>181</v>
      </c>
      <c r="H1241">
        <v>131</v>
      </c>
      <c r="I1241">
        <f>Inventory_Data[[#This Row],[Opening_Stock]]+Inventory_Data[[#This Row],[Units_Received]]-Inventory_Data[[#This Row],[Units_Sold]]</f>
        <v>421</v>
      </c>
      <c r="J1241">
        <v>0</v>
      </c>
      <c r="K1241">
        <v>6</v>
      </c>
      <c r="L1241" t="s">
        <v>29</v>
      </c>
      <c r="M1241" s="3">
        <v>23.46</v>
      </c>
      <c r="N1241" s="3">
        <v>27.69</v>
      </c>
      <c r="O1241" s="10" t="str">
        <f>TEXT(Inventory_Data[[#This Row],[Date]],"mmm")</f>
        <v>Aug</v>
      </c>
    </row>
    <row r="1242" spans="1:15" x14ac:dyDescent="0.2">
      <c r="A1242" s="21">
        <v>45884</v>
      </c>
      <c r="B1242" s="5" t="s">
        <v>136</v>
      </c>
      <c r="C1242" t="s">
        <v>137</v>
      </c>
      <c r="D1242" t="s">
        <v>27</v>
      </c>
      <c r="E1242" t="s">
        <v>28</v>
      </c>
      <c r="F1242">
        <v>223</v>
      </c>
      <c r="G1242">
        <v>129</v>
      </c>
      <c r="H1242">
        <v>24</v>
      </c>
      <c r="I1242">
        <f>Inventory_Data[[#This Row],[Opening_Stock]]+Inventory_Data[[#This Row],[Units_Received]]-Inventory_Data[[#This Row],[Units_Sold]]</f>
        <v>328</v>
      </c>
      <c r="J1242">
        <v>0</v>
      </c>
      <c r="K1242">
        <v>1</v>
      </c>
      <c r="L1242" t="s">
        <v>29</v>
      </c>
      <c r="M1242" s="3">
        <v>8.41</v>
      </c>
      <c r="N1242" s="3">
        <v>12.27</v>
      </c>
      <c r="O1242" s="10" t="str">
        <f>TEXT(Inventory_Data[[#This Row],[Date]],"mmm")</f>
        <v>Aug</v>
      </c>
    </row>
    <row r="1243" spans="1:15" x14ac:dyDescent="0.2">
      <c r="A1243" s="21">
        <v>45884</v>
      </c>
      <c r="B1243" s="5" t="s">
        <v>100</v>
      </c>
      <c r="C1243" t="s">
        <v>101</v>
      </c>
      <c r="D1243" t="s">
        <v>52</v>
      </c>
      <c r="E1243" t="s">
        <v>17</v>
      </c>
      <c r="F1243">
        <v>54</v>
      </c>
      <c r="G1243">
        <v>5</v>
      </c>
      <c r="H1243">
        <v>11</v>
      </c>
      <c r="I1243">
        <f>Inventory_Data[[#This Row],[Opening_Stock]]+Inventory_Data[[#This Row],[Units_Received]]-Inventory_Data[[#This Row],[Units_Sold]]</f>
        <v>48</v>
      </c>
      <c r="J1243">
        <v>0</v>
      </c>
      <c r="K1243">
        <v>5</v>
      </c>
      <c r="L1243" t="s">
        <v>53</v>
      </c>
      <c r="M1243" s="3">
        <v>226.4</v>
      </c>
      <c r="N1243" s="3">
        <v>311.25</v>
      </c>
      <c r="O1243" s="10" t="str">
        <f>TEXT(Inventory_Data[[#This Row],[Date]],"mmm")</f>
        <v>Aug</v>
      </c>
    </row>
    <row r="1244" spans="1:15" x14ac:dyDescent="0.2">
      <c r="A1244" s="21">
        <v>45884</v>
      </c>
      <c r="B1244" s="5" t="s">
        <v>54</v>
      </c>
      <c r="C1244" t="s">
        <v>55</v>
      </c>
      <c r="D1244" t="s">
        <v>52</v>
      </c>
      <c r="E1244" t="s">
        <v>21</v>
      </c>
      <c r="F1244">
        <v>72</v>
      </c>
      <c r="G1244">
        <v>11</v>
      </c>
      <c r="H1244">
        <v>7</v>
      </c>
      <c r="I1244">
        <f>Inventory_Data[[#This Row],[Opening_Stock]]+Inventory_Data[[#This Row],[Units_Received]]-Inventory_Data[[#This Row],[Units_Sold]]</f>
        <v>76</v>
      </c>
      <c r="J1244">
        <v>0</v>
      </c>
      <c r="K1244">
        <v>13</v>
      </c>
      <c r="L1244" t="s">
        <v>53</v>
      </c>
      <c r="M1244" s="3">
        <v>143.66</v>
      </c>
      <c r="N1244" s="3">
        <v>200.35</v>
      </c>
      <c r="O1244" s="10" t="str">
        <f>TEXT(Inventory_Data[[#This Row],[Date]],"mmm")</f>
        <v>Aug</v>
      </c>
    </row>
    <row r="1245" spans="1:15" x14ac:dyDescent="0.2">
      <c r="A1245" s="21">
        <v>45884</v>
      </c>
      <c r="B1245" s="5" t="s">
        <v>174</v>
      </c>
      <c r="C1245" t="s">
        <v>175</v>
      </c>
      <c r="D1245" t="s">
        <v>52</v>
      </c>
      <c r="E1245" t="s">
        <v>35</v>
      </c>
      <c r="F1245">
        <v>51</v>
      </c>
      <c r="G1245">
        <v>8</v>
      </c>
      <c r="H1245">
        <v>9</v>
      </c>
      <c r="I1245">
        <f>Inventory_Data[[#This Row],[Opening_Stock]]+Inventory_Data[[#This Row],[Units_Received]]-Inventory_Data[[#This Row],[Units_Sold]]</f>
        <v>50</v>
      </c>
      <c r="J1245">
        <v>0</v>
      </c>
      <c r="K1245">
        <v>2</v>
      </c>
      <c r="L1245" t="s">
        <v>83</v>
      </c>
      <c r="M1245" s="3">
        <v>168.88</v>
      </c>
      <c r="N1245" s="3">
        <v>243.67</v>
      </c>
      <c r="O1245" s="10" t="str">
        <f>TEXT(Inventory_Data[[#This Row],[Date]],"mmm")</f>
        <v>Aug</v>
      </c>
    </row>
    <row r="1246" spans="1:15" x14ac:dyDescent="0.2">
      <c r="A1246" s="21">
        <v>45884</v>
      </c>
      <c r="B1246" s="5" t="s">
        <v>138</v>
      </c>
      <c r="C1246" t="s">
        <v>139</v>
      </c>
      <c r="D1246" t="s">
        <v>34</v>
      </c>
      <c r="E1246" t="s">
        <v>35</v>
      </c>
      <c r="F1246">
        <v>395</v>
      </c>
      <c r="G1246">
        <v>181</v>
      </c>
      <c r="H1246">
        <v>163</v>
      </c>
      <c r="I1246">
        <f>Inventory_Data[[#This Row],[Opening_Stock]]+Inventory_Data[[#This Row],[Units_Received]]-Inventory_Data[[#This Row],[Units_Sold]]</f>
        <v>413</v>
      </c>
      <c r="J1246">
        <v>0</v>
      </c>
      <c r="K1246">
        <v>5</v>
      </c>
      <c r="L1246" t="s">
        <v>39</v>
      </c>
      <c r="M1246" s="3">
        <v>27.2</v>
      </c>
      <c r="N1246" s="3">
        <v>32.49</v>
      </c>
      <c r="O1246" s="10" t="str">
        <f>TEXT(Inventory_Data[[#This Row],[Date]],"mmm")</f>
        <v>Aug</v>
      </c>
    </row>
    <row r="1247" spans="1:15" x14ac:dyDescent="0.2">
      <c r="A1247" s="21">
        <v>45885</v>
      </c>
      <c r="B1247" s="5" t="s">
        <v>73</v>
      </c>
      <c r="C1247" t="s">
        <v>74</v>
      </c>
      <c r="D1247" t="s">
        <v>16</v>
      </c>
      <c r="E1247" t="s">
        <v>21</v>
      </c>
      <c r="F1247">
        <v>65</v>
      </c>
      <c r="G1247">
        <v>39</v>
      </c>
      <c r="H1247">
        <v>73</v>
      </c>
      <c r="I1247">
        <f>Inventory_Data[[#This Row],[Opening_Stock]]+Inventory_Data[[#This Row],[Units_Received]]-Inventory_Data[[#This Row],[Units_Sold]]</f>
        <v>31</v>
      </c>
      <c r="J1247">
        <v>0</v>
      </c>
      <c r="K1247">
        <v>10</v>
      </c>
      <c r="L1247" t="s">
        <v>24</v>
      </c>
      <c r="M1247" s="3">
        <v>207.88</v>
      </c>
      <c r="N1247" s="3">
        <v>254.27</v>
      </c>
      <c r="O1247" s="10" t="str">
        <f>TEXT(Inventory_Data[[#This Row],[Date]],"mmm")</f>
        <v>Aug</v>
      </c>
    </row>
    <row r="1248" spans="1:15" x14ac:dyDescent="0.2">
      <c r="A1248" s="21">
        <v>45885</v>
      </c>
      <c r="B1248" s="5" t="s">
        <v>14</v>
      </c>
      <c r="C1248" t="s">
        <v>15</v>
      </c>
      <c r="D1248" t="s">
        <v>16</v>
      </c>
      <c r="E1248" t="s">
        <v>21</v>
      </c>
      <c r="F1248">
        <v>88</v>
      </c>
      <c r="G1248">
        <v>28</v>
      </c>
      <c r="H1248">
        <v>42</v>
      </c>
      <c r="I1248">
        <f>Inventory_Data[[#This Row],[Opening_Stock]]+Inventory_Data[[#This Row],[Units_Received]]-Inventory_Data[[#This Row],[Units_Sold]]</f>
        <v>74</v>
      </c>
      <c r="J1248">
        <v>0</v>
      </c>
      <c r="K1248">
        <v>12</v>
      </c>
      <c r="L1248" t="s">
        <v>18</v>
      </c>
      <c r="M1248" s="3">
        <v>152.44</v>
      </c>
      <c r="N1248" s="3">
        <v>192.92</v>
      </c>
      <c r="O1248" s="10" t="str">
        <f>TEXT(Inventory_Data[[#This Row],[Date]],"mmm")</f>
        <v>Aug</v>
      </c>
    </row>
    <row r="1249" spans="1:15" x14ac:dyDescent="0.2">
      <c r="A1249" s="21">
        <v>45885</v>
      </c>
      <c r="B1249" s="5" t="s">
        <v>128</v>
      </c>
      <c r="C1249" t="s">
        <v>129</v>
      </c>
      <c r="D1249" t="s">
        <v>48</v>
      </c>
      <c r="E1249" t="s">
        <v>28</v>
      </c>
      <c r="F1249">
        <v>142</v>
      </c>
      <c r="G1249">
        <v>29</v>
      </c>
      <c r="H1249">
        <v>80</v>
      </c>
      <c r="I1249">
        <f>Inventory_Data[[#This Row],[Opening_Stock]]+Inventory_Data[[#This Row],[Units_Received]]-Inventory_Data[[#This Row],[Units_Sold]]</f>
        <v>91</v>
      </c>
      <c r="J1249">
        <v>0</v>
      </c>
      <c r="K1249">
        <v>11</v>
      </c>
      <c r="L1249" t="s">
        <v>77</v>
      </c>
      <c r="M1249" s="3">
        <v>56.91</v>
      </c>
      <c r="N1249" s="3">
        <v>83.99</v>
      </c>
      <c r="O1249" s="10" t="str">
        <f>TEXT(Inventory_Data[[#This Row],[Date]],"mmm")</f>
        <v>Aug</v>
      </c>
    </row>
    <row r="1250" spans="1:15" x14ac:dyDescent="0.2">
      <c r="A1250" s="21">
        <v>45885</v>
      </c>
      <c r="B1250" s="5" t="s">
        <v>182</v>
      </c>
      <c r="C1250" t="s">
        <v>183</v>
      </c>
      <c r="D1250" t="s">
        <v>52</v>
      </c>
      <c r="E1250" t="s">
        <v>35</v>
      </c>
      <c r="F1250">
        <v>61</v>
      </c>
      <c r="G1250">
        <v>24</v>
      </c>
      <c r="H1250">
        <v>17</v>
      </c>
      <c r="I1250">
        <f>Inventory_Data[[#This Row],[Opening_Stock]]+Inventory_Data[[#This Row],[Units_Received]]-Inventory_Data[[#This Row],[Units_Sold]]</f>
        <v>68</v>
      </c>
      <c r="J1250">
        <v>0</v>
      </c>
      <c r="K1250">
        <v>7</v>
      </c>
      <c r="L1250" t="s">
        <v>53</v>
      </c>
      <c r="M1250" s="3">
        <v>246.3</v>
      </c>
      <c r="N1250" s="3">
        <v>371.64</v>
      </c>
      <c r="O1250" s="10" t="str">
        <f>TEXT(Inventory_Data[[#This Row],[Date]],"mmm")</f>
        <v>Aug</v>
      </c>
    </row>
    <row r="1251" spans="1:15" x14ac:dyDescent="0.2">
      <c r="A1251" s="21">
        <v>45885</v>
      </c>
      <c r="B1251" s="5" t="s">
        <v>150</v>
      </c>
      <c r="C1251" t="s">
        <v>151</v>
      </c>
      <c r="D1251" t="s">
        <v>52</v>
      </c>
      <c r="E1251" t="s">
        <v>35</v>
      </c>
      <c r="F1251">
        <v>53</v>
      </c>
      <c r="G1251">
        <v>13</v>
      </c>
      <c r="H1251">
        <v>18</v>
      </c>
      <c r="I1251">
        <f>Inventory_Data[[#This Row],[Opening_Stock]]+Inventory_Data[[#This Row],[Units_Received]]-Inventory_Data[[#This Row],[Units_Sold]]</f>
        <v>48</v>
      </c>
      <c r="J1251">
        <v>0</v>
      </c>
      <c r="K1251">
        <v>11</v>
      </c>
      <c r="L1251" t="s">
        <v>83</v>
      </c>
      <c r="M1251" s="3">
        <v>185.93</v>
      </c>
      <c r="N1251" s="3">
        <v>259.13</v>
      </c>
      <c r="O1251" s="10" t="str">
        <f>TEXT(Inventory_Data[[#This Row],[Date]],"mmm")</f>
        <v>Aug</v>
      </c>
    </row>
    <row r="1252" spans="1:15" x14ac:dyDescent="0.2">
      <c r="A1252" s="21">
        <v>45886</v>
      </c>
      <c r="B1252" s="5" t="s">
        <v>166</v>
      </c>
      <c r="C1252" t="s">
        <v>167</v>
      </c>
      <c r="D1252" t="s">
        <v>16</v>
      </c>
      <c r="E1252" t="s">
        <v>17</v>
      </c>
      <c r="F1252">
        <v>104</v>
      </c>
      <c r="G1252">
        <v>70</v>
      </c>
      <c r="H1252">
        <v>26</v>
      </c>
      <c r="I1252">
        <f>Inventory_Data[[#This Row],[Opening_Stock]]+Inventory_Data[[#This Row],[Units_Received]]-Inventory_Data[[#This Row],[Units_Sold]]</f>
        <v>148</v>
      </c>
      <c r="J1252">
        <v>0</v>
      </c>
      <c r="K1252">
        <v>4</v>
      </c>
      <c r="L1252" t="s">
        <v>24</v>
      </c>
      <c r="M1252" s="3">
        <v>198.49</v>
      </c>
      <c r="N1252" s="3">
        <v>296.01</v>
      </c>
      <c r="O1252" s="10" t="str">
        <f>TEXT(Inventory_Data[[#This Row],[Date]],"mmm")</f>
        <v>Aug</v>
      </c>
    </row>
    <row r="1253" spans="1:15" x14ac:dyDescent="0.2">
      <c r="A1253" s="21">
        <v>45886</v>
      </c>
      <c r="B1253" s="5" t="s">
        <v>22</v>
      </c>
      <c r="C1253" t="s">
        <v>23</v>
      </c>
      <c r="D1253" t="s">
        <v>16</v>
      </c>
      <c r="E1253" t="s">
        <v>35</v>
      </c>
      <c r="F1253">
        <v>126</v>
      </c>
      <c r="G1253">
        <v>89</v>
      </c>
      <c r="H1253">
        <v>45</v>
      </c>
      <c r="I1253">
        <f>Inventory_Data[[#This Row],[Opening_Stock]]+Inventory_Data[[#This Row],[Units_Received]]-Inventory_Data[[#This Row],[Units_Sold]]</f>
        <v>170</v>
      </c>
      <c r="J1253">
        <v>0</v>
      </c>
      <c r="K1253">
        <v>4</v>
      </c>
      <c r="L1253" t="s">
        <v>24</v>
      </c>
      <c r="M1253" s="3">
        <v>92.55</v>
      </c>
      <c r="N1253" s="3">
        <v>123.95</v>
      </c>
      <c r="O1253" s="10" t="str">
        <f>TEXT(Inventory_Data[[#This Row],[Date]],"mmm")</f>
        <v>Aug</v>
      </c>
    </row>
    <row r="1254" spans="1:15" x14ac:dyDescent="0.2">
      <c r="A1254" s="21">
        <v>45886</v>
      </c>
      <c r="B1254" s="5" t="s">
        <v>128</v>
      </c>
      <c r="C1254" t="s">
        <v>129</v>
      </c>
      <c r="D1254" t="s">
        <v>48</v>
      </c>
      <c r="E1254" t="s">
        <v>17</v>
      </c>
      <c r="F1254">
        <v>245</v>
      </c>
      <c r="G1254">
        <v>81</v>
      </c>
      <c r="H1254">
        <v>109</v>
      </c>
      <c r="I1254">
        <f>Inventory_Data[[#This Row],[Opening_Stock]]+Inventory_Data[[#This Row],[Units_Received]]-Inventory_Data[[#This Row],[Units_Sold]]</f>
        <v>217</v>
      </c>
      <c r="J1254">
        <v>0</v>
      </c>
      <c r="K1254">
        <v>5</v>
      </c>
      <c r="L1254" t="s">
        <v>77</v>
      </c>
      <c r="M1254" s="3">
        <v>71.959999999999994</v>
      </c>
      <c r="N1254" s="3">
        <v>96.33</v>
      </c>
      <c r="O1254" s="10" t="str">
        <f>TEXT(Inventory_Data[[#This Row],[Date]],"mmm")</f>
        <v>Aug</v>
      </c>
    </row>
    <row r="1255" spans="1:15" x14ac:dyDescent="0.2">
      <c r="A1255" s="21">
        <v>45886</v>
      </c>
      <c r="B1255" s="5" t="s">
        <v>92</v>
      </c>
      <c r="C1255" t="s">
        <v>93</v>
      </c>
      <c r="D1255" t="s">
        <v>27</v>
      </c>
      <c r="E1255" t="s">
        <v>28</v>
      </c>
      <c r="F1255">
        <v>265</v>
      </c>
      <c r="G1255">
        <v>117</v>
      </c>
      <c r="H1255">
        <v>153</v>
      </c>
      <c r="I1255">
        <f>Inventory_Data[[#This Row],[Opening_Stock]]+Inventory_Data[[#This Row],[Units_Received]]-Inventory_Data[[#This Row],[Units_Sold]]</f>
        <v>229</v>
      </c>
      <c r="J1255">
        <v>0</v>
      </c>
      <c r="K1255">
        <v>1</v>
      </c>
      <c r="L1255" t="s">
        <v>80</v>
      </c>
      <c r="M1255" s="3">
        <v>19.84</v>
      </c>
      <c r="N1255" s="3">
        <v>25.1</v>
      </c>
      <c r="O1255" s="10" t="str">
        <f>TEXT(Inventory_Data[[#This Row],[Date]],"mmm")</f>
        <v>Aug</v>
      </c>
    </row>
    <row r="1256" spans="1:15" x14ac:dyDescent="0.2">
      <c r="A1256" s="21">
        <v>45886</v>
      </c>
      <c r="B1256" s="5" t="s">
        <v>186</v>
      </c>
      <c r="C1256" t="s">
        <v>187</v>
      </c>
      <c r="D1256" t="s">
        <v>27</v>
      </c>
      <c r="E1256" t="s">
        <v>35</v>
      </c>
      <c r="F1256">
        <v>177</v>
      </c>
      <c r="G1256">
        <v>222</v>
      </c>
      <c r="H1256">
        <v>147</v>
      </c>
      <c r="I1256">
        <f>Inventory_Data[[#This Row],[Opening_Stock]]+Inventory_Data[[#This Row],[Units_Received]]-Inventory_Data[[#This Row],[Units_Sold]]</f>
        <v>252</v>
      </c>
      <c r="J1256">
        <v>0</v>
      </c>
      <c r="K1256">
        <v>5</v>
      </c>
      <c r="L1256" t="s">
        <v>80</v>
      </c>
      <c r="M1256" s="3">
        <v>5.79</v>
      </c>
      <c r="N1256" s="3">
        <v>8.25</v>
      </c>
      <c r="O1256" s="10" t="str">
        <f>TEXT(Inventory_Data[[#This Row],[Date]],"mmm")</f>
        <v>Aug</v>
      </c>
    </row>
    <row r="1257" spans="1:15" x14ac:dyDescent="0.2">
      <c r="A1257" s="21">
        <v>45886</v>
      </c>
      <c r="B1257" s="5" t="s">
        <v>158</v>
      </c>
      <c r="C1257" t="s">
        <v>159</v>
      </c>
      <c r="D1257" t="s">
        <v>52</v>
      </c>
      <c r="E1257" t="s">
        <v>28</v>
      </c>
      <c r="F1257">
        <v>17</v>
      </c>
      <c r="G1257">
        <v>14</v>
      </c>
      <c r="H1257">
        <v>5</v>
      </c>
      <c r="I1257">
        <f>Inventory_Data[[#This Row],[Opening_Stock]]+Inventory_Data[[#This Row],[Units_Received]]-Inventory_Data[[#This Row],[Units_Sold]]</f>
        <v>26</v>
      </c>
      <c r="J1257">
        <v>0</v>
      </c>
      <c r="K1257">
        <v>3</v>
      </c>
      <c r="L1257" t="s">
        <v>83</v>
      </c>
      <c r="M1257" s="3">
        <v>100.6</v>
      </c>
      <c r="N1257" s="3">
        <v>120.34</v>
      </c>
      <c r="O1257" s="10" t="str">
        <f>TEXT(Inventory_Data[[#This Row],[Date]],"mmm")</f>
        <v>Aug</v>
      </c>
    </row>
    <row r="1258" spans="1:15" x14ac:dyDescent="0.2">
      <c r="A1258" s="21">
        <v>45886</v>
      </c>
      <c r="B1258" s="5" t="s">
        <v>140</v>
      </c>
      <c r="C1258" t="s">
        <v>141</v>
      </c>
      <c r="D1258" t="s">
        <v>52</v>
      </c>
      <c r="E1258" t="s">
        <v>35</v>
      </c>
      <c r="F1258">
        <v>32</v>
      </c>
      <c r="G1258">
        <v>12</v>
      </c>
      <c r="H1258">
        <v>17</v>
      </c>
      <c r="I1258">
        <f>Inventory_Data[[#This Row],[Opening_Stock]]+Inventory_Data[[#This Row],[Units_Received]]-Inventory_Data[[#This Row],[Units_Sold]]</f>
        <v>27</v>
      </c>
      <c r="J1258">
        <v>0</v>
      </c>
      <c r="K1258">
        <v>11</v>
      </c>
      <c r="L1258" t="s">
        <v>83</v>
      </c>
      <c r="M1258" s="3">
        <v>199.1</v>
      </c>
      <c r="N1258" s="3">
        <v>260.36</v>
      </c>
      <c r="O1258" s="10" t="str">
        <f>TEXT(Inventory_Data[[#This Row],[Date]],"mmm")</f>
        <v>Aug</v>
      </c>
    </row>
    <row r="1259" spans="1:15" x14ac:dyDescent="0.2">
      <c r="A1259" s="21">
        <v>45886</v>
      </c>
      <c r="B1259" s="5" t="s">
        <v>32</v>
      </c>
      <c r="C1259" t="s">
        <v>33</v>
      </c>
      <c r="D1259" t="s">
        <v>34</v>
      </c>
      <c r="E1259" t="s">
        <v>17</v>
      </c>
      <c r="F1259">
        <v>187</v>
      </c>
      <c r="G1259">
        <v>181</v>
      </c>
      <c r="H1259">
        <v>113</v>
      </c>
      <c r="I1259">
        <f>Inventory_Data[[#This Row],[Opening_Stock]]+Inventory_Data[[#This Row],[Units_Received]]-Inventory_Data[[#This Row],[Units_Sold]]</f>
        <v>255</v>
      </c>
      <c r="J1259">
        <v>0</v>
      </c>
      <c r="K1259">
        <v>13</v>
      </c>
      <c r="L1259" t="s">
        <v>42</v>
      </c>
      <c r="M1259" s="3">
        <v>8.94</v>
      </c>
      <c r="N1259" s="3">
        <v>12.03</v>
      </c>
      <c r="O1259" s="10" t="str">
        <f>TEXT(Inventory_Data[[#This Row],[Date]],"mmm")</f>
        <v>Aug</v>
      </c>
    </row>
    <row r="1260" spans="1:15" x14ac:dyDescent="0.2">
      <c r="A1260" s="21">
        <v>45886</v>
      </c>
      <c r="B1260" s="5" t="s">
        <v>40</v>
      </c>
      <c r="C1260" t="s">
        <v>41</v>
      </c>
      <c r="D1260" t="s">
        <v>34</v>
      </c>
      <c r="E1260" t="s">
        <v>28</v>
      </c>
      <c r="F1260">
        <v>109</v>
      </c>
      <c r="G1260">
        <v>171</v>
      </c>
      <c r="H1260">
        <v>132</v>
      </c>
      <c r="I1260">
        <f>Inventory_Data[[#This Row],[Opening_Stock]]+Inventory_Data[[#This Row],[Units_Received]]-Inventory_Data[[#This Row],[Units_Sold]]</f>
        <v>148</v>
      </c>
      <c r="J1260">
        <v>0</v>
      </c>
      <c r="K1260">
        <v>11</v>
      </c>
      <c r="L1260" t="s">
        <v>42</v>
      </c>
      <c r="M1260" s="3">
        <v>19.13</v>
      </c>
      <c r="N1260" s="3">
        <v>29.24</v>
      </c>
      <c r="O1260" s="10" t="str">
        <f>TEXT(Inventory_Data[[#This Row],[Date]],"mmm")</f>
        <v>Aug</v>
      </c>
    </row>
    <row r="1261" spans="1:15" x14ac:dyDescent="0.2">
      <c r="A1261" s="21">
        <v>45887</v>
      </c>
      <c r="B1261" s="5" t="s">
        <v>146</v>
      </c>
      <c r="C1261" t="s">
        <v>147</v>
      </c>
      <c r="D1261" t="s">
        <v>48</v>
      </c>
      <c r="E1261" t="s">
        <v>21</v>
      </c>
      <c r="F1261">
        <v>252</v>
      </c>
      <c r="G1261">
        <v>73</v>
      </c>
      <c r="H1261">
        <v>25</v>
      </c>
      <c r="I1261">
        <f>Inventory_Data[[#This Row],[Opening_Stock]]+Inventory_Data[[#This Row],[Units_Received]]-Inventory_Data[[#This Row],[Units_Sold]]</f>
        <v>300</v>
      </c>
      <c r="J1261">
        <v>0</v>
      </c>
      <c r="K1261">
        <v>12</v>
      </c>
      <c r="L1261" t="s">
        <v>49</v>
      </c>
      <c r="M1261" s="3">
        <v>41.99</v>
      </c>
      <c r="N1261" s="3">
        <v>60.95</v>
      </c>
      <c r="O1261" s="10" t="str">
        <f>TEXT(Inventory_Data[[#This Row],[Date]],"mmm")</f>
        <v>Aug</v>
      </c>
    </row>
    <row r="1262" spans="1:15" x14ac:dyDescent="0.2">
      <c r="A1262" s="21">
        <v>45887</v>
      </c>
      <c r="B1262" s="5" t="s">
        <v>114</v>
      </c>
      <c r="C1262" t="s">
        <v>115</v>
      </c>
      <c r="D1262" t="s">
        <v>27</v>
      </c>
      <c r="E1262" t="s">
        <v>17</v>
      </c>
      <c r="F1262">
        <v>448</v>
      </c>
      <c r="G1262">
        <v>89</v>
      </c>
      <c r="H1262">
        <v>31</v>
      </c>
      <c r="I1262">
        <f>Inventory_Data[[#This Row],[Opening_Stock]]+Inventory_Data[[#This Row],[Units_Received]]-Inventory_Data[[#This Row],[Units_Sold]]</f>
        <v>506</v>
      </c>
      <c r="J1262">
        <v>0</v>
      </c>
      <c r="K1262">
        <v>1</v>
      </c>
      <c r="L1262" t="s">
        <v>29</v>
      </c>
      <c r="M1262" s="3">
        <v>4.92</v>
      </c>
      <c r="N1262" s="3">
        <v>5.9</v>
      </c>
      <c r="O1262" s="10" t="str">
        <f>TEXT(Inventory_Data[[#This Row],[Date]],"mmm")</f>
        <v>Aug</v>
      </c>
    </row>
    <row r="1263" spans="1:15" x14ac:dyDescent="0.2">
      <c r="A1263" s="21">
        <v>45888</v>
      </c>
      <c r="B1263" s="5" t="s">
        <v>166</v>
      </c>
      <c r="C1263" t="s">
        <v>167</v>
      </c>
      <c r="D1263" t="s">
        <v>16</v>
      </c>
      <c r="E1263" t="s">
        <v>17</v>
      </c>
      <c r="F1263">
        <v>88</v>
      </c>
      <c r="G1263">
        <v>31</v>
      </c>
      <c r="H1263">
        <v>68</v>
      </c>
      <c r="I1263">
        <f>Inventory_Data[[#This Row],[Opening_Stock]]+Inventory_Data[[#This Row],[Units_Received]]-Inventory_Data[[#This Row],[Units_Sold]]</f>
        <v>51</v>
      </c>
      <c r="J1263">
        <v>0</v>
      </c>
      <c r="K1263">
        <v>10</v>
      </c>
      <c r="L1263" t="s">
        <v>45</v>
      </c>
      <c r="M1263" s="3">
        <v>135.41</v>
      </c>
      <c r="N1263" s="3">
        <v>165.16</v>
      </c>
      <c r="O1263" s="10" t="str">
        <f>TEXT(Inventory_Data[[#This Row],[Date]],"mmm")</f>
        <v>Aug</v>
      </c>
    </row>
    <row r="1264" spans="1:15" x14ac:dyDescent="0.2">
      <c r="A1264" s="21">
        <v>45888</v>
      </c>
      <c r="B1264" s="5" t="s">
        <v>120</v>
      </c>
      <c r="C1264" t="s">
        <v>121</v>
      </c>
      <c r="D1264" t="s">
        <v>16</v>
      </c>
      <c r="E1264" t="s">
        <v>28</v>
      </c>
      <c r="F1264">
        <v>156</v>
      </c>
      <c r="G1264">
        <v>77</v>
      </c>
      <c r="H1264">
        <v>39</v>
      </c>
      <c r="I1264">
        <f>Inventory_Data[[#This Row],[Opening_Stock]]+Inventory_Data[[#This Row],[Units_Received]]-Inventory_Data[[#This Row],[Units_Sold]]</f>
        <v>194</v>
      </c>
      <c r="J1264">
        <v>0</v>
      </c>
      <c r="K1264">
        <v>2</v>
      </c>
      <c r="L1264" t="s">
        <v>18</v>
      </c>
      <c r="M1264" s="3">
        <v>28.26</v>
      </c>
      <c r="N1264" s="3">
        <v>43.3</v>
      </c>
      <c r="O1264" s="10" t="str">
        <f>TEXT(Inventory_Data[[#This Row],[Date]],"mmm")</f>
        <v>Aug</v>
      </c>
    </row>
    <row r="1265" spans="1:15" x14ac:dyDescent="0.2">
      <c r="A1265" s="21">
        <v>45888</v>
      </c>
      <c r="B1265" s="5" t="s">
        <v>170</v>
      </c>
      <c r="C1265" t="s">
        <v>171</v>
      </c>
      <c r="D1265" t="s">
        <v>48</v>
      </c>
      <c r="E1265" t="s">
        <v>17</v>
      </c>
      <c r="F1265">
        <v>243</v>
      </c>
      <c r="G1265">
        <v>65</v>
      </c>
      <c r="H1265">
        <v>24</v>
      </c>
      <c r="I1265">
        <f>Inventory_Data[[#This Row],[Opening_Stock]]+Inventory_Data[[#This Row],[Units_Received]]-Inventory_Data[[#This Row],[Units_Sold]]</f>
        <v>284</v>
      </c>
      <c r="J1265">
        <v>0</v>
      </c>
      <c r="K1265">
        <v>4</v>
      </c>
      <c r="L1265" t="s">
        <v>49</v>
      </c>
      <c r="M1265" s="3">
        <v>86.55</v>
      </c>
      <c r="N1265" s="3">
        <v>119.91</v>
      </c>
      <c r="O1265" s="10" t="str">
        <f>TEXT(Inventory_Data[[#This Row],[Date]],"mmm")</f>
        <v>Aug</v>
      </c>
    </row>
    <row r="1266" spans="1:15" x14ac:dyDescent="0.2">
      <c r="A1266" s="21">
        <v>45888</v>
      </c>
      <c r="B1266" s="5" t="s">
        <v>96</v>
      </c>
      <c r="C1266" t="s">
        <v>97</v>
      </c>
      <c r="D1266" t="s">
        <v>48</v>
      </c>
      <c r="E1266" t="s">
        <v>35</v>
      </c>
      <c r="F1266">
        <v>168</v>
      </c>
      <c r="G1266">
        <v>27</v>
      </c>
      <c r="H1266">
        <v>110</v>
      </c>
      <c r="I1266">
        <f>Inventory_Data[[#This Row],[Opening_Stock]]+Inventory_Data[[#This Row],[Units_Received]]-Inventory_Data[[#This Row],[Units_Sold]]</f>
        <v>85</v>
      </c>
      <c r="J1266">
        <v>0</v>
      </c>
      <c r="K1266">
        <v>13</v>
      </c>
      <c r="L1266" t="s">
        <v>63</v>
      </c>
      <c r="M1266" s="3">
        <v>75.27</v>
      </c>
      <c r="N1266" s="3">
        <v>95.99</v>
      </c>
      <c r="O1266" s="10" t="str">
        <f>TEXT(Inventory_Data[[#This Row],[Date]],"mmm")</f>
        <v>Aug</v>
      </c>
    </row>
    <row r="1267" spans="1:15" x14ac:dyDescent="0.2">
      <c r="A1267" s="21">
        <v>45888</v>
      </c>
      <c r="B1267" s="5" t="s">
        <v>154</v>
      </c>
      <c r="C1267" t="s">
        <v>155</v>
      </c>
      <c r="D1267" t="s">
        <v>48</v>
      </c>
      <c r="E1267" t="s">
        <v>35</v>
      </c>
      <c r="F1267">
        <v>179</v>
      </c>
      <c r="G1267">
        <v>118</v>
      </c>
      <c r="H1267">
        <v>31</v>
      </c>
      <c r="I1267">
        <f>Inventory_Data[[#This Row],[Opening_Stock]]+Inventory_Data[[#This Row],[Units_Received]]-Inventory_Data[[#This Row],[Units_Sold]]</f>
        <v>266</v>
      </c>
      <c r="J1267">
        <v>0</v>
      </c>
      <c r="K1267">
        <v>4</v>
      </c>
      <c r="L1267" t="s">
        <v>63</v>
      </c>
      <c r="M1267" s="3">
        <v>18.61</v>
      </c>
      <c r="N1267" s="3">
        <v>24.2</v>
      </c>
      <c r="O1267" s="10" t="str">
        <f>TEXT(Inventory_Data[[#This Row],[Date]],"mmm")</f>
        <v>Aug</v>
      </c>
    </row>
    <row r="1268" spans="1:15" x14ac:dyDescent="0.2">
      <c r="A1268" s="21">
        <v>45888</v>
      </c>
      <c r="B1268" s="5" t="s">
        <v>98</v>
      </c>
      <c r="C1268" t="s">
        <v>99</v>
      </c>
      <c r="D1268" t="s">
        <v>27</v>
      </c>
      <c r="E1268" t="s">
        <v>28</v>
      </c>
      <c r="F1268">
        <v>483</v>
      </c>
      <c r="G1268">
        <v>73</v>
      </c>
      <c r="H1268">
        <v>183</v>
      </c>
      <c r="I1268">
        <f>Inventory_Data[[#This Row],[Opening_Stock]]+Inventory_Data[[#This Row],[Units_Received]]-Inventory_Data[[#This Row],[Units_Sold]]</f>
        <v>373</v>
      </c>
      <c r="J1268">
        <v>0</v>
      </c>
      <c r="K1268">
        <v>3</v>
      </c>
      <c r="L1268" t="s">
        <v>66</v>
      </c>
      <c r="M1268" s="3">
        <v>8.3000000000000007</v>
      </c>
      <c r="N1268" s="3">
        <v>9.98</v>
      </c>
      <c r="O1268" s="10" t="str">
        <f>TEXT(Inventory_Data[[#This Row],[Date]],"mmm")</f>
        <v>Aug</v>
      </c>
    </row>
    <row r="1269" spans="1:15" x14ac:dyDescent="0.2">
      <c r="A1269" s="21">
        <v>45888</v>
      </c>
      <c r="B1269" s="5" t="s">
        <v>64</v>
      </c>
      <c r="C1269" t="s">
        <v>65</v>
      </c>
      <c r="D1269" t="s">
        <v>27</v>
      </c>
      <c r="E1269" t="s">
        <v>21</v>
      </c>
      <c r="F1269">
        <v>341</v>
      </c>
      <c r="G1269">
        <v>206</v>
      </c>
      <c r="H1269">
        <v>199</v>
      </c>
      <c r="I1269">
        <f>Inventory_Data[[#This Row],[Opening_Stock]]+Inventory_Data[[#This Row],[Units_Received]]-Inventory_Data[[#This Row],[Units_Sold]]</f>
        <v>348</v>
      </c>
      <c r="J1269">
        <v>0</v>
      </c>
      <c r="K1269">
        <v>7</v>
      </c>
      <c r="L1269" t="s">
        <v>66</v>
      </c>
      <c r="M1269" s="3">
        <v>20.91</v>
      </c>
      <c r="N1269" s="3">
        <v>27.23</v>
      </c>
      <c r="O1269" s="10" t="str">
        <f>TEXT(Inventory_Data[[#This Row],[Date]],"mmm")</f>
        <v>Aug</v>
      </c>
    </row>
    <row r="1270" spans="1:15" x14ac:dyDescent="0.2">
      <c r="A1270" s="21">
        <v>45888</v>
      </c>
      <c r="B1270" s="5" t="s">
        <v>174</v>
      </c>
      <c r="C1270" t="s">
        <v>175</v>
      </c>
      <c r="D1270" t="s">
        <v>52</v>
      </c>
      <c r="E1270" t="s">
        <v>21</v>
      </c>
      <c r="F1270">
        <v>23</v>
      </c>
      <c r="G1270">
        <v>4</v>
      </c>
      <c r="H1270">
        <v>5</v>
      </c>
      <c r="I1270">
        <f>Inventory_Data[[#This Row],[Opening_Stock]]+Inventory_Data[[#This Row],[Units_Received]]-Inventory_Data[[#This Row],[Units_Sold]]</f>
        <v>22</v>
      </c>
      <c r="J1270">
        <v>0</v>
      </c>
      <c r="K1270">
        <v>11</v>
      </c>
      <c r="L1270" t="s">
        <v>56</v>
      </c>
      <c r="M1270" s="3">
        <v>207.48</v>
      </c>
      <c r="N1270" s="3">
        <v>285.13</v>
      </c>
      <c r="O1270" s="10" t="str">
        <f>TEXT(Inventory_Data[[#This Row],[Date]],"mmm")</f>
        <v>Aug</v>
      </c>
    </row>
    <row r="1271" spans="1:15" x14ac:dyDescent="0.2">
      <c r="A1271" s="21">
        <v>45889</v>
      </c>
      <c r="B1271" s="5" t="s">
        <v>112</v>
      </c>
      <c r="C1271" t="s">
        <v>113</v>
      </c>
      <c r="D1271" t="s">
        <v>16</v>
      </c>
      <c r="E1271" t="s">
        <v>21</v>
      </c>
      <c r="F1271">
        <v>147</v>
      </c>
      <c r="G1271">
        <v>65</v>
      </c>
      <c r="H1271">
        <v>35</v>
      </c>
      <c r="I1271">
        <f>Inventory_Data[[#This Row],[Opening_Stock]]+Inventory_Data[[#This Row],[Units_Received]]-Inventory_Data[[#This Row],[Units_Sold]]</f>
        <v>177</v>
      </c>
      <c r="J1271">
        <v>0</v>
      </c>
      <c r="K1271">
        <v>12</v>
      </c>
      <c r="L1271" t="s">
        <v>18</v>
      </c>
      <c r="M1271" s="3">
        <v>170.47</v>
      </c>
      <c r="N1271" s="3">
        <v>197.54</v>
      </c>
      <c r="O1271" s="10" t="str">
        <f>TEXT(Inventory_Data[[#This Row],[Date]],"mmm")</f>
        <v>Aug</v>
      </c>
    </row>
    <row r="1272" spans="1:15" x14ac:dyDescent="0.2">
      <c r="A1272" s="21">
        <v>45890</v>
      </c>
      <c r="B1272" s="5" t="s">
        <v>71</v>
      </c>
      <c r="C1272" t="s">
        <v>72</v>
      </c>
      <c r="D1272" t="s">
        <v>16</v>
      </c>
      <c r="E1272" t="s">
        <v>21</v>
      </c>
      <c r="F1272">
        <v>106</v>
      </c>
      <c r="G1272">
        <v>47</v>
      </c>
      <c r="H1272">
        <v>10</v>
      </c>
      <c r="I1272">
        <f>Inventory_Data[[#This Row],[Opening_Stock]]+Inventory_Data[[#This Row],[Units_Received]]-Inventory_Data[[#This Row],[Units_Sold]]</f>
        <v>143</v>
      </c>
      <c r="J1272">
        <v>0</v>
      </c>
      <c r="K1272">
        <v>7</v>
      </c>
      <c r="L1272" t="s">
        <v>45</v>
      </c>
      <c r="M1272" s="3">
        <v>67.150000000000006</v>
      </c>
      <c r="N1272" s="3">
        <v>86.94</v>
      </c>
      <c r="O1272" s="10" t="str">
        <f>TEXT(Inventory_Data[[#This Row],[Date]],"mmm")</f>
        <v>Aug</v>
      </c>
    </row>
    <row r="1273" spans="1:15" x14ac:dyDescent="0.2">
      <c r="A1273" s="21">
        <v>45890</v>
      </c>
      <c r="B1273" s="5" t="s">
        <v>112</v>
      </c>
      <c r="C1273" t="s">
        <v>113</v>
      </c>
      <c r="D1273" t="s">
        <v>16</v>
      </c>
      <c r="E1273" t="s">
        <v>21</v>
      </c>
      <c r="F1273">
        <v>139</v>
      </c>
      <c r="G1273">
        <v>89</v>
      </c>
      <c r="H1273">
        <v>59</v>
      </c>
      <c r="I1273">
        <f>Inventory_Data[[#This Row],[Opening_Stock]]+Inventory_Data[[#This Row],[Units_Received]]-Inventory_Data[[#This Row],[Units_Sold]]</f>
        <v>169</v>
      </c>
      <c r="J1273">
        <v>0</v>
      </c>
      <c r="K1273">
        <v>12</v>
      </c>
      <c r="L1273" t="s">
        <v>45</v>
      </c>
      <c r="M1273" s="3">
        <v>30.78</v>
      </c>
      <c r="N1273" s="3">
        <v>43.66</v>
      </c>
      <c r="O1273" s="10" t="str">
        <f>TEXT(Inventory_Data[[#This Row],[Date]],"mmm")</f>
        <v>Aug</v>
      </c>
    </row>
    <row r="1274" spans="1:15" x14ac:dyDescent="0.2">
      <c r="A1274" s="21">
        <v>45890</v>
      </c>
      <c r="B1274" s="5" t="s">
        <v>128</v>
      </c>
      <c r="C1274" t="s">
        <v>129</v>
      </c>
      <c r="D1274" t="s">
        <v>48</v>
      </c>
      <c r="E1274" t="s">
        <v>35</v>
      </c>
      <c r="F1274">
        <v>249</v>
      </c>
      <c r="G1274">
        <v>70</v>
      </c>
      <c r="H1274">
        <v>127</v>
      </c>
      <c r="I1274">
        <f>Inventory_Data[[#This Row],[Opening_Stock]]+Inventory_Data[[#This Row],[Units_Received]]-Inventory_Data[[#This Row],[Units_Sold]]</f>
        <v>192</v>
      </c>
      <c r="J1274">
        <v>0</v>
      </c>
      <c r="K1274">
        <v>10</v>
      </c>
      <c r="L1274" t="s">
        <v>63</v>
      </c>
      <c r="M1274" s="3">
        <v>58.23</v>
      </c>
      <c r="N1274" s="3">
        <v>87.31</v>
      </c>
      <c r="O1274" s="10" t="str">
        <f>TEXT(Inventory_Data[[#This Row],[Date]],"mmm")</f>
        <v>Aug</v>
      </c>
    </row>
    <row r="1275" spans="1:15" x14ac:dyDescent="0.2">
      <c r="A1275" s="21">
        <v>45890</v>
      </c>
      <c r="B1275" s="5" t="s">
        <v>92</v>
      </c>
      <c r="C1275" t="s">
        <v>93</v>
      </c>
      <c r="D1275" t="s">
        <v>27</v>
      </c>
      <c r="E1275" t="s">
        <v>21</v>
      </c>
      <c r="F1275">
        <v>266</v>
      </c>
      <c r="G1275">
        <v>82</v>
      </c>
      <c r="H1275">
        <v>122</v>
      </c>
      <c r="I1275">
        <f>Inventory_Data[[#This Row],[Opening_Stock]]+Inventory_Data[[#This Row],[Units_Received]]-Inventory_Data[[#This Row],[Units_Sold]]</f>
        <v>226</v>
      </c>
      <c r="J1275">
        <v>0</v>
      </c>
      <c r="K1275">
        <v>2</v>
      </c>
      <c r="L1275" t="s">
        <v>29</v>
      </c>
      <c r="M1275" s="3">
        <v>10.66</v>
      </c>
      <c r="N1275" s="3">
        <v>13.52</v>
      </c>
      <c r="O1275" s="10" t="str">
        <f>TEXT(Inventory_Data[[#This Row],[Date]],"mmm")</f>
        <v>Aug</v>
      </c>
    </row>
    <row r="1276" spans="1:15" x14ac:dyDescent="0.2">
      <c r="A1276" s="21">
        <v>45890</v>
      </c>
      <c r="B1276" s="5" t="s">
        <v>25</v>
      </c>
      <c r="C1276" t="s">
        <v>26</v>
      </c>
      <c r="D1276" t="s">
        <v>27</v>
      </c>
      <c r="E1276" t="s">
        <v>35</v>
      </c>
      <c r="F1276">
        <v>308</v>
      </c>
      <c r="G1276">
        <v>173</v>
      </c>
      <c r="H1276">
        <v>38</v>
      </c>
      <c r="I1276">
        <f>Inventory_Data[[#This Row],[Opening_Stock]]+Inventory_Data[[#This Row],[Units_Received]]-Inventory_Data[[#This Row],[Units_Sold]]</f>
        <v>443</v>
      </c>
      <c r="J1276">
        <v>0</v>
      </c>
      <c r="K1276">
        <v>2</v>
      </c>
      <c r="L1276" t="s">
        <v>80</v>
      </c>
      <c r="M1276" s="3">
        <v>18.71</v>
      </c>
      <c r="N1276" s="3">
        <v>25.33</v>
      </c>
      <c r="O1276" s="10" t="str">
        <f>TEXT(Inventory_Data[[#This Row],[Date]],"mmm")</f>
        <v>Aug</v>
      </c>
    </row>
    <row r="1277" spans="1:15" x14ac:dyDescent="0.2">
      <c r="A1277" s="21">
        <v>45890</v>
      </c>
      <c r="B1277" s="5" t="s">
        <v>156</v>
      </c>
      <c r="C1277" t="s">
        <v>157</v>
      </c>
      <c r="D1277" t="s">
        <v>27</v>
      </c>
      <c r="E1277" t="s">
        <v>35</v>
      </c>
      <c r="F1277">
        <v>476</v>
      </c>
      <c r="G1277">
        <v>120</v>
      </c>
      <c r="H1277">
        <v>151</v>
      </c>
      <c r="I1277">
        <f>Inventory_Data[[#This Row],[Opening_Stock]]+Inventory_Data[[#This Row],[Units_Received]]-Inventory_Data[[#This Row],[Units_Sold]]</f>
        <v>445</v>
      </c>
      <c r="J1277">
        <v>0</v>
      </c>
      <c r="K1277">
        <v>1</v>
      </c>
      <c r="L1277" t="s">
        <v>29</v>
      </c>
      <c r="M1277" s="3">
        <v>23.03</v>
      </c>
      <c r="N1277" s="3">
        <v>26.67</v>
      </c>
      <c r="O1277" s="10" t="str">
        <f>TEXT(Inventory_Data[[#This Row],[Date]],"mmm")</f>
        <v>Aug</v>
      </c>
    </row>
    <row r="1278" spans="1:15" x14ac:dyDescent="0.2">
      <c r="A1278" s="21">
        <v>45890</v>
      </c>
      <c r="B1278" s="5" t="s">
        <v>100</v>
      </c>
      <c r="C1278" t="s">
        <v>101</v>
      </c>
      <c r="D1278" t="s">
        <v>52</v>
      </c>
      <c r="E1278" t="s">
        <v>17</v>
      </c>
      <c r="F1278">
        <v>38</v>
      </c>
      <c r="G1278">
        <v>4</v>
      </c>
      <c r="H1278">
        <v>14</v>
      </c>
      <c r="I1278">
        <f>Inventory_Data[[#This Row],[Opening_Stock]]+Inventory_Data[[#This Row],[Units_Received]]-Inventory_Data[[#This Row],[Units_Sold]]</f>
        <v>28</v>
      </c>
      <c r="J1278">
        <v>0</v>
      </c>
      <c r="K1278">
        <v>10</v>
      </c>
      <c r="L1278" t="s">
        <v>53</v>
      </c>
      <c r="M1278" s="3">
        <v>35.24</v>
      </c>
      <c r="N1278" s="3">
        <v>42.24</v>
      </c>
      <c r="O1278" s="10" t="str">
        <f>TEXT(Inventory_Data[[#This Row],[Date]],"mmm")</f>
        <v>Aug</v>
      </c>
    </row>
    <row r="1279" spans="1:15" x14ac:dyDescent="0.2">
      <c r="A1279" s="21">
        <v>45890</v>
      </c>
      <c r="B1279" s="5" t="s">
        <v>110</v>
      </c>
      <c r="C1279" t="s">
        <v>111</v>
      </c>
      <c r="D1279" t="s">
        <v>52</v>
      </c>
      <c r="E1279" t="s">
        <v>28</v>
      </c>
      <c r="F1279">
        <v>68</v>
      </c>
      <c r="G1279">
        <v>2</v>
      </c>
      <c r="H1279">
        <v>10</v>
      </c>
      <c r="I1279">
        <f>Inventory_Data[[#This Row],[Opening_Stock]]+Inventory_Data[[#This Row],[Units_Received]]-Inventory_Data[[#This Row],[Units_Sold]]</f>
        <v>60</v>
      </c>
      <c r="J1279">
        <v>0</v>
      </c>
      <c r="K1279">
        <v>10</v>
      </c>
      <c r="L1279" t="s">
        <v>83</v>
      </c>
      <c r="M1279" s="3">
        <v>268.55</v>
      </c>
      <c r="N1279" s="3">
        <v>407.43</v>
      </c>
      <c r="O1279" s="10" t="str">
        <f>TEXT(Inventory_Data[[#This Row],[Date]],"mmm")</f>
        <v>Aug</v>
      </c>
    </row>
    <row r="1280" spans="1:15" x14ac:dyDescent="0.2">
      <c r="A1280" s="21">
        <v>45890</v>
      </c>
      <c r="B1280" s="5" t="s">
        <v>54</v>
      </c>
      <c r="C1280" t="s">
        <v>55</v>
      </c>
      <c r="D1280" t="s">
        <v>52</v>
      </c>
      <c r="E1280" t="s">
        <v>21</v>
      </c>
      <c r="F1280">
        <v>37</v>
      </c>
      <c r="G1280">
        <v>14</v>
      </c>
      <c r="H1280">
        <v>15</v>
      </c>
      <c r="I1280">
        <f>Inventory_Data[[#This Row],[Opening_Stock]]+Inventory_Data[[#This Row],[Units_Received]]-Inventory_Data[[#This Row],[Units_Sold]]</f>
        <v>36</v>
      </c>
      <c r="J1280">
        <v>0</v>
      </c>
      <c r="K1280">
        <v>13</v>
      </c>
      <c r="L1280" t="s">
        <v>53</v>
      </c>
      <c r="M1280" s="3">
        <v>178.99</v>
      </c>
      <c r="N1280" s="3">
        <v>209.98</v>
      </c>
      <c r="O1280" s="10" t="str">
        <f>TEXT(Inventory_Data[[#This Row],[Date]],"mmm")</f>
        <v>Aug</v>
      </c>
    </row>
    <row r="1281" spans="1:15" x14ac:dyDescent="0.2">
      <c r="A1281" s="21">
        <v>45890</v>
      </c>
      <c r="B1281" s="5" t="s">
        <v>81</v>
      </c>
      <c r="C1281" t="s">
        <v>82</v>
      </c>
      <c r="D1281" t="s">
        <v>52</v>
      </c>
      <c r="E1281" t="s">
        <v>28</v>
      </c>
      <c r="F1281">
        <v>28</v>
      </c>
      <c r="G1281">
        <v>7</v>
      </c>
      <c r="H1281">
        <v>14</v>
      </c>
      <c r="I1281">
        <f>Inventory_Data[[#This Row],[Opening_Stock]]+Inventory_Data[[#This Row],[Units_Received]]-Inventory_Data[[#This Row],[Units_Sold]]</f>
        <v>21</v>
      </c>
      <c r="J1281">
        <v>0</v>
      </c>
      <c r="K1281">
        <v>5</v>
      </c>
      <c r="L1281" t="s">
        <v>83</v>
      </c>
      <c r="M1281" s="3">
        <v>125.03</v>
      </c>
      <c r="N1281" s="3">
        <v>174.47</v>
      </c>
      <c r="O1281" s="10" t="str">
        <f>TEXT(Inventory_Data[[#This Row],[Date]],"mmm")</f>
        <v>Aug</v>
      </c>
    </row>
    <row r="1282" spans="1:15" x14ac:dyDescent="0.2">
      <c r="A1282" s="21">
        <v>45890</v>
      </c>
      <c r="B1282" s="5" t="s">
        <v>88</v>
      </c>
      <c r="C1282" t="s">
        <v>89</v>
      </c>
      <c r="D1282" t="s">
        <v>34</v>
      </c>
      <c r="E1282" t="s">
        <v>21</v>
      </c>
      <c r="F1282">
        <v>61</v>
      </c>
      <c r="G1282">
        <v>153</v>
      </c>
      <c r="H1282">
        <v>38</v>
      </c>
      <c r="I1282">
        <f>Inventory_Data[[#This Row],[Opening_Stock]]+Inventory_Data[[#This Row],[Units_Received]]-Inventory_Data[[#This Row],[Units_Sold]]</f>
        <v>176</v>
      </c>
      <c r="J1282">
        <v>0</v>
      </c>
      <c r="K1282">
        <v>11</v>
      </c>
      <c r="L1282" t="s">
        <v>36</v>
      </c>
      <c r="M1282" s="3">
        <v>21</v>
      </c>
      <c r="N1282" s="3">
        <v>25.36</v>
      </c>
      <c r="O1282" s="10" t="str">
        <f>TEXT(Inventory_Data[[#This Row],[Date]],"mmm")</f>
        <v>Aug</v>
      </c>
    </row>
    <row r="1283" spans="1:15" x14ac:dyDescent="0.2">
      <c r="A1283" s="21">
        <v>45891</v>
      </c>
      <c r="B1283" s="5" t="s">
        <v>154</v>
      </c>
      <c r="C1283" t="s">
        <v>155</v>
      </c>
      <c r="D1283" t="s">
        <v>48</v>
      </c>
      <c r="E1283" t="s">
        <v>21</v>
      </c>
      <c r="F1283">
        <v>270</v>
      </c>
      <c r="G1283">
        <v>134</v>
      </c>
      <c r="H1283">
        <v>69</v>
      </c>
      <c r="I1283">
        <f>Inventory_Data[[#This Row],[Opening_Stock]]+Inventory_Data[[#This Row],[Units_Received]]-Inventory_Data[[#This Row],[Units_Sold]]</f>
        <v>335</v>
      </c>
      <c r="J1283">
        <v>0</v>
      </c>
      <c r="K1283">
        <v>3</v>
      </c>
      <c r="L1283" t="s">
        <v>63</v>
      </c>
      <c r="M1283" s="3">
        <v>43.38</v>
      </c>
      <c r="N1283" s="3">
        <v>53.88</v>
      </c>
      <c r="O1283" s="10" t="str">
        <f>TEXT(Inventory_Data[[#This Row],[Date]],"mmm")</f>
        <v>Aug</v>
      </c>
    </row>
    <row r="1284" spans="1:15" x14ac:dyDescent="0.2">
      <c r="A1284" s="21">
        <v>45891</v>
      </c>
      <c r="B1284" s="5" t="s">
        <v>59</v>
      </c>
      <c r="C1284" t="s">
        <v>60</v>
      </c>
      <c r="D1284" t="s">
        <v>34</v>
      </c>
      <c r="E1284" t="s">
        <v>17</v>
      </c>
      <c r="F1284">
        <v>168</v>
      </c>
      <c r="G1284">
        <v>41</v>
      </c>
      <c r="H1284">
        <v>175</v>
      </c>
      <c r="I1284">
        <f>Inventory_Data[[#This Row],[Opening_Stock]]+Inventory_Data[[#This Row],[Units_Received]]-Inventory_Data[[#This Row],[Units_Sold]]</f>
        <v>34</v>
      </c>
      <c r="J1284">
        <v>0</v>
      </c>
      <c r="K1284">
        <v>14</v>
      </c>
      <c r="L1284" t="s">
        <v>39</v>
      </c>
      <c r="M1284" s="3">
        <v>21.83</v>
      </c>
      <c r="N1284" s="3">
        <v>33.44</v>
      </c>
      <c r="O1284" s="10" t="str">
        <f>TEXT(Inventory_Data[[#This Row],[Date]],"mmm")</f>
        <v>Aug</v>
      </c>
    </row>
    <row r="1285" spans="1:15" x14ac:dyDescent="0.2">
      <c r="A1285" s="21">
        <v>45892</v>
      </c>
      <c r="B1285" s="5" t="s">
        <v>146</v>
      </c>
      <c r="C1285" t="s">
        <v>147</v>
      </c>
      <c r="D1285" t="s">
        <v>48</v>
      </c>
      <c r="E1285" t="s">
        <v>28</v>
      </c>
      <c r="F1285">
        <v>298</v>
      </c>
      <c r="G1285">
        <v>87</v>
      </c>
      <c r="H1285">
        <v>110</v>
      </c>
      <c r="I1285">
        <f>Inventory_Data[[#This Row],[Opening_Stock]]+Inventory_Data[[#This Row],[Units_Received]]-Inventory_Data[[#This Row],[Units_Sold]]</f>
        <v>275</v>
      </c>
      <c r="J1285">
        <v>0</v>
      </c>
      <c r="K1285">
        <v>9</v>
      </c>
      <c r="L1285" t="s">
        <v>77</v>
      </c>
      <c r="M1285" s="3">
        <v>66.760000000000005</v>
      </c>
      <c r="N1285" s="3">
        <v>86.35</v>
      </c>
      <c r="O1285" s="10" t="str">
        <f>TEXT(Inventory_Data[[#This Row],[Date]],"mmm")</f>
        <v>Aug</v>
      </c>
    </row>
    <row r="1286" spans="1:15" x14ac:dyDescent="0.2">
      <c r="A1286" s="21">
        <v>45892</v>
      </c>
      <c r="B1286" s="5" t="s">
        <v>96</v>
      </c>
      <c r="C1286" t="s">
        <v>97</v>
      </c>
      <c r="D1286" t="s">
        <v>48</v>
      </c>
      <c r="E1286" t="s">
        <v>21</v>
      </c>
      <c r="F1286">
        <v>206</v>
      </c>
      <c r="G1286">
        <v>138</v>
      </c>
      <c r="H1286">
        <v>18</v>
      </c>
      <c r="I1286">
        <f>Inventory_Data[[#This Row],[Opening_Stock]]+Inventory_Data[[#This Row],[Units_Received]]-Inventory_Data[[#This Row],[Units_Sold]]</f>
        <v>326</v>
      </c>
      <c r="J1286">
        <v>0</v>
      </c>
      <c r="K1286">
        <v>11</v>
      </c>
      <c r="L1286" t="s">
        <v>49</v>
      </c>
      <c r="M1286" s="3">
        <v>23.16</v>
      </c>
      <c r="N1286" s="3">
        <v>27.19</v>
      </c>
      <c r="O1286" s="10" t="str">
        <f>TEXT(Inventory_Data[[#This Row],[Date]],"mmm")</f>
        <v>Aug</v>
      </c>
    </row>
    <row r="1287" spans="1:15" x14ac:dyDescent="0.2">
      <c r="A1287" s="21">
        <v>45892</v>
      </c>
      <c r="B1287" s="5" t="s">
        <v>156</v>
      </c>
      <c r="C1287" t="s">
        <v>157</v>
      </c>
      <c r="D1287" t="s">
        <v>27</v>
      </c>
      <c r="E1287" t="s">
        <v>28</v>
      </c>
      <c r="F1287">
        <v>343</v>
      </c>
      <c r="G1287">
        <v>68</v>
      </c>
      <c r="H1287">
        <v>114</v>
      </c>
      <c r="I1287">
        <f>Inventory_Data[[#This Row],[Opening_Stock]]+Inventory_Data[[#This Row],[Units_Received]]-Inventory_Data[[#This Row],[Units_Sold]]</f>
        <v>297</v>
      </c>
      <c r="J1287">
        <v>0</v>
      </c>
      <c r="K1287">
        <v>1</v>
      </c>
      <c r="L1287" t="s">
        <v>80</v>
      </c>
      <c r="M1287" s="3">
        <v>17.8</v>
      </c>
      <c r="N1287" s="3">
        <v>26.97</v>
      </c>
      <c r="O1287" s="10" t="str">
        <f>TEXT(Inventory_Data[[#This Row],[Date]],"mmm")</f>
        <v>Aug</v>
      </c>
    </row>
    <row r="1288" spans="1:15" x14ac:dyDescent="0.2">
      <c r="A1288" s="21">
        <v>45892</v>
      </c>
      <c r="B1288" s="5" t="s">
        <v>59</v>
      </c>
      <c r="C1288" t="s">
        <v>60</v>
      </c>
      <c r="D1288" t="s">
        <v>34</v>
      </c>
      <c r="E1288" t="s">
        <v>17</v>
      </c>
      <c r="F1288">
        <v>227</v>
      </c>
      <c r="G1288">
        <v>216</v>
      </c>
      <c r="H1288">
        <v>29</v>
      </c>
      <c r="I1288">
        <f>Inventory_Data[[#This Row],[Opening_Stock]]+Inventory_Data[[#This Row],[Units_Received]]-Inventory_Data[[#This Row],[Units_Sold]]</f>
        <v>414</v>
      </c>
      <c r="J1288">
        <v>0</v>
      </c>
      <c r="K1288">
        <v>3</v>
      </c>
      <c r="L1288" t="s">
        <v>39</v>
      </c>
      <c r="M1288" s="3">
        <v>26.28</v>
      </c>
      <c r="N1288" s="3">
        <v>31.86</v>
      </c>
      <c r="O1288" s="10" t="str">
        <f>TEXT(Inventory_Data[[#This Row],[Date]],"mmm")</f>
        <v>Aug</v>
      </c>
    </row>
    <row r="1289" spans="1:15" x14ac:dyDescent="0.2">
      <c r="A1289" s="21">
        <v>45893</v>
      </c>
      <c r="B1289" s="5" t="s">
        <v>14</v>
      </c>
      <c r="C1289" t="s">
        <v>15</v>
      </c>
      <c r="D1289" t="s">
        <v>16</v>
      </c>
      <c r="E1289" t="s">
        <v>35</v>
      </c>
      <c r="F1289">
        <v>48</v>
      </c>
      <c r="G1289">
        <v>79</v>
      </c>
      <c r="H1289">
        <v>21</v>
      </c>
      <c r="I1289">
        <f>Inventory_Data[[#This Row],[Opening_Stock]]+Inventory_Data[[#This Row],[Units_Received]]-Inventory_Data[[#This Row],[Units_Sold]]</f>
        <v>106</v>
      </c>
      <c r="J1289">
        <v>0</v>
      </c>
      <c r="K1289">
        <v>2</v>
      </c>
      <c r="L1289" t="s">
        <v>24</v>
      </c>
      <c r="M1289" s="3">
        <v>45.22</v>
      </c>
      <c r="N1289" s="3">
        <v>64.81</v>
      </c>
      <c r="O1289" s="10" t="str">
        <f>TEXT(Inventory_Data[[#This Row],[Date]],"mmm")</f>
        <v>Aug</v>
      </c>
    </row>
    <row r="1290" spans="1:15" x14ac:dyDescent="0.2">
      <c r="A1290" s="21">
        <v>45893</v>
      </c>
      <c r="B1290" s="5" t="s">
        <v>184</v>
      </c>
      <c r="C1290" t="s">
        <v>185</v>
      </c>
      <c r="D1290" t="s">
        <v>16</v>
      </c>
      <c r="E1290" t="s">
        <v>17</v>
      </c>
      <c r="F1290">
        <v>26</v>
      </c>
      <c r="G1290">
        <v>83</v>
      </c>
      <c r="H1290">
        <v>43</v>
      </c>
      <c r="I1290">
        <f>Inventory_Data[[#This Row],[Opening_Stock]]+Inventory_Data[[#This Row],[Units_Received]]-Inventory_Data[[#This Row],[Units_Sold]]</f>
        <v>66</v>
      </c>
      <c r="J1290">
        <v>0</v>
      </c>
      <c r="K1290">
        <v>14</v>
      </c>
      <c r="L1290" t="s">
        <v>24</v>
      </c>
      <c r="M1290" s="3">
        <v>52.84</v>
      </c>
      <c r="N1290" s="3">
        <v>67.010000000000005</v>
      </c>
      <c r="O1290" s="10" t="str">
        <f>TEXT(Inventory_Data[[#This Row],[Date]],"mmm")</f>
        <v>Aug</v>
      </c>
    </row>
    <row r="1291" spans="1:15" x14ac:dyDescent="0.2">
      <c r="A1291" s="21">
        <v>45893</v>
      </c>
      <c r="B1291" s="5" t="s">
        <v>192</v>
      </c>
      <c r="C1291" t="s">
        <v>193</v>
      </c>
      <c r="D1291" t="s">
        <v>48</v>
      </c>
      <c r="E1291" t="s">
        <v>17</v>
      </c>
      <c r="F1291">
        <v>133</v>
      </c>
      <c r="G1291">
        <v>45</v>
      </c>
      <c r="H1291">
        <v>55</v>
      </c>
      <c r="I1291">
        <f>Inventory_Data[[#This Row],[Opening_Stock]]+Inventory_Data[[#This Row],[Units_Received]]-Inventory_Data[[#This Row],[Units_Sold]]</f>
        <v>123</v>
      </c>
      <c r="J1291">
        <v>0</v>
      </c>
      <c r="K1291">
        <v>7</v>
      </c>
      <c r="L1291" t="s">
        <v>49</v>
      </c>
      <c r="M1291" s="3">
        <v>75.58</v>
      </c>
      <c r="N1291" s="3">
        <v>108.79</v>
      </c>
      <c r="O1291" s="10" t="str">
        <f>TEXT(Inventory_Data[[#This Row],[Date]],"mmm")</f>
        <v>Aug</v>
      </c>
    </row>
    <row r="1292" spans="1:15" x14ac:dyDescent="0.2">
      <c r="A1292" s="21">
        <v>45893</v>
      </c>
      <c r="B1292" s="5" t="s">
        <v>75</v>
      </c>
      <c r="C1292" t="s">
        <v>76</v>
      </c>
      <c r="D1292" t="s">
        <v>48</v>
      </c>
      <c r="E1292" t="s">
        <v>17</v>
      </c>
      <c r="F1292">
        <v>170</v>
      </c>
      <c r="G1292">
        <v>132</v>
      </c>
      <c r="H1292">
        <v>53</v>
      </c>
      <c r="I1292">
        <f>Inventory_Data[[#This Row],[Opening_Stock]]+Inventory_Data[[#This Row],[Units_Received]]-Inventory_Data[[#This Row],[Units_Sold]]</f>
        <v>249</v>
      </c>
      <c r="J1292">
        <v>0</v>
      </c>
      <c r="K1292">
        <v>13</v>
      </c>
      <c r="L1292" t="s">
        <v>63</v>
      </c>
      <c r="M1292" s="3">
        <v>80.42</v>
      </c>
      <c r="N1292" s="3">
        <v>122.98</v>
      </c>
      <c r="O1292" s="10" t="str">
        <f>TEXT(Inventory_Data[[#This Row],[Date]],"mmm")</f>
        <v>Aug</v>
      </c>
    </row>
    <row r="1293" spans="1:15" x14ac:dyDescent="0.2">
      <c r="A1293" s="21">
        <v>45893</v>
      </c>
      <c r="B1293" s="5" t="s">
        <v>90</v>
      </c>
      <c r="C1293" t="s">
        <v>91</v>
      </c>
      <c r="D1293" t="s">
        <v>48</v>
      </c>
      <c r="E1293" t="s">
        <v>28</v>
      </c>
      <c r="F1293">
        <v>293</v>
      </c>
      <c r="G1293">
        <v>140</v>
      </c>
      <c r="H1293">
        <v>41</v>
      </c>
      <c r="I1293">
        <f>Inventory_Data[[#This Row],[Opening_Stock]]+Inventory_Data[[#This Row],[Units_Received]]-Inventory_Data[[#This Row],[Units_Sold]]</f>
        <v>392</v>
      </c>
      <c r="J1293">
        <v>0</v>
      </c>
      <c r="K1293">
        <v>6</v>
      </c>
      <c r="L1293" t="s">
        <v>49</v>
      </c>
      <c r="M1293" s="3">
        <v>13.03</v>
      </c>
      <c r="N1293" s="3">
        <v>17.72</v>
      </c>
      <c r="O1293" s="10" t="str">
        <f>TEXT(Inventory_Data[[#This Row],[Date]],"mmm")</f>
        <v>Aug</v>
      </c>
    </row>
    <row r="1294" spans="1:15" x14ac:dyDescent="0.2">
      <c r="A1294" s="21">
        <v>45893</v>
      </c>
      <c r="B1294" s="5" t="s">
        <v>160</v>
      </c>
      <c r="C1294" t="s">
        <v>161</v>
      </c>
      <c r="D1294" t="s">
        <v>27</v>
      </c>
      <c r="E1294" t="s">
        <v>28</v>
      </c>
      <c r="F1294">
        <v>105</v>
      </c>
      <c r="G1294">
        <v>237</v>
      </c>
      <c r="H1294">
        <v>188</v>
      </c>
      <c r="I1294">
        <f>Inventory_Data[[#This Row],[Opening_Stock]]+Inventory_Data[[#This Row],[Units_Received]]-Inventory_Data[[#This Row],[Units_Sold]]</f>
        <v>154</v>
      </c>
      <c r="J1294">
        <v>0</v>
      </c>
      <c r="K1294">
        <v>1</v>
      </c>
      <c r="L1294" t="s">
        <v>80</v>
      </c>
      <c r="M1294" s="3">
        <v>20.84</v>
      </c>
      <c r="N1294" s="3">
        <v>28.44</v>
      </c>
      <c r="O1294" s="10" t="str">
        <f>TEXT(Inventory_Data[[#This Row],[Date]],"mmm")</f>
        <v>Aug</v>
      </c>
    </row>
    <row r="1295" spans="1:15" x14ac:dyDescent="0.2">
      <c r="A1295" s="21">
        <v>45893</v>
      </c>
      <c r="B1295" s="5" t="s">
        <v>150</v>
      </c>
      <c r="C1295" t="s">
        <v>151</v>
      </c>
      <c r="D1295" t="s">
        <v>52</v>
      </c>
      <c r="E1295" t="s">
        <v>17</v>
      </c>
      <c r="F1295">
        <v>60</v>
      </c>
      <c r="G1295">
        <v>12</v>
      </c>
      <c r="H1295">
        <v>3</v>
      </c>
      <c r="I1295">
        <f>Inventory_Data[[#This Row],[Opening_Stock]]+Inventory_Data[[#This Row],[Units_Received]]-Inventory_Data[[#This Row],[Units_Sold]]</f>
        <v>69</v>
      </c>
      <c r="J1295">
        <v>0</v>
      </c>
      <c r="K1295">
        <v>9</v>
      </c>
      <c r="L1295" t="s">
        <v>53</v>
      </c>
      <c r="M1295" s="3">
        <v>124.27</v>
      </c>
      <c r="N1295" s="3">
        <v>158.88999999999999</v>
      </c>
      <c r="O1295" s="10" t="str">
        <f>TEXT(Inventory_Data[[#This Row],[Date]],"mmm")</f>
        <v>Aug</v>
      </c>
    </row>
    <row r="1296" spans="1:15" x14ac:dyDescent="0.2">
      <c r="A1296" s="21">
        <v>45893</v>
      </c>
      <c r="B1296" s="5" t="s">
        <v>102</v>
      </c>
      <c r="C1296" t="s">
        <v>103</v>
      </c>
      <c r="D1296" t="s">
        <v>52</v>
      </c>
      <c r="E1296" t="s">
        <v>28</v>
      </c>
      <c r="F1296">
        <v>51</v>
      </c>
      <c r="G1296">
        <v>23</v>
      </c>
      <c r="H1296">
        <v>7</v>
      </c>
      <c r="I1296">
        <f>Inventory_Data[[#This Row],[Opening_Stock]]+Inventory_Data[[#This Row],[Units_Received]]-Inventory_Data[[#This Row],[Units_Sold]]</f>
        <v>67</v>
      </c>
      <c r="J1296">
        <v>0</v>
      </c>
      <c r="K1296">
        <v>11</v>
      </c>
      <c r="L1296" t="s">
        <v>56</v>
      </c>
      <c r="M1296" s="3">
        <v>219.29</v>
      </c>
      <c r="N1296" s="3">
        <v>310.49</v>
      </c>
      <c r="O1296" s="10" t="str">
        <f>TEXT(Inventory_Data[[#This Row],[Date]],"mmm")</f>
        <v>Aug</v>
      </c>
    </row>
    <row r="1297" spans="1:15" x14ac:dyDescent="0.2">
      <c r="A1297" s="21">
        <v>45894</v>
      </c>
      <c r="B1297" s="5" t="s">
        <v>184</v>
      </c>
      <c r="C1297" t="s">
        <v>185</v>
      </c>
      <c r="D1297" t="s">
        <v>16</v>
      </c>
      <c r="E1297" t="s">
        <v>35</v>
      </c>
      <c r="F1297">
        <v>115</v>
      </c>
      <c r="G1297">
        <v>17</v>
      </c>
      <c r="H1297">
        <v>68</v>
      </c>
      <c r="I1297">
        <f>Inventory_Data[[#This Row],[Opening_Stock]]+Inventory_Data[[#This Row],[Units_Received]]-Inventory_Data[[#This Row],[Units_Sold]]</f>
        <v>64</v>
      </c>
      <c r="J1297">
        <v>0</v>
      </c>
      <c r="K1297">
        <v>11</v>
      </c>
      <c r="L1297" t="s">
        <v>45</v>
      </c>
      <c r="M1297" s="3">
        <v>19.29</v>
      </c>
      <c r="N1297" s="3">
        <v>22.82</v>
      </c>
      <c r="O1297" s="10" t="str">
        <f>TEXT(Inventory_Data[[#This Row],[Date]],"mmm")</f>
        <v>Aug</v>
      </c>
    </row>
    <row r="1298" spans="1:15" x14ac:dyDescent="0.2">
      <c r="A1298" s="21">
        <v>45894</v>
      </c>
      <c r="B1298" s="5" t="s">
        <v>25</v>
      </c>
      <c r="C1298" t="s">
        <v>26</v>
      </c>
      <c r="D1298" t="s">
        <v>27</v>
      </c>
      <c r="E1298" t="s">
        <v>17</v>
      </c>
      <c r="F1298">
        <v>464</v>
      </c>
      <c r="G1298">
        <v>182</v>
      </c>
      <c r="H1298">
        <v>36</v>
      </c>
      <c r="I1298">
        <f>Inventory_Data[[#This Row],[Opening_Stock]]+Inventory_Data[[#This Row],[Units_Received]]-Inventory_Data[[#This Row],[Units_Sold]]</f>
        <v>610</v>
      </c>
      <c r="J1298">
        <v>0</v>
      </c>
      <c r="K1298">
        <v>2</v>
      </c>
      <c r="L1298" t="s">
        <v>66</v>
      </c>
      <c r="M1298" s="3">
        <v>7.45</v>
      </c>
      <c r="N1298" s="3">
        <v>11.39</v>
      </c>
      <c r="O1298" s="10" t="str">
        <f>TEXT(Inventory_Data[[#This Row],[Date]],"mmm")</f>
        <v>Aug</v>
      </c>
    </row>
    <row r="1299" spans="1:15" x14ac:dyDescent="0.2">
      <c r="A1299" s="21">
        <v>45894</v>
      </c>
      <c r="B1299" s="5" t="s">
        <v>122</v>
      </c>
      <c r="C1299" t="s">
        <v>123</v>
      </c>
      <c r="D1299" t="s">
        <v>27</v>
      </c>
      <c r="E1299" t="s">
        <v>35</v>
      </c>
      <c r="F1299">
        <v>270</v>
      </c>
      <c r="G1299">
        <v>162</v>
      </c>
      <c r="H1299">
        <v>203</v>
      </c>
      <c r="I1299">
        <f>Inventory_Data[[#This Row],[Opening_Stock]]+Inventory_Data[[#This Row],[Units_Received]]-Inventory_Data[[#This Row],[Units_Sold]]</f>
        <v>229</v>
      </c>
      <c r="J1299">
        <v>0</v>
      </c>
      <c r="K1299">
        <v>3</v>
      </c>
      <c r="L1299" t="s">
        <v>66</v>
      </c>
      <c r="M1299" s="3">
        <v>9.3800000000000008</v>
      </c>
      <c r="N1299" s="3">
        <v>11.73</v>
      </c>
      <c r="O1299" s="10" t="str">
        <f>TEXT(Inventory_Data[[#This Row],[Date]],"mmm")</f>
        <v>Aug</v>
      </c>
    </row>
    <row r="1300" spans="1:15" x14ac:dyDescent="0.2">
      <c r="A1300" s="21">
        <v>45894</v>
      </c>
      <c r="B1300" s="5" t="s">
        <v>134</v>
      </c>
      <c r="C1300" t="s">
        <v>135</v>
      </c>
      <c r="D1300" t="s">
        <v>27</v>
      </c>
      <c r="E1300" t="s">
        <v>17</v>
      </c>
      <c r="F1300">
        <v>445</v>
      </c>
      <c r="G1300">
        <v>58</v>
      </c>
      <c r="H1300">
        <v>51</v>
      </c>
      <c r="I1300">
        <f>Inventory_Data[[#This Row],[Opening_Stock]]+Inventory_Data[[#This Row],[Units_Received]]-Inventory_Data[[#This Row],[Units_Sold]]</f>
        <v>452</v>
      </c>
      <c r="J1300">
        <v>0</v>
      </c>
      <c r="K1300">
        <v>1</v>
      </c>
      <c r="L1300" t="s">
        <v>29</v>
      </c>
      <c r="M1300" s="3">
        <v>20.48</v>
      </c>
      <c r="N1300" s="3">
        <v>27.69</v>
      </c>
      <c r="O1300" s="10" t="str">
        <f>TEXT(Inventory_Data[[#This Row],[Date]],"mmm")</f>
        <v>Aug</v>
      </c>
    </row>
    <row r="1301" spans="1:15" x14ac:dyDescent="0.2">
      <c r="A1301" s="21">
        <v>45894</v>
      </c>
      <c r="B1301" s="5" t="s">
        <v>64</v>
      </c>
      <c r="C1301" t="s">
        <v>65</v>
      </c>
      <c r="D1301" t="s">
        <v>27</v>
      </c>
      <c r="E1301" t="s">
        <v>17</v>
      </c>
      <c r="F1301">
        <v>245</v>
      </c>
      <c r="G1301">
        <v>222</v>
      </c>
      <c r="H1301">
        <v>47</v>
      </c>
      <c r="I1301">
        <f>Inventory_Data[[#This Row],[Opening_Stock]]+Inventory_Data[[#This Row],[Units_Received]]-Inventory_Data[[#This Row],[Units_Sold]]</f>
        <v>420</v>
      </c>
      <c r="J1301">
        <v>0</v>
      </c>
      <c r="K1301">
        <v>2</v>
      </c>
      <c r="L1301" t="s">
        <v>66</v>
      </c>
      <c r="M1301" s="3">
        <v>5.23</v>
      </c>
      <c r="N1301" s="3">
        <v>6.83</v>
      </c>
      <c r="O1301" s="10" t="str">
        <f>TEXT(Inventory_Data[[#This Row],[Date]],"mmm")</f>
        <v>Aug</v>
      </c>
    </row>
    <row r="1302" spans="1:15" x14ac:dyDescent="0.2">
      <c r="A1302" s="21">
        <v>45894</v>
      </c>
      <c r="B1302" s="5" t="s">
        <v>57</v>
      </c>
      <c r="C1302" t="s">
        <v>58</v>
      </c>
      <c r="D1302" t="s">
        <v>52</v>
      </c>
      <c r="E1302" t="s">
        <v>21</v>
      </c>
      <c r="F1302">
        <v>21</v>
      </c>
      <c r="G1302">
        <v>13</v>
      </c>
      <c r="H1302">
        <v>11</v>
      </c>
      <c r="I1302">
        <f>Inventory_Data[[#This Row],[Opening_Stock]]+Inventory_Data[[#This Row],[Units_Received]]-Inventory_Data[[#This Row],[Units_Sold]]</f>
        <v>23</v>
      </c>
      <c r="J1302">
        <v>0</v>
      </c>
      <c r="K1302">
        <v>2</v>
      </c>
      <c r="L1302" t="s">
        <v>83</v>
      </c>
      <c r="M1302" s="3">
        <v>170.07</v>
      </c>
      <c r="N1302" s="3">
        <v>233.04</v>
      </c>
      <c r="O1302" s="10" t="str">
        <f>TEXT(Inventory_Data[[#This Row],[Date]],"mmm")</f>
        <v>Aug</v>
      </c>
    </row>
    <row r="1303" spans="1:15" x14ac:dyDescent="0.2">
      <c r="A1303" s="21">
        <v>45894</v>
      </c>
      <c r="B1303" s="5" t="s">
        <v>194</v>
      </c>
      <c r="C1303" t="s">
        <v>195</v>
      </c>
      <c r="D1303" t="s">
        <v>34</v>
      </c>
      <c r="E1303" t="s">
        <v>28</v>
      </c>
      <c r="F1303">
        <v>190</v>
      </c>
      <c r="G1303">
        <v>131</v>
      </c>
      <c r="H1303">
        <v>109</v>
      </c>
      <c r="I1303">
        <f>Inventory_Data[[#This Row],[Opening_Stock]]+Inventory_Data[[#This Row],[Units_Received]]-Inventory_Data[[#This Row],[Units_Sold]]</f>
        <v>212</v>
      </c>
      <c r="J1303">
        <v>0</v>
      </c>
      <c r="K1303">
        <v>13</v>
      </c>
      <c r="L1303" t="s">
        <v>42</v>
      </c>
      <c r="M1303" s="3">
        <v>29.99</v>
      </c>
      <c r="N1303" s="3">
        <v>37.42</v>
      </c>
      <c r="O1303" s="10" t="str">
        <f>TEXT(Inventory_Data[[#This Row],[Date]],"mmm")</f>
        <v>Aug</v>
      </c>
    </row>
    <row r="1304" spans="1:15" x14ac:dyDescent="0.2">
      <c r="A1304" s="21">
        <v>45894</v>
      </c>
      <c r="B1304" s="5" t="s">
        <v>196</v>
      </c>
      <c r="C1304" t="s">
        <v>197</v>
      </c>
      <c r="D1304" t="s">
        <v>34</v>
      </c>
      <c r="E1304" t="s">
        <v>35</v>
      </c>
      <c r="F1304">
        <v>399</v>
      </c>
      <c r="G1304">
        <v>77</v>
      </c>
      <c r="H1304">
        <v>132</v>
      </c>
      <c r="I1304">
        <f>Inventory_Data[[#This Row],[Opening_Stock]]+Inventory_Data[[#This Row],[Units_Received]]-Inventory_Data[[#This Row],[Units_Sold]]</f>
        <v>344</v>
      </c>
      <c r="J1304">
        <v>0</v>
      </c>
      <c r="K1304">
        <v>7</v>
      </c>
      <c r="L1304" t="s">
        <v>36</v>
      </c>
      <c r="M1304" s="3">
        <v>21.74</v>
      </c>
      <c r="N1304" s="3">
        <v>26.49</v>
      </c>
      <c r="O1304" s="10" t="str">
        <f>TEXT(Inventory_Data[[#This Row],[Date]],"mmm")</f>
        <v>Aug</v>
      </c>
    </row>
    <row r="1305" spans="1:15" x14ac:dyDescent="0.2">
      <c r="A1305" s="21">
        <v>45895</v>
      </c>
      <c r="B1305" s="5" t="s">
        <v>122</v>
      </c>
      <c r="C1305" t="s">
        <v>123</v>
      </c>
      <c r="D1305" t="s">
        <v>27</v>
      </c>
      <c r="E1305" t="s">
        <v>21</v>
      </c>
      <c r="F1305">
        <v>90</v>
      </c>
      <c r="G1305">
        <v>142</v>
      </c>
      <c r="H1305">
        <v>117</v>
      </c>
      <c r="I1305">
        <f>Inventory_Data[[#This Row],[Opening_Stock]]+Inventory_Data[[#This Row],[Units_Received]]-Inventory_Data[[#This Row],[Units_Sold]]</f>
        <v>115</v>
      </c>
      <c r="J1305">
        <v>0</v>
      </c>
      <c r="K1305">
        <v>2</v>
      </c>
      <c r="L1305" t="s">
        <v>29</v>
      </c>
      <c r="M1305" s="3">
        <v>5.55</v>
      </c>
      <c r="N1305" s="3">
        <v>7.77</v>
      </c>
      <c r="O1305" s="10" t="str">
        <f>TEXT(Inventory_Data[[#This Row],[Date]],"mmm")</f>
        <v>Aug</v>
      </c>
    </row>
    <row r="1306" spans="1:15" x14ac:dyDescent="0.2">
      <c r="A1306" s="21">
        <v>45895</v>
      </c>
      <c r="B1306" s="5" t="s">
        <v>156</v>
      </c>
      <c r="C1306" t="s">
        <v>157</v>
      </c>
      <c r="D1306" t="s">
        <v>27</v>
      </c>
      <c r="E1306" t="s">
        <v>21</v>
      </c>
      <c r="F1306">
        <v>467</v>
      </c>
      <c r="G1306">
        <v>205</v>
      </c>
      <c r="H1306">
        <v>174</v>
      </c>
      <c r="I1306">
        <f>Inventory_Data[[#This Row],[Opening_Stock]]+Inventory_Data[[#This Row],[Units_Received]]-Inventory_Data[[#This Row],[Units_Sold]]</f>
        <v>498</v>
      </c>
      <c r="J1306">
        <v>0</v>
      </c>
      <c r="K1306">
        <v>1</v>
      </c>
      <c r="L1306" t="s">
        <v>66</v>
      </c>
      <c r="M1306" s="3">
        <v>7.52</v>
      </c>
      <c r="N1306" s="3">
        <v>10.78</v>
      </c>
      <c r="O1306" s="10" t="str">
        <f>TEXT(Inventory_Data[[#This Row],[Date]],"mmm")</f>
        <v>Aug</v>
      </c>
    </row>
    <row r="1307" spans="1:15" x14ac:dyDescent="0.2">
      <c r="A1307" s="21">
        <v>45895</v>
      </c>
      <c r="B1307" s="5" t="s">
        <v>78</v>
      </c>
      <c r="C1307" t="s">
        <v>79</v>
      </c>
      <c r="D1307" t="s">
        <v>27</v>
      </c>
      <c r="E1307" t="s">
        <v>21</v>
      </c>
      <c r="F1307">
        <v>383</v>
      </c>
      <c r="G1307">
        <v>142</v>
      </c>
      <c r="H1307">
        <v>75</v>
      </c>
      <c r="I1307">
        <f>Inventory_Data[[#This Row],[Opening_Stock]]+Inventory_Data[[#This Row],[Units_Received]]-Inventory_Data[[#This Row],[Units_Sold]]</f>
        <v>450</v>
      </c>
      <c r="J1307">
        <v>0</v>
      </c>
      <c r="K1307">
        <v>4</v>
      </c>
      <c r="L1307" t="s">
        <v>80</v>
      </c>
      <c r="M1307" s="3">
        <v>2.75</v>
      </c>
      <c r="N1307" s="3">
        <v>3.98</v>
      </c>
      <c r="O1307" s="10" t="str">
        <f>TEXT(Inventory_Data[[#This Row],[Date]],"mmm")</f>
        <v>Aug</v>
      </c>
    </row>
    <row r="1308" spans="1:15" x14ac:dyDescent="0.2">
      <c r="A1308" s="21">
        <v>45895</v>
      </c>
      <c r="B1308" s="5" t="s">
        <v>142</v>
      </c>
      <c r="C1308" t="s">
        <v>143</v>
      </c>
      <c r="D1308" t="s">
        <v>52</v>
      </c>
      <c r="E1308" t="s">
        <v>21</v>
      </c>
      <c r="F1308">
        <v>50</v>
      </c>
      <c r="G1308">
        <v>6</v>
      </c>
      <c r="H1308">
        <v>13</v>
      </c>
      <c r="I1308">
        <f>Inventory_Data[[#This Row],[Opening_Stock]]+Inventory_Data[[#This Row],[Units_Received]]-Inventory_Data[[#This Row],[Units_Sold]]</f>
        <v>43</v>
      </c>
      <c r="J1308">
        <v>0</v>
      </c>
      <c r="K1308">
        <v>8</v>
      </c>
      <c r="L1308" t="s">
        <v>83</v>
      </c>
      <c r="M1308" s="3">
        <v>223.13</v>
      </c>
      <c r="N1308" s="3">
        <v>336.57</v>
      </c>
      <c r="O1308" s="10" t="str">
        <f>TEXT(Inventory_Data[[#This Row],[Date]],"mmm")</f>
        <v>Aug</v>
      </c>
    </row>
    <row r="1309" spans="1:15" x14ac:dyDescent="0.2">
      <c r="A1309" s="21">
        <v>45896</v>
      </c>
      <c r="B1309" s="5" t="s">
        <v>71</v>
      </c>
      <c r="C1309" t="s">
        <v>72</v>
      </c>
      <c r="D1309" t="s">
        <v>16</v>
      </c>
      <c r="E1309" t="s">
        <v>35</v>
      </c>
      <c r="F1309">
        <v>22</v>
      </c>
      <c r="G1309">
        <v>55</v>
      </c>
      <c r="H1309">
        <v>59</v>
      </c>
      <c r="I1309">
        <f>Inventory_Data[[#This Row],[Opening_Stock]]+Inventory_Data[[#This Row],[Units_Received]]-Inventory_Data[[#This Row],[Units_Sold]]</f>
        <v>18</v>
      </c>
      <c r="J1309">
        <v>0</v>
      </c>
      <c r="K1309">
        <v>12</v>
      </c>
      <c r="L1309" t="s">
        <v>24</v>
      </c>
      <c r="M1309" s="3">
        <v>59.63</v>
      </c>
      <c r="N1309" s="3">
        <v>83.39</v>
      </c>
      <c r="O1309" s="10" t="str">
        <f>TEXT(Inventory_Data[[#This Row],[Date]],"mmm")</f>
        <v>Aug</v>
      </c>
    </row>
    <row r="1310" spans="1:15" x14ac:dyDescent="0.2">
      <c r="A1310" s="21">
        <v>45896</v>
      </c>
      <c r="B1310" s="5" t="s">
        <v>162</v>
      </c>
      <c r="C1310" t="s">
        <v>163</v>
      </c>
      <c r="D1310" t="s">
        <v>16</v>
      </c>
      <c r="E1310" t="s">
        <v>21</v>
      </c>
      <c r="F1310">
        <v>144</v>
      </c>
      <c r="G1310">
        <v>39</v>
      </c>
      <c r="H1310">
        <v>12</v>
      </c>
      <c r="I1310">
        <f>Inventory_Data[[#This Row],[Opening_Stock]]+Inventory_Data[[#This Row],[Units_Received]]-Inventory_Data[[#This Row],[Units_Sold]]</f>
        <v>171</v>
      </c>
      <c r="J1310">
        <v>0</v>
      </c>
      <c r="K1310">
        <v>3</v>
      </c>
      <c r="L1310" t="s">
        <v>24</v>
      </c>
      <c r="M1310" s="3">
        <v>48.31</v>
      </c>
      <c r="N1310" s="3">
        <v>74.099999999999994</v>
      </c>
      <c r="O1310" s="10" t="str">
        <f>TEXT(Inventory_Data[[#This Row],[Date]],"mmm")</f>
        <v>Aug</v>
      </c>
    </row>
    <row r="1311" spans="1:15" x14ac:dyDescent="0.2">
      <c r="A1311" s="21">
        <v>45896</v>
      </c>
      <c r="B1311" s="5" t="s">
        <v>14</v>
      </c>
      <c r="C1311" t="s">
        <v>15</v>
      </c>
      <c r="D1311" t="s">
        <v>16</v>
      </c>
      <c r="E1311" t="s">
        <v>21</v>
      </c>
      <c r="F1311">
        <v>54</v>
      </c>
      <c r="G1311">
        <v>15</v>
      </c>
      <c r="H1311">
        <v>16</v>
      </c>
      <c r="I1311">
        <f>Inventory_Data[[#This Row],[Opening_Stock]]+Inventory_Data[[#This Row],[Units_Received]]-Inventory_Data[[#This Row],[Units_Sold]]</f>
        <v>53</v>
      </c>
      <c r="J1311">
        <v>0</v>
      </c>
      <c r="K1311">
        <v>7</v>
      </c>
      <c r="L1311" t="s">
        <v>18</v>
      </c>
      <c r="M1311" s="3">
        <v>119.9</v>
      </c>
      <c r="N1311" s="3">
        <v>161.06</v>
      </c>
      <c r="O1311" s="10" t="str">
        <f>TEXT(Inventory_Data[[#This Row],[Date]],"mmm")</f>
        <v>Aug</v>
      </c>
    </row>
    <row r="1312" spans="1:15" x14ac:dyDescent="0.2">
      <c r="A1312" s="21">
        <v>45896</v>
      </c>
      <c r="B1312" s="5" t="s">
        <v>19</v>
      </c>
      <c r="C1312" t="s">
        <v>20</v>
      </c>
      <c r="D1312" t="s">
        <v>16</v>
      </c>
      <c r="E1312" t="s">
        <v>35</v>
      </c>
      <c r="F1312">
        <v>170</v>
      </c>
      <c r="G1312">
        <v>36</v>
      </c>
      <c r="H1312">
        <v>58</v>
      </c>
      <c r="I1312">
        <f>Inventory_Data[[#This Row],[Opening_Stock]]+Inventory_Data[[#This Row],[Units_Received]]-Inventory_Data[[#This Row],[Units_Sold]]</f>
        <v>148</v>
      </c>
      <c r="J1312">
        <v>0</v>
      </c>
      <c r="K1312">
        <v>11</v>
      </c>
      <c r="L1312" t="s">
        <v>45</v>
      </c>
      <c r="M1312" s="3">
        <v>107.25</v>
      </c>
      <c r="N1312" s="3">
        <v>137.61000000000001</v>
      </c>
      <c r="O1312" s="10" t="str">
        <f>TEXT(Inventory_Data[[#This Row],[Date]],"mmm")</f>
        <v>Aug</v>
      </c>
    </row>
    <row r="1313" spans="1:15" x14ac:dyDescent="0.2">
      <c r="A1313" s="21">
        <v>45896</v>
      </c>
      <c r="B1313" s="5" t="s">
        <v>120</v>
      </c>
      <c r="C1313" t="s">
        <v>121</v>
      </c>
      <c r="D1313" t="s">
        <v>16</v>
      </c>
      <c r="E1313" t="s">
        <v>21</v>
      </c>
      <c r="F1313">
        <v>44</v>
      </c>
      <c r="G1313">
        <v>86</v>
      </c>
      <c r="H1313">
        <v>36</v>
      </c>
      <c r="I1313">
        <f>Inventory_Data[[#This Row],[Opening_Stock]]+Inventory_Data[[#This Row],[Units_Received]]-Inventory_Data[[#This Row],[Units_Sold]]</f>
        <v>94</v>
      </c>
      <c r="J1313">
        <v>0</v>
      </c>
      <c r="K1313">
        <v>12</v>
      </c>
      <c r="L1313" t="s">
        <v>45</v>
      </c>
      <c r="M1313" s="3">
        <v>43.95</v>
      </c>
      <c r="N1313" s="3">
        <v>60.58</v>
      </c>
      <c r="O1313" s="10" t="str">
        <f>TEXT(Inventory_Data[[#This Row],[Date]],"mmm")</f>
        <v>Aug</v>
      </c>
    </row>
    <row r="1314" spans="1:15" x14ac:dyDescent="0.2">
      <c r="A1314" s="21">
        <v>45896</v>
      </c>
      <c r="B1314" s="5" t="s">
        <v>96</v>
      </c>
      <c r="C1314" t="s">
        <v>97</v>
      </c>
      <c r="D1314" t="s">
        <v>48</v>
      </c>
      <c r="E1314" t="s">
        <v>28</v>
      </c>
      <c r="F1314">
        <v>97</v>
      </c>
      <c r="G1314">
        <v>82</v>
      </c>
      <c r="H1314">
        <v>100</v>
      </c>
      <c r="I1314">
        <f>Inventory_Data[[#This Row],[Opening_Stock]]+Inventory_Data[[#This Row],[Units_Received]]-Inventory_Data[[#This Row],[Units_Sold]]</f>
        <v>79</v>
      </c>
      <c r="J1314">
        <v>0</v>
      </c>
      <c r="K1314">
        <v>5</v>
      </c>
      <c r="L1314" t="s">
        <v>49</v>
      </c>
      <c r="M1314" s="3">
        <v>18.739999999999998</v>
      </c>
      <c r="N1314" s="3">
        <v>26.77</v>
      </c>
      <c r="O1314" s="10" t="str">
        <f>TEXT(Inventory_Data[[#This Row],[Date]],"mmm")</f>
        <v>Aug</v>
      </c>
    </row>
    <row r="1315" spans="1:15" x14ac:dyDescent="0.2">
      <c r="A1315" s="21">
        <v>45896</v>
      </c>
      <c r="B1315" s="5" t="s">
        <v>148</v>
      </c>
      <c r="C1315" t="s">
        <v>149</v>
      </c>
      <c r="D1315" t="s">
        <v>27</v>
      </c>
      <c r="E1315" t="s">
        <v>17</v>
      </c>
      <c r="F1315">
        <v>164</v>
      </c>
      <c r="G1315">
        <v>102</v>
      </c>
      <c r="H1315">
        <v>91</v>
      </c>
      <c r="I1315">
        <f>Inventory_Data[[#This Row],[Opening_Stock]]+Inventory_Data[[#This Row],[Units_Received]]-Inventory_Data[[#This Row],[Units_Sold]]</f>
        <v>175</v>
      </c>
      <c r="J1315">
        <v>0</v>
      </c>
      <c r="K1315">
        <v>3</v>
      </c>
      <c r="L1315" t="s">
        <v>66</v>
      </c>
      <c r="M1315" s="3">
        <v>12.4</v>
      </c>
      <c r="N1315" s="3">
        <v>17.690000000000001</v>
      </c>
      <c r="O1315" s="10" t="str">
        <f>TEXT(Inventory_Data[[#This Row],[Date]],"mmm")</f>
        <v>Aug</v>
      </c>
    </row>
    <row r="1316" spans="1:15" x14ac:dyDescent="0.2">
      <c r="A1316" s="21">
        <v>45896</v>
      </c>
      <c r="B1316" s="5" t="s">
        <v>81</v>
      </c>
      <c r="C1316" t="s">
        <v>82</v>
      </c>
      <c r="D1316" t="s">
        <v>52</v>
      </c>
      <c r="E1316" t="s">
        <v>21</v>
      </c>
      <c r="F1316">
        <v>73</v>
      </c>
      <c r="G1316">
        <v>5</v>
      </c>
      <c r="H1316">
        <v>18</v>
      </c>
      <c r="I1316">
        <f>Inventory_Data[[#This Row],[Opening_Stock]]+Inventory_Data[[#This Row],[Units_Received]]-Inventory_Data[[#This Row],[Units_Sold]]</f>
        <v>60</v>
      </c>
      <c r="J1316">
        <v>0</v>
      </c>
      <c r="K1316">
        <v>13</v>
      </c>
      <c r="L1316" t="s">
        <v>56</v>
      </c>
      <c r="M1316" s="3">
        <v>298.68</v>
      </c>
      <c r="N1316" s="3">
        <v>416.85</v>
      </c>
      <c r="O1316" s="10" t="str">
        <f>TEXT(Inventory_Data[[#This Row],[Date]],"mmm")</f>
        <v>Aug</v>
      </c>
    </row>
    <row r="1317" spans="1:15" x14ac:dyDescent="0.2">
      <c r="A1317" s="21">
        <v>45897</v>
      </c>
      <c r="B1317" s="5" t="s">
        <v>132</v>
      </c>
      <c r="C1317" t="s">
        <v>133</v>
      </c>
      <c r="D1317" t="s">
        <v>16</v>
      </c>
      <c r="E1317" t="s">
        <v>35</v>
      </c>
      <c r="F1317">
        <v>98</v>
      </c>
      <c r="G1317">
        <v>19</v>
      </c>
      <c r="H1317">
        <v>25</v>
      </c>
      <c r="I1317">
        <f>Inventory_Data[[#This Row],[Opening_Stock]]+Inventory_Data[[#This Row],[Units_Received]]-Inventory_Data[[#This Row],[Units_Sold]]</f>
        <v>92</v>
      </c>
      <c r="J1317">
        <v>0</v>
      </c>
      <c r="K1317">
        <v>8</v>
      </c>
      <c r="L1317" t="s">
        <v>45</v>
      </c>
      <c r="M1317" s="3">
        <v>121.97</v>
      </c>
      <c r="N1317" s="3">
        <v>149.69999999999999</v>
      </c>
      <c r="O1317" s="10" t="str">
        <f>TEXT(Inventory_Data[[#This Row],[Date]],"mmm")</f>
        <v>Aug</v>
      </c>
    </row>
    <row r="1318" spans="1:15" x14ac:dyDescent="0.2">
      <c r="A1318" s="21">
        <v>45897</v>
      </c>
      <c r="B1318" s="5" t="s">
        <v>116</v>
      </c>
      <c r="C1318" t="s">
        <v>117</v>
      </c>
      <c r="D1318" t="s">
        <v>52</v>
      </c>
      <c r="E1318" t="s">
        <v>35</v>
      </c>
      <c r="F1318">
        <v>49</v>
      </c>
      <c r="G1318">
        <v>15</v>
      </c>
      <c r="H1318">
        <v>1</v>
      </c>
      <c r="I1318">
        <f>Inventory_Data[[#This Row],[Opening_Stock]]+Inventory_Data[[#This Row],[Units_Received]]-Inventory_Data[[#This Row],[Units_Sold]]</f>
        <v>63</v>
      </c>
      <c r="J1318">
        <v>0</v>
      </c>
      <c r="K1318">
        <v>2</v>
      </c>
      <c r="L1318" t="s">
        <v>83</v>
      </c>
      <c r="M1318" s="3">
        <v>100.27</v>
      </c>
      <c r="N1318" s="3">
        <v>149.36000000000001</v>
      </c>
      <c r="O1318" s="10" t="str">
        <f>TEXT(Inventory_Data[[#This Row],[Date]],"mmm")</f>
        <v>Aug</v>
      </c>
    </row>
    <row r="1319" spans="1:15" x14ac:dyDescent="0.2">
      <c r="A1319" s="21">
        <v>45897</v>
      </c>
      <c r="B1319" s="5" t="s">
        <v>176</v>
      </c>
      <c r="C1319" t="s">
        <v>177</v>
      </c>
      <c r="D1319" t="s">
        <v>34</v>
      </c>
      <c r="E1319" t="s">
        <v>17</v>
      </c>
      <c r="F1319">
        <v>291</v>
      </c>
      <c r="G1319">
        <v>128</v>
      </c>
      <c r="H1319">
        <v>95</v>
      </c>
      <c r="I1319">
        <f>Inventory_Data[[#This Row],[Opening_Stock]]+Inventory_Data[[#This Row],[Units_Received]]-Inventory_Data[[#This Row],[Units_Sold]]</f>
        <v>324</v>
      </c>
      <c r="J1319">
        <v>0</v>
      </c>
      <c r="K1319">
        <v>10</v>
      </c>
      <c r="L1319" t="s">
        <v>36</v>
      </c>
      <c r="M1319" s="3">
        <v>29.8</v>
      </c>
      <c r="N1319" s="3">
        <v>43.54</v>
      </c>
      <c r="O1319" s="10" t="str">
        <f>TEXT(Inventory_Data[[#This Row],[Date]],"mmm")</f>
        <v>Aug</v>
      </c>
    </row>
    <row r="1320" spans="1:15" x14ac:dyDescent="0.2">
      <c r="A1320" s="21">
        <v>45897</v>
      </c>
      <c r="B1320" s="5" t="s">
        <v>69</v>
      </c>
      <c r="C1320" t="s">
        <v>70</v>
      </c>
      <c r="D1320" t="s">
        <v>34</v>
      </c>
      <c r="E1320" t="s">
        <v>28</v>
      </c>
      <c r="F1320">
        <v>247</v>
      </c>
      <c r="G1320">
        <v>157</v>
      </c>
      <c r="H1320">
        <v>141</v>
      </c>
      <c r="I1320">
        <f>Inventory_Data[[#This Row],[Opening_Stock]]+Inventory_Data[[#This Row],[Units_Received]]-Inventory_Data[[#This Row],[Units_Sold]]</f>
        <v>263</v>
      </c>
      <c r="J1320">
        <v>0</v>
      </c>
      <c r="K1320">
        <v>2</v>
      </c>
      <c r="L1320" t="s">
        <v>39</v>
      </c>
      <c r="M1320" s="3">
        <v>25.53</v>
      </c>
      <c r="N1320" s="3">
        <v>35.630000000000003</v>
      </c>
      <c r="O1320" s="10" t="str">
        <f>TEXT(Inventory_Data[[#This Row],[Date]],"mmm")</f>
        <v>Aug</v>
      </c>
    </row>
    <row r="1321" spans="1:15" x14ac:dyDescent="0.2">
      <c r="A1321" s="21">
        <v>45898</v>
      </c>
      <c r="B1321" s="5" t="s">
        <v>174</v>
      </c>
      <c r="C1321" t="s">
        <v>175</v>
      </c>
      <c r="D1321" t="s">
        <v>52</v>
      </c>
      <c r="E1321" t="s">
        <v>35</v>
      </c>
      <c r="F1321">
        <v>28</v>
      </c>
      <c r="G1321">
        <v>6</v>
      </c>
      <c r="H1321">
        <v>19</v>
      </c>
      <c r="I1321">
        <f>Inventory_Data[[#This Row],[Opening_Stock]]+Inventory_Data[[#This Row],[Units_Received]]-Inventory_Data[[#This Row],[Units_Sold]]</f>
        <v>15</v>
      </c>
      <c r="J1321">
        <v>0</v>
      </c>
      <c r="K1321">
        <v>12</v>
      </c>
      <c r="L1321" t="s">
        <v>53</v>
      </c>
      <c r="M1321" s="3">
        <v>91.22</v>
      </c>
      <c r="N1321" s="3">
        <v>124</v>
      </c>
      <c r="O1321" s="10" t="str">
        <f>TEXT(Inventory_Data[[#This Row],[Date]],"mmm")</f>
        <v>Aug</v>
      </c>
    </row>
    <row r="1322" spans="1:15" x14ac:dyDescent="0.2">
      <c r="A1322" s="21">
        <v>45898</v>
      </c>
      <c r="B1322" s="5" t="s">
        <v>118</v>
      </c>
      <c r="C1322" t="s">
        <v>119</v>
      </c>
      <c r="D1322" t="s">
        <v>34</v>
      </c>
      <c r="E1322" t="s">
        <v>35</v>
      </c>
      <c r="F1322">
        <v>221</v>
      </c>
      <c r="G1322">
        <v>149</v>
      </c>
      <c r="H1322">
        <v>84</v>
      </c>
      <c r="I1322">
        <f>Inventory_Data[[#This Row],[Opening_Stock]]+Inventory_Data[[#This Row],[Units_Received]]-Inventory_Data[[#This Row],[Units_Sold]]</f>
        <v>286</v>
      </c>
      <c r="J1322">
        <v>0</v>
      </c>
      <c r="K1322">
        <v>13</v>
      </c>
      <c r="L1322" t="s">
        <v>39</v>
      </c>
      <c r="M1322" s="3">
        <v>5.58</v>
      </c>
      <c r="N1322" s="3">
        <v>6.7</v>
      </c>
      <c r="O1322" s="10" t="str">
        <f>TEXT(Inventory_Data[[#This Row],[Date]],"mmm")</f>
        <v>Aug</v>
      </c>
    </row>
    <row r="1323" spans="1:15" x14ac:dyDescent="0.2">
      <c r="A1323" s="21">
        <v>45898</v>
      </c>
      <c r="B1323" s="5" t="s">
        <v>180</v>
      </c>
      <c r="C1323" t="s">
        <v>181</v>
      </c>
      <c r="D1323" t="s">
        <v>34</v>
      </c>
      <c r="E1323" t="s">
        <v>28</v>
      </c>
      <c r="F1323">
        <v>390</v>
      </c>
      <c r="G1323">
        <v>154</v>
      </c>
      <c r="H1323">
        <v>61</v>
      </c>
      <c r="I1323">
        <f>Inventory_Data[[#This Row],[Opening_Stock]]+Inventory_Data[[#This Row],[Units_Received]]-Inventory_Data[[#This Row],[Units_Sold]]</f>
        <v>483</v>
      </c>
      <c r="J1323">
        <v>0</v>
      </c>
      <c r="K1323">
        <v>6</v>
      </c>
      <c r="L1323" t="s">
        <v>39</v>
      </c>
      <c r="M1323" s="3">
        <v>10.23</v>
      </c>
      <c r="N1323" s="3">
        <v>12.75</v>
      </c>
      <c r="O1323" s="10" t="str">
        <f>TEXT(Inventory_Data[[#This Row],[Date]],"mmm")</f>
        <v>Aug</v>
      </c>
    </row>
    <row r="1324" spans="1:15" x14ac:dyDescent="0.2">
      <c r="A1324" s="21">
        <v>45899</v>
      </c>
      <c r="B1324" s="5" t="s">
        <v>152</v>
      </c>
      <c r="C1324" t="s">
        <v>153</v>
      </c>
      <c r="D1324" t="s">
        <v>16</v>
      </c>
      <c r="E1324" t="s">
        <v>17</v>
      </c>
      <c r="F1324">
        <v>81</v>
      </c>
      <c r="G1324">
        <v>10</v>
      </c>
      <c r="H1324">
        <v>53</v>
      </c>
      <c r="I1324">
        <f>Inventory_Data[[#This Row],[Opening_Stock]]+Inventory_Data[[#This Row],[Units_Received]]-Inventory_Data[[#This Row],[Units_Sold]]</f>
        <v>38</v>
      </c>
      <c r="J1324">
        <v>0</v>
      </c>
      <c r="K1324">
        <v>10</v>
      </c>
      <c r="L1324" t="s">
        <v>18</v>
      </c>
      <c r="M1324" s="3">
        <v>97.38</v>
      </c>
      <c r="N1324" s="3">
        <v>138.22999999999999</v>
      </c>
      <c r="O1324" s="10" t="str">
        <f>TEXT(Inventory_Data[[#This Row],[Date]],"mmm")</f>
        <v>Aug</v>
      </c>
    </row>
    <row r="1325" spans="1:15" x14ac:dyDescent="0.2">
      <c r="A1325" s="21">
        <v>45899</v>
      </c>
      <c r="B1325" s="5" t="s">
        <v>14</v>
      </c>
      <c r="C1325" t="s">
        <v>15</v>
      </c>
      <c r="D1325" t="s">
        <v>16</v>
      </c>
      <c r="E1325" t="s">
        <v>35</v>
      </c>
      <c r="F1325">
        <v>170</v>
      </c>
      <c r="G1325">
        <v>75</v>
      </c>
      <c r="H1325">
        <v>6</v>
      </c>
      <c r="I1325">
        <f>Inventory_Data[[#This Row],[Opening_Stock]]+Inventory_Data[[#This Row],[Units_Received]]-Inventory_Data[[#This Row],[Units_Sold]]</f>
        <v>239</v>
      </c>
      <c r="J1325">
        <v>0</v>
      </c>
      <c r="K1325">
        <v>12</v>
      </c>
      <c r="L1325" t="s">
        <v>45</v>
      </c>
      <c r="M1325" s="3">
        <v>64.010000000000005</v>
      </c>
      <c r="N1325" s="3">
        <v>86.66</v>
      </c>
      <c r="O1325" s="10" t="str">
        <f>TEXT(Inventory_Data[[#This Row],[Date]],"mmm")</f>
        <v>Aug</v>
      </c>
    </row>
    <row r="1326" spans="1:15" x14ac:dyDescent="0.2">
      <c r="A1326" s="21">
        <v>45899</v>
      </c>
      <c r="B1326" s="5" t="s">
        <v>19</v>
      </c>
      <c r="C1326" t="s">
        <v>20</v>
      </c>
      <c r="D1326" t="s">
        <v>16</v>
      </c>
      <c r="E1326" t="s">
        <v>17</v>
      </c>
      <c r="F1326">
        <v>36</v>
      </c>
      <c r="G1326">
        <v>72</v>
      </c>
      <c r="H1326">
        <v>40</v>
      </c>
      <c r="I1326">
        <f>Inventory_Data[[#This Row],[Opening_Stock]]+Inventory_Data[[#This Row],[Units_Received]]-Inventory_Data[[#This Row],[Units_Sold]]</f>
        <v>68</v>
      </c>
      <c r="J1326">
        <v>0</v>
      </c>
      <c r="K1326">
        <v>6</v>
      </c>
      <c r="L1326" t="s">
        <v>18</v>
      </c>
      <c r="M1326" s="3">
        <v>32.96</v>
      </c>
      <c r="N1326" s="3">
        <v>39.090000000000003</v>
      </c>
      <c r="O1326" s="10" t="str">
        <f>TEXT(Inventory_Data[[#This Row],[Date]],"mmm")</f>
        <v>Aug</v>
      </c>
    </row>
    <row r="1327" spans="1:15" x14ac:dyDescent="0.2">
      <c r="A1327" s="21">
        <v>45899</v>
      </c>
      <c r="B1327" s="5" t="s">
        <v>192</v>
      </c>
      <c r="C1327" t="s">
        <v>193</v>
      </c>
      <c r="D1327" t="s">
        <v>48</v>
      </c>
      <c r="E1327" t="s">
        <v>21</v>
      </c>
      <c r="F1327">
        <v>284</v>
      </c>
      <c r="G1327">
        <v>142</v>
      </c>
      <c r="H1327">
        <v>109</v>
      </c>
      <c r="I1327">
        <f>Inventory_Data[[#This Row],[Opening_Stock]]+Inventory_Data[[#This Row],[Units_Received]]-Inventory_Data[[#This Row],[Units_Sold]]</f>
        <v>317</v>
      </c>
      <c r="J1327">
        <v>0</v>
      </c>
      <c r="K1327">
        <v>2</v>
      </c>
      <c r="L1327" t="s">
        <v>77</v>
      </c>
      <c r="M1327" s="3">
        <v>82.29</v>
      </c>
      <c r="N1327" s="3">
        <v>95.99</v>
      </c>
      <c r="O1327" s="10" t="str">
        <f>TEXT(Inventory_Data[[#This Row],[Date]],"mmm")</f>
        <v>Aug</v>
      </c>
    </row>
    <row r="1328" spans="1:15" x14ac:dyDescent="0.2">
      <c r="A1328" s="21">
        <v>45899</v>
      </c>
      <c r="B1328" s="5" t="s">
        <v>176</v>
      </c>
      <c r="C1328" t="s">
        <v>177</v>
      </c>
      <c r="D1328" t="s">
        <v>34</v>
      </c>
      <c r="E1328" t="s">
        <v>17</v>
      </c>
      <c r="F1328">
        <v>97</v>
      </c>
      <c r="G1328">
        <v>73</v>
      </c>
      <c r="H1328">
        <v>170</v>
      </c>
      <c r="I1328">
        <f>Inventory_Data[[#This Row],[Opening_Stock]]+Inventory_Data[[#This Row],[Units_Received]]-Inventory_Data[[#This Row],[Units_Sold]]</f>
        <v>0</v>
      </c>
      <c r="J1328">
        <v>1</v>
      </c>
      <c r="K1328">
        <v>12</v>
      </c>
      <c r="L1328" t="s">
        <v>42</v>
      </c>
      <c r="M1328" s="3">
        <v>5.44</v>
      </c>
      <c r="N1328" s="3">
        <v>6.84</v>
      </c>
      <c r="O1328" s="10" t="str">
        <f>TEXT(Inventory_Data[[#This Row],[Date]],"mmm")</f>
        <v>Aug</v>
      </c>
    </row>
    <row r="1329" spans="1:15" x14ac:dyDescent="0.2">
      <c r="A1329" s="21">
        <v>45899</v>
      </c>
      <c r="B1329" s="5" t="s">
        <v>69</v>
      </c>
      <c r="C1329" t="s">
        <v>70</v>
      </c>
      <c r="D1329" t="s">
        <v>34</v>
      </c>
      <c r="E1329" t="s">
        <v>17</v>
      </c>
      <c r="F1329">
        <v>282</v>
      </c>
      <c r="G1329">
        <v>118</v>
      </c>
      <c r="H1329">
        <v>45</v>
      </c>
      <c r="I1329">
        <f>Inventory_Data[[#This Row],[Opening_Stock]]+Inventory_Data[[#This Row],[Units_Received]]-Inventory_Data[[#This Row],[Units_Sold]]</f>
        <v>355</v>
      </c>
      <c r="J1329">
        <v>0</v>
      </c>
      <c r="K1329">
        <v>3</v>
      </c>
      <c r="L1329" t="s">
        <v>42</v>
      </c>
      <c r="M1329" s="3">
        <v>10.53</v>
      </c>
      <c r="N1329" s="3">
        <v>12.34</v>
      </c>
      <c r="O1329" s="10" t="str">
        <f>TEXT(Inventory_Data[[#This Row],[Date]],"mmm")</f>
        <v>Aug</v>
      </c>
    </row>
    <row r="1330" spans="1:15" x14ac:dyDescent="0.2">
      <c r="A1330" s="21">
        <v>45900</v>
      </c>
      <c r="B1330" s="5" t="s">
        <v>166</v>
      </c>
      <c r="C1330" t="s">
        <v>167</v>
      </c>
      <c r="D1330" t="s">
        <v>16</v>
      </c>
      <c r="E1330" t="s">
        <v>28</v>
      </c>
      <c r="F1330">
        <v>147</v>
      </c>
      <c r="G1330">
        <v>31</v>
      </c>
      <c r="H1330">
        <v>21</v>
      </c>
      <c r="I1330">
        <f>Inventory_Data[[#This Row],[Opening_Stock]]+Inventory_Data[[#This Row],[Units_Received]]-Inventory_Data[[#This Row],[Units_Sold]]</f>
        <v>157</v>
      </c>
      <c r="J1330">
        <v>0</v>
      </c>
      <c r="K1330">
        <v>6</v>
      </c>
      <c r="L1330" t="s">
        <v>24</v>
      </c>
      <c r="M1330" s="3">
        <v>180.27</v>
      </c>
      <c r="N1330" s="3">
        <v>268.14999999999998</v>
      </c>
      <c r="O1330" s="10" t="str">
        <f>TEXT(Inventory_Data[[#This Row],[Date]],"mmm")</f>
        <v>Aug</v>
      </c>
    </row>
    <row r="1331" spans="1:15" x14ac:dyDescent="0.2">
      <c r="A1331" s="21">
        <v>45900</v>
      </c>
      <c r="B1331" s="5" t="s">
        <v>166</v>
      </c>
      <c r="C1331" t="s">
        <v>167</v>
      </c>
      <c r="D1331" t="s">
        <v>16</v>
      </c>
      <c r="E1331" t="s">
        <v>28</v>
      </c>
      <c r="F1331">
        <v>176</v>
      </c>
      <c r="G1331">
        <v>46</v>
      </c>
      <c r="H1331">
        <v>47</v>
      </c>
      <c r="I1331">
        <f>Inventory_Data[[#This Row],[Opening_Stock]]+Inventory_Data[[#This Row],[Units_Received]]-Inventory_Data[[#This Row],[Units_Sold]]</f>
        <v>175</v>
      </c>
      <c r="J1331">
        <v>0</v>
      </c>
      <c r="K1331">
        <v>7</v>
      </c>
      <c r="L1331" t="s">
        <v>18</v>
      </c>
      <c r="M1331" s="3">
        <v>150.32</v>
      </c>
      <c r="N1331" s="3">
        <v>223.14</v>
      </c>
      <c r="O1331" s="10" t="str">
        <f>TEXT(Inventory_Data[[#This Row],[Date]],"mmm")</f>
        <v>Aug</v>
      </c>
    </row>
    <row r="1332" spans="1:15" x14ac:dyDescent="0.2">
      <c r="A1332" s="21">
        <v>45900</v>
      </c>
      <c r="B1332" s="5" t="s">
        <v>164</v>
      </c>
      <c r="C1332" t="s">
        <v>165</v>
      </c>
      <c r="D1332" t="s">
        <v>48</v>
      </c>
      <c r="E1332" t="s">
        <v>28</v>
      </c>
      <c r="F1332">
        <v>153</v>
      </c>
      <c r="G1332">
        <v>126</v>
      </c>
      <c r="H1332">
        <v>117</v>
      </c>
      <c r="I1332">
        <f>Inventory_Data[[#This Row],[Opening_Stock]]+Inventory_Data[[#This Row],[Units_Received]]-Inventory_Data[[#This Row],[Units_Sold]]</f>
        <v>162</v>
      </c>
      <c r="J1332">
        <v>0</v>
      </c>
      <c r="K1332">
        <v>3</v>
      </c>
      <c r="L1332" t="s">
        <v>49</v>
      </c>
      <c r="M1332" s="3">
        <v>58.89</v>
      </c>
      <c r="N1332" s="3">
        <v>82.76</v>
      </c>
      <c r="O1332" s="10" t="str">
        <f>TEXT(Inventory_Data[[#This Row],[Date]],"mmm")</f>
        <v>Aug</v>
      </c>
    </row>
    <row r="1333" spans="1:15" x14ac:dyDescent="0.2">
      <c r="A1333" s="21">
        <v>45900</v>
      </c>
      <c r="B1333" s="5" t="s">
        <v>92</v>
      </c>
      <c r="C1333" t="s">
        <v>93</v>
      </c>
      <c r="D1333" t="s">
        <v>27</v>
      </c>
      <c r="E1333" t="s">
        <v>21</v>
      </c>
      <c r="F1333">
        <v>244</v>
      </c>
      <c r="G1333">
        <v>178</v>
      </c>
      <c r="H1333">
        <v>39</v>
      </c>
      <c r="I1333">
        <f>Inventory_Data[[#This Row],[Opening_Stock]]+Inventory_Data[[#This Row],[Units_Received]]-Inventory_Data[[#This Row],[Units_Sold]]</f>
        <v>383</v>
      </c>
      <c r="J1333">
        <v>0</v>
      </c>
      <c r="K1333">
        <v>3</v>
      </c>
      <c r="L1333" t="s">
        <v>80</v>
      </c>
      <c r="M1333" s="3">
        <v>16.91</v>
      </c>
      <c r="N1333" s="3">
        <v>22.01</v>
      </c>
      <c r="O1333" s="10" t="str">
        <f>TEXT(Inventory_Data[[#This Row],[Date]],"mmm")</f>
        <v>Aug</v>
      </c>
    </row>
    <row r="1334" spans="1:15" x14ac:dyDescent="0.2">
      <c r="A1334" s="21">
        <v>45900</v>
      </c>
      <c r="B1334" s="5" t="s">
        <v>188</v>
      </c>
      <c r="C1334" t="s">
        <v>189</v>
      </c>
      <c r="D1334" t="s">
        <v>27</v>
      </c>
      <c r="E1334" t="s">
        <v>28</v>
      </c>
      <c r="F1334">
        <v>115</v>
      </c>
      <c r="G1334">
        <v>199</v>
      </c>
      <c r="H1334">
        <v>64</v>
      </c>
      <c r="I1334">
        <f>Inventory_Data[[#This Row],[Opening_Stock]]+Inventory_Data[[#This Row],[Units_Received]]-Inventory_Data[[#This Row],[Units_Sold]]</f>
        <v>250</v>
      </c>
      <c r="J1334">
        <v>0</v>
      </c>
      <c r="K1334">
        <v>2</v>
      </c>
      <c r="L1334" t="s">
        <v>66</v>
      </c>
      <c r="M1334" s="3">
        <v>7.58</v>
      </c>
      <c r="N1334" s="3">
        <v>9.6999999999999993</v>
      </c>
      <c r="O1334" s="10" t="str">
        <f>TEXT(Inventory_Data[[#This Row],[Date]],"mmm")</f>
        <v>Aug</v>
      </c>
    </row>
    <row r="1335" spans="1:15" x14ac:dyDescent="0.2">
      <c r="A1335" s="21">
        <v>45900</v>
      </c>
      <c r="B1335" s="5" t="s">
        <v>156</v>
      </c>
      <c r="C1335" t="s">
        <v>157</v>
      </c>
      <c r="D1335" t="s">
        <v>27</v>
      </c>
      <c r="E1335" t="s">
        <v>21</v>
      </c>
      <c r="F1335">
        <v>278</v>
      </c>
      <c r="G1335">
        <v>82</v>
      </c>
      <c r="H1335">
        <v>26</v>
      </c>
      <c r="I1335">
        <f>Inventory_Data[[#This Row],[Opening_Stock]]+Inventory_Data[[#This Row],[Units_Received]]-Inventory_Data[[#This Row],[Units_Sold]]</f>
        <v>334</v>
      </c>
      <c r="J1335">
        <v>0</v>
      </c>
      <c r="K1335">
        <v>4</v>
      </c>
      <c r="L1335" t="s">
        <v>66</v>
      </c>
      <c r="M1335" s="3">
        <v>22.13</v>
      </c>
      <c r="N1335" s="3">
        <v>30.89</v>
      </c>
      <c r="O1335" s="10" t="str">
        <f>TEXT(Inventory_Data[[#This Row],[Date]],"mmm")</f>
        <v>Aug</v>
      </c>
    </row>
    <row r="1336" spans="1:15" x14ac:dyDescent="0.2">
      <c r="A1336" s="21">
        <v>45900</v>
      </c>
      <c r="B1336" s="5" t="s">
        <v>168</v>
      </c>
      <c r="C1336" t="s">
        <v>169</v>
      </c>
      <c r="D1336" t="s">
        <v>34</v>
      </c>
      <c r="E1336" t="s">
        <v>17</v>
      </c>
      <c r="F1336">
        <v>165</v>
      </c>
      <c r="G1336">
        <v>94</v>
      </c>
      <c r="H1336">
        <v>136</v>
      </c>
      <c r="I1336">
        <f>Inventory_Data[[#This Row],[Opening_Stock]]+Inventory_Data[[#This Row],[Units_Received]]-Inventory_Data[[#This Row],[Units_Sold]]</f>
        <v>123</v>
      </c>
      <c r="J1336">
        <v>0</v>
      </c>
      <c r="K1336">
        <v>7</v>
      </c>
      <c r="L1336" t="s">
        <v>42</v>
      </c>
      <c r="M1336" s="3">
        <v>11.11</v>
      </c>
      <c r="N1336" s="3">
        <v>16.170000000000002</v>
      </c>
      <c r="O1336" s="10" t="str">
        <f>TEXT(Inventory_Data[[#This Row],[Date]],"mmm")</f>
        <v>Aug</v>
      </c>
    </row>
    <row r="1337" spans="1:15" x14ac:dyDescent="0.2">
      <c r="A1337" s="21">
        <v>45901</v>
      </c>
      <c r="B1337" s="5" t="s">
        <v>61</v>
      </c>
      <c r="C1337" t="s">
        <v>62</v>
      </c>
      <c r="D1337" t="s">
        <v>48</v>
      </c>
      <c r="E1337" t="s">
        <v>21</v>
      </c>
      <c r="F1337">
        <v>242</v>
      </c>
      <c r="G1337">
        <v>88</v>
      </c>
      <c r="H1337">
        <v>66</v>
      </c>
      <c r="I1337">
        <f>Inventory_Data[[#This Row],[Opening_Stock]]+Inventory_Data[[#This Row],[Units_Received]]-Inventory_Data[[#This Row],[Units_Sold]]</f>
        <v>264</v>
      </c>
      <c r="J1337">
        <v>0</v>
      </c>
      <c r="K1337">
        <v>2</v>
      </c>
      <c r="L1337" t="s">
        <v>63</v>
      </c>
      <c r="M1337" s="3">
        <v>84.89</v>
      </c>
      <c r="N1337" s="3">
        <v>128.6</v>
      </c>
      <c r="O1337" s="10" t="str">
        <f>TEXT(Inventory_Data[[#This Row],[Date]],"mmm")</f>
        <v>Sep</v>
      </c>
    </row>
    <row r="1338" spans="1:15" x14ac:dyDescent="0.2">
      <c r="A1338" s="21">
        <v>45901</v>
      </c>
      <c r="B1338" s="5" t="s">
        <v>172</v>
      </c>
      <c r="C1338" t="s">
        <v>173</v>
      </c>
      <c r="D1338" t="s">
        <v>27</v>
      </c>
      <c r="E1338" t="s">
        <v>17</v>
      </c>
      <c r="F1338">
        <v>333</v>
      </c>
      <c r="G1338">
        <v>237</v>
      </c>
      <c r="H1338">
        <v>88</v>
      </c>
      <c r="I1338">
        <f>Inventory_Data[[#This Row],[Opening_Stock]]+Inventory_Data[[#This Row],[Units_Received]]-Inventory_Data[[#This Row],[Units_Sold]]</f>
        <v>482</v>
      </c>
      <c r="J1338">
        <v>0</v>
      </c>
      <c r="K1338">
        <v>6</v>
      </c>
      <c r="L1338" t="s">
        <v>29</v>
      </c>
      <c r="M1338" s="3">
        <v>4.91</v>
      </c>
      <c r="N1338" s="3">
        <v>6.76</v>
      </c>
      <c r="O1338" s="10" t="str">
        <f>TEXT(Inventory_Data[[#This Row],[Date]],"mmm")</f>
        <v>Sep</v>
      </c>
    </row>
    <row r="1339" spans="1:15" x14ac:dyDescent="0.2">
      <c r="A1339" s="21">
        <v>45901</v>
      </c>
      <c r="B1339" s="5" t="s">
        <v>194</v>
      </c>
      <c r="C1339" t="s">
        <v>195</v>
      </c>
      <c r="D1339" t="s">
        <v>34</v>
      </c>
      <c r="E1339" t="s">
        <v>21</v>
      </c>
      <c r="F1339">
        <v>347</v>
      </c>
      <c r="G1339">
        <v>196</v>
      </c>
      <c r="H1339">
        <v>123</v>
      </c>
      <c r="I1339">
        <f>Inventory_Data[[#This Row],[Opening_Stock]]+Inventory_Data[[#This Row],[Units_Received]]-Inventory_Data[[#This Row],[Units_Sold]]</f>
        <v>420</v>
      </c>
      <c r="J1339">
        <v>0</v>
      </c>
      <c r="K1339">
        <v>5</v>
      </c>
      <c r="L1339" t="s">
        <v>42</v>
      </c>
      <c r="M1339" s="3">
        <v>3.48</v>
      </c>
      <c r="N1339" s="3">
        <v>5.25</v>
      </c>
      <c r="O1339" s="10" t="str">
        <f>TEXT(Inventory_Data[[#This Row],[Date]],"mmm")</f>
        <v>Sep</v>
      </c>
    </row>
    <row r="1340" spans="1:15" x14ac:dyDescent="0.2">
      <c r="A1340" s="21">
        <v>45902</v>
      </c>
      <c r="B1340" s="5" t="s">
        <v>126</v>
      </c>
      <c r="C1340" t="s">
        <v>127</v>
      </c>
      <c r="D1340" t="s">
        <v>34</v>
      </c>
      <c r="E1340" t="s">
        <v>17</v>
      </c>
      <c r="F1340">
        <v>84</v>
      </c>
      <c r="G1340">
        <v>157</v>
      </c>
      <c r="H1340">
        <v>114</v>
      </c>
      <c r="I1340">
        <f>Inventory_Data[[#This Row],[Opening_Stock]]+Inventory_Data[[#This Row],[Units_Received]]-Inventory_Data[[#This Row],[Units_Sold]]</f>
        <v>127</v>
      </c>
      <c r="J1340">
        <v>0</v>
      </c>
      <c r="K1340">
        <v>3</v>
      </c>
      <c r="L1340" t="s">
        <v>42</v>
      </c>
      <c r="M1340" s="3">
        <v>6.38</v>
      </c>
      <c r="N1340" s="3">
        <v>8.64</v>
      </c>
      <c r="O1340" s="10" t="str">
        <f>TEXT(Inventory_Data[[#This Row],[Date]],"mmm")</f>
        <v>Sep</v>
      </c>
    </row>
    <row r="1341" spans="1:15" x14ac:dyDescent="0.2">
      <c r="A1341" s="21">
        <v>45903</v>
      </c>
      <c r="B1341" s="5" t="s">
        <v>178</v>
      </c>
      <c r="C1341" t="s">
        <v>179</v>
      </c>
      <c r="D1341" t="s">
        <v>16</v>
      </c>
      <c r="E1341" t="s">
        <v>21</v>
      </c>
      <c r="F1341">
        <v>141</v>
      </c>
      <c r="G1341">
        <v>24</v>
      </c>
      <c r="H1341">
        <v>79</v>
      </c>
      <c r="I1341">
        <f>Inventory_Data[[#This Row],[Opening_Stock]]+Inventory_Data[[#This Row],[Units_Received]]-Inventory_Data[[#This Row],[Units_Sold]]</f>
        <v>86</v>
      </c>
      <c r="J1341">
        <v>0</v>
      </c>
      <c r="K1341">
        <v>13</v>
      </c>
      <c r="L1341" t="s">
        <v>18</v>
      </c>
      <c r="M1341" s="3">
        <v>68.41</v>
      </c>
      <c r="N1341" s="3">
        <v>93.64</v>
      </c>
      <c r="O1341" s="10" t="str">
        <f>TEXT(Inventory_Data[[#This Row],[Date]],"mmm")</f>
        <v>Sep</v>
      </c>
    </row>
    <row r="1342" spans="1:15" x14ac:dyDescent="0.2">
      <c r="A1342" s="21">
        <v>45903</v>
      </c>
      <c r="B1342" s="5" t="s">
        <v>120</v>
      </c>
      <c r="C1342" t="s">
        <v>121</v>
      </c>
      <c r="D1342" t="s">
        <v>16</v>
      </c>
      <c r="E1342" t="s">
        <v>28</v>
      </c>
      <c r="F1342">
        <v>60</v>
      </c>
      <c r="G1342">
        <v>86</v>
      </c>
      <c r="H1342">
        <v>58</v>
      </c>
      <c r="I1342">
        <f>Inventory_Data[[#This Row],[Opening_Stock]]+Inventory_Data[[#This Row],[Units_Received]]-Inventory_Data[[#This Row],[Units_Sold]]</f>
        <v>88</v>
      </c>
      <c r="J1342">
        <v>0</v>
      </c>
      <c r="K1342">
        <v>6</v>
      </c>
      <c r="L1342" t="s">
        <v>18</v>
      </c>
      <c r="M1342" s="3">
        <v>58.26</v>
      </c>
      <c r="N1342" s="3">
        <v>83.04</v>
      </c>
      <c r="O1342" s="10" t="str">
        <f>TEXT(Inventory_Data[[#This Row],[Date]],"mmm")</f>
        <v>Sep</v>
      </c>
    </row>
    <row r="1343" spans="1:15" x14ac:dyDescent="0.2">
      <c r="A1343" s="21">
        <v>45903</v>
      </c>
      <c r="B1343" s="5" t="s">
        <v>108</v>
      </c>
      <c r="C1343" t="s">
        <v>109</v>
      </c>
      <c r="D1343" t="s">
        <v>16</v>
      </c>
      <c r="E1343" t="s">
        <v>28</v>
      </c>
      <c r="F1343">
        <v>104</v>
      </c>
      <c r="G1343">
        <v>75</v>
      </c>
      <c r="H1343">
        <v>10</v>
      </c>
      <c r="I1343">
        <f>Inventory_Data[[#This Row],[Opening_Stock]]+Inventory_Data[[#This Row],[Units_Received]]-Inventory_Data[[#This Row],[Units_Sold]]</f>
        <v>169</v>
      </c>
      <c r="J1343">
        <v>0</v>
      </c>
      <c r="K1343">
        <v>13</v>
      </c>
      <c r="L1343" t="s">
        <v>18</v>
      </c>
      <c r="M1343" s="3">
        <v>120.56</v>
      </c>
      <c r="N1343" s="3">
        <v>146.43</v>
      </c>
      <c r="O1343" s="10" t="str">
        <f>TEXT(Inventory_Data[[#This Row],[Date]],"mmm")</f>
        <v>Sep</v>
      </c>
    </row>
    <row r="1344" spans="1:15" x14ac:dyDescent="0.2">
      <c r="A1344" s="21">
        <v>45903</v>
      </c>
      <c r="B1344" s="5" t="s">
        <v>130</v>
      </c>
      <c r="C1344" t="s">
        <v>131</v>
      </c>
      <c r="D1344" t="s">
        <v>48</v>
      </c>
      <c r="E1344" t="s">
        <v>17</v>
      </c>
      <c r="F1344">
        <v>127</v>
      </c>
      <c r="G1344">
        <v>88</v>
      </c>
      <c r="H1344">
        <v>46</v>
      </c>
      <c r="I1344">
        <f>Inventory_Data[[#This Row],[Opening_Stock]]+Inventory_Data[[#This Row],[Units_Received]]-Inventory_Data[[#This Row],[Units_Sold]]</f>
        <v>169</v>
      </c>
      <c r="J1344">
        <v>0</v>
      </c>
      <c r="K1344">
        <v>14</v>
      </c>
      <c r="L1344" t="s">
        <v>77</v>
      </c>
      <c r="M1344" s="3">
        <v>76.58</v>
      </c>
      <c r="N1344" s="3">
        <v>113.5</v>
      </c>
      <c r="O1344" s="10" t="str">
        <f>TEXT(Inventory_Data[[#This Row],[Date]],"mmm")</f>
        <v>Sep</v>
      </c>
    </row>
    <row r="1345" spans="1:15" x14ac:dyDescent="0.2">
      <c r="A1345" s="21">
        <v>45903</v>
      </c>
      <c r="B1345" s="5" t="s">
        <v>81</v>
      </c>
      <c r="C1345" t="s">
        <v>82</v>
      </c>
      <c r="D1345" t="s">
        <v>52</v>
      </c>
      <c r="E1345" t="s">
        <v>28</v>
      </c>
      <c r="F1345">
        <v>48</v>
      </c>
      <c r="G1345">
        <v>14</v>
      </c>
      <c r="H1345">
        <v>8</v>
      </c>
      <c r="I1345">
        <f>Inventory_Data[[#This Row],[Opening_Stock]]+Inventory_Data[[#This Row],[Units_Received]]-Inventory_Data[[#This Row],[Units_Sold]]</f>
        <v>54</v>
      </c>
      <c r="J1345">
        <v>0</v>
      </c>
      <c r="K1345">
        <v>14</v>
      </c>
      <c r="L1345" t="s">
        <v>53</v>
      </c>
      <c r="M1345" s="3">
        <v>105.03</v>
      </c>
      <c r="N1345" s="3">
        <v>138.58000000000001</v>
      </c>
      <c r="O1345" s="10" t="str">
        <f>TEXT(Inventory_Data[[#This Row],[Date]],"mmm")</f>
        <v>Sep</v>
      </c>
    </row>
    <row r="1346" spans="1:15" x14ac:dyDescent="0.2">
      <c r="A1346" s="21">
        <v>45904</v>
      </c>
      <c r="B1346" s="5" t="s">
        <v>162</v>
      </c>
      <c r="C1346" t="s">
        <v>163</v>
      </c>
      <c r="D1346" t="s">
        <v>16</v>
      </c>
      <c r="E1346" t="s">
        <v>35</v>
      </c>
      <c r="F1346">
        <v>159</v>
      </c>
      <c r="G1346">
        <v>24</v>
      </c>
      <c r="H1346">
        <v>35</v>
      </c>
      <c r="I1346">
        <f>Inventory_Data[[#This Row],[Opening_Stock]]+Inventory_Data[[#This Row],[Units_Received]]-Inventory_Data[[#This Row],[Units_Sold]]</f>
        <v>148</v>
      </c>
      <c r="J1346">
        <v>0</v>
      </c>
      <c r="K1346">
        <v>12</v>
      </c>
      <c r="L1346" t="s">
        <v>24</v>
      </c>
      <c r="M1346" s="3">
        <v>92.07</v>
      </c>
      <c r="N1346" s="3">
        <v>133.72999999999999</v>
      </c>
      <c r="O1346" s="10" t="str">
        <f>TEXT(Inventory_Data[[#This Row],[Date]],"mmm")</f>
        <v>Sep</v>
      </c>
    </row>
    <row r="1347" spans="1:15" x14ac:dyDescent="0.2">
      <c r="A1347" s="21">
        <v>45904</v>
      </c>
      <c r="B1347" s="5" t="s">
        <v>108</v>
      </c>
      <c r="C1347" t="s">
        <v>109</v>
      </c>
      <c r="D1347" t="s">
        <v>16</v>
      </c>
      <c r="E1347" t="s">
        <v>35</v>
      </c>
      <c r="F1347">
        <v>151</v>
      </c>
      <c r="G1347">
        <v>54</v>
      </c>
      <c r="H1347">
        <v>32</v>
      </c>
      <c r="I1347">
        <f>Inventory_Data[[#This Row],[Opening_Stock]]+Inventory_Data[[#This Row],[Units_Received]]-Inventory_Data[[#This Row],[Units_Sold]]</f>
        <v>173</v>
      </c>
      <c r="J1347">
        <v>0</v>
      </c>
      <c r="K1347">
        <v>14</v>
      </c>
      <c r="L1347" t="s">
        <v>18</v>
      </c>
      <c r="M1347" s="3">
        <v>160.57</v>
      </c>
      <c r="N1347" s="3">
        <v>190.8</v>
      </c>
      <c r="O1347" s="10" t="str">
        <f>TEXT(Inventory_Data[[#This Row],[Date]],"mmm")</f>
        <v>Sep</v>
      </c>
    </row>
    <row r="1348" spans="1:15" x14ac:dyDescent="0.2">
      <c r="A1348" s="21">
        <v>45904</v>
      </c>
      <c r="B1348" s="5" t="s">
        <v>128</v>
      </c>
      <c r="C1348" t="s">
        <v>129</v>
      </c>
      <c r="D1348" t="s">
        <v>48</v>
      </c>
      <c r="E1348" t="s">
        <v>28</v>
      </c>
      <c r="F1348">
        <v>176</v>
      </c>
      <c r="G1348">
        <v>52</v>
      </c>
      <c r="H1348">
        <v>28</v>
      </c>
      <c r="I1348">
        <f>Inventory_Data[[#This Row],[Opening_Stock]]+Inventory_Data[[#This Row],[Units_Received]]-Inventory_Data[[#This Row],[Units_Sold]]</f>
        <v>200</v>
      </c>
      <c r="J1348">
        <v>0</v>
      </c>
      <c r="K1348">
        <v>4</v>
      </c>
      <c r="L1348" t="s">
        <v>49</v>
      </c>
      <c r="M1348" s="3">
        <v>65.11</v>
      </c>
      <c r="N1348" s="3">
        <v>93.16</v>
      </c>
      <c r="O1348" s="10" t="str">
        <f>TEXT(Inventory_Data[[#This Row],[Date]],"mmm")</f>
        <v>Sep</v>
      </c>
    </row>
    <row r="1349" spans="1:15" x14ac:dyDescent="0.2">
      <c r="A1349" s="21">
        <v>45904</v>
      </c>
      <c r="B1349" s="5" t="s">
        <v>192</v>
      </c>
      <c r="C1349" t="s">
        <v>193</v>
      </c>
      <c r="D1349" t="s">
        <v>48</v>
      </c>
      <c r="E1349" t="s">
        <v>28</v>
      </c>
      <c r="F1349">
        <v>137</v>
      </c>
      <c r="G1349">
        <v>28</v>
      </c>
      <c r="H1349">
        <v>41</v>
      </c>
      <c r="I1349">
        <f>Inventory_Data[[#This Row],[Opening_Stock]]+Inventory_Data[[#This Row],[Units_Received]]-Inventory_Data[[#This Row],[Units_Sold]]</f>
        <v>124</v>
      </c>
      <c r="J1349">
        <v>0</v>
      </c>
      <c r="K1349">
        <v>13</v>
      </c>
      <c r="L1349" t="s">
        <v>77</v>
      </c>
      <c r="M1349" s="3">
        <v>67.42</v>
      </c>
      <c r="N1349" s="3">
        <v>80.540000000000006</v>
      </c>
      <c r="O1349" s="10" t="str">
        <f>TEXT(Inventory_Data[[#This Row],[Date]],"mmm")</f>
        <v>Sep</v>
      </c>
    </row>
    <row r="1350" spans="1:15" x14ac:dyDescent="0.2">
      <c r="A1350" s="21">
        <v>45904</v>
      </c>
      <c r="B1350" s="5" t="s">
        <v>86</v>
      </c>
      <c r="C1350" t="s">
        <v>87</v>
      </c>
      <c r="D1350" t="s">
        <v>48</v>
      </c>
      <c r="E1350" t="s">
        <v>35</v>
      </c>
      <c r="F1350">
        <v>185</v>
      </c>
      <c r="G1350">
        <v>144</v>
      </c>
      <c r="H1350">
        <v>25</v>
      </c>
      <c r="I1350">
        <f>Inventory_Data[[#This Row],[Opening_Stock]]+Inventory_Data[[#This Row],[Units_Received]]-Inventory_Data[[#This Row],[Units_Sold]]</f>
        <v>304</v>
      </c>
      <c r="J1350">
        <v>0</v>
      </c>
      <c r="K1350">
        <v>7</v>
      </c>
      <c r="L1350" t="s">
        <v>77</v>
      </c>
      <c r="M1350" s="3">
        <v>74.069999999999993</v>
      </c>
      <c r="N1350" s="3">
        <v>103.03</v>
      </c>
      <c r="O1350" s="10" t="str">
        <f>TEXT(Inventory_Data[[#This Row],[Date]],"mmm")</f>
        <v>Sep</v>
      </c>
    </row>
    <row r="1351" spans="1:15" x14ac:dyDescent="0.2">
      <c r="A1351" s="21">
        <v>45904</v>
      </c>
      <c r="B1351" s="5" t="s">
        <v>92</v>
      </c>
      <c r="C1351" t="s">
        <v>93</v>
      </c>
      <c r="D1351" t="s">
        <v>27</v>
      </c>
      <c r="E1351" t="s">
        <v>21</v>
      </c>
      <c r="F1351">
        <v>208</v>
      </c>
      <c r="G1351">
        <v>118</v>
      </c>
      <c r="H1351">
        <v>51</v>
      </c>
      <c r="I1351">
        <f>Inventory_Data[[#This Row],[Opening_Stock]]+Inventory_Data[[#This Row],[Units_Received]]-Inventory_Data[[#This Row],[Units_Sold]]</f>
        <v>275</v>
      </c>
      <c r="J1351">
        <v>0</v>
      </c>
      <c r="K1351">
        <v>4</v>
      </c>
      <c r="L1351" t="s">
        <v>80</v>
      </c>
      <c r="M1351" s="3">
        <v>7.51</v>
      </c>
      <c r="N1351" s="3">
        <v>8.73</v>
      </c>
      <c r="O1351" s="10" t="str">
        <f>TEXT(Inventory_Data[[#This Row],[Date]],"mmm")</f>
        <v>Sep</v>
      </c>
    </row>
    <row r="1352" spans="1:15" x14ac:dyDescent="0.2">
      <c r="A1352" s="21">
        <v>45904</v>
      </c>
      <c r="B1352" s="5" t="s">
        <v>98</v>
      </c>
      <c r="C1352" t="s">
        <v>99</v>
      </c>
      <c r="D1352" t="s">
        <v>27</v>
      </c>
      <c r="E1352" t="s">
        <v>28</v>
      </c>
      <c r="F1352">
        <v>335</v>
      </c>
      <c r="G1352">
        <v>219</v>
      </c>
      <c r="H1352">
        <v>39</v>
      </c>
      <c r="I1352">
        <f>Inventory_Data[[#This Row],[Opening_Stock]]+Inventory_Data[[#This Row],[Units_Received]]-Inventory_Data[[#This Row],[Units_Sold]]</f>
        <v>515</v>
      </c>
      <c r="J1352">
        <v>0</v>
      </c>
      <c r="K1352">
        <v>2</v>
      </c>
      <c r="L1352" t="s">
        <v>80</v>
      </c>
      <c r="M1352" s="3">
        <v>13.51</v>
      </c>
      <c r="N1352" s="3">
        <v>18.149999999999999</v>
      </c>
      <c r="O1352" s="10" t="str">
        <f>TEXT(Inventory_Data[[#This Row],[Date]],"mmm")</f>
        <v>Sep</v>
      </c>
    </row>
    <row r="1353" spans="1:15" x14ac:dyDescent="0.2">
      <c r="A1353" s="21">
        <v>45904</v>
      </c>
      <c r="B1353" s="5" t="s">
        <v>182</v>
      </c>
      <c r="C1353" t="s">
        <v>183</v>
      </c>
      <c r="D1353" t="s">
        <v>52</v>
      </c>
      <c r="E1353" t="s">
        <v>28</v>
      </c>
      <c r="F1353">
        <v>21</v>
      </c>
      <c r="G1353">
        <v>7</v>
      </c>
      <c r="H1353">
        <v>17</v>
      </c>
      <c r="I1353">
        <f>Inventory_Data[[#This Row],[Opening_Stock]]+Inventory_Data[[#This Row],[Units_Received]]-Inventory_Data[[#This Row],[Units_Sold]]</f>
        <v>11</v>
      </c>
      <c r="J1353">
        <v>0</v>
      </c>
      <c r="K1353">
        <v>4</v>
      </c>
      <c r="L1353" t="s">
        <v>83</v>
      </c>
      <c r="M1353" s="3">
        <v>175.37</v>
      </c>
      <c r="N1353" s="3">
        <v>270.49</v>
      </c>
      <c r="O1353" s="10" t="str">
        <f>TEXT(Inventory_Data[[#This Row],[Date]],"mmm")</f>
        <v>Sep</v>
      </c>
    </row>
    <row r="1354" spans="1:15" x14ac:dyDescent="0.2">
      <c r="A1354" s="21">
        <v>45906</v>
      </c>
      <c r="B1354" s="5" t="s">
        <v>152</v>
      </c>
      <c r="C1354" t="s">
        <v>153</v>
      </c>
      <c r="D1354" t="s">
        <v>16</v>
      </c>
      <c r="E1354" t="s">
        <v>17</v>
      </c>
      <c r="F1354">
        <v>126</v>
      </c>
      <c r="G1354">
        <v>64</v>
      </c>
      <c r="H1354">
        <v>71</v>
      </c>
      <c r="I1354">
        <f>Inventory_Data[[#This Row],[Opening_Stock]]+Inventory_Data[[#This Row],[Units_Received]]-Inventory_Data[[#This Row],[Units_Sold]]</f>
        <v>119</v>
      </c>
      <c r="J1354">
        <v>0</v>
      </c>
      <c r="K1354">
        <v>4</v>
      </c>
      <c r="L1354" t="s">
        <v>18</v>
      </c>
      <c r="M1354" s="3">
        <v>182.3</v>
      </c>
      <c r="N1354" s="3">
        <v>281.39</v>
      </c>
      <c r="O1354" s="10" t="str">
        <f>TEXT(Inventory_Data[[#This Row],[Date]],"mmm")</f>
        <v>Sep</v>
      </c>
    </row>
    <row r="1355" spans="1:15" x14ac:dyDescent="0.2">
      <c r="A1355" s="21">
        <v>45906</v>
      </c>
      <c r="B1355" s="5" t="s">
        <v>178</v>
      </c>
      <c r="C1355" t="s">
        <v>179</v>
      </c>
      <c r="D1355" t="s">
        <v>16</v>
      </c>
      <c r="E1355" t="s">
        <v>21</v>
      </c>
      <c r="F1355">
        <v>65</v>
      </c>
      <c r="G1355">
        <v>76</v>
      </c>
      <c r="H1355">
        <v>73</v>
      </c>
      <c r="I1355">
        <f>Inventory_Data[[#This Row],[Opening_Stock]]+Inventory_Data[[#This Row],[Units_Received]]-Inventory_Data[[#This Row],[Units_Sold]]</f>
        <v>68</v>
      </c>
      <c r="J1355">
        <v>0</v>
      </c>
      <c r="K1355">
        <v>4</v>
      </c>
      <c r="L1355" t="s">
        <v>45</v>
      </c>
      <c r="M1355" s="3">
        <v>23.99</v>
      </c>
      <c r="N1355" s="3">
        <v>30.72</v>
      </c>
      <c r="O1355" s="10" t="str">
        <f>TEXT(Inventory_Data[[#This Row],[Date]],"mmm")</f>
        <v>Sep</v>
      </c>
    </row>
    <row r="1356" spans="1:15" x14ac:dyDescent="0.2">
      <c r="A1356" s="21">
        <v>45906</v>
      </c>
      <c r="B1356" s="5" t="s">
        <v>190</v>
      </c>
      <c r="C1356" t="s">
        <v>191</v>
      </c>
      <c r="D1356" t="s">
        <v>48</v>
      </c>
      <c r="E1356" t="s">
        <v>21</v>
      </c>
      <c r="F1356">
        <v>86</v>
      </c>
      <c r="G1356">
        <v>125</v>
      </c>
      <c r="H1356">
        <v>139</v>
      </c>
      <c r="I1356">
        <f>Inventory_Data[[#This Row],[Opening_Stock]]+Inventory_Data[[#This Row],[Units_Received]]-Inventory_Data[[#This Row],[Units_Sold]]</f>
        <v>72</v>
      </c>
      <c r="J1356">
        <v>0</v>
      </c>
      <c r="K1356">
        <v>11</v>
      </c>
      <c r="L1356" t="s">
        <v>77</v>
      </c>
      <c r="M1356" s="3">
        <v>78.98</v>
      </c>
      <c r="N1356" s="3">
        <v>94.08</v>
      </c>
      <c r="O1356" s="10" t="str">
        <f>TEXT(Inventory_Data[[#This Row],[Date]],"mmm")</f>
        <v>Sep</v>
      </c>
    </row>
    <row r="1357" spans="1:15" x14ac:dyDescent="0.2">
      <c r="A1357" s="21">
        <v>45906</v>
      </c>
      <c r="B1357" s="5" t="s">
        <v>156</v>
      </c>
      <c r="C1357" t="s">
        <v>157</v>
      </c>
      <c r="D1357" t="s">
        <v>27</v>
      </c>
      <c r="E1357" t="s">
        <v>28</v>
      </c>
      <c r="F1357">
        <v>97</v>
      </c>
      <c r="G1357">
        <v>97</v>
      </c>
      <c r="H1357">
        <v>79</v>
      </c>
      <c r="I1357">
        <f>Inventory_Data[[#This Row],[Opening_Stock]]+Inventory_Data[[#This Row],[Units_Received]]-Inventory_Data[[#This Row],[Units_Sold]]</f>
        <v>115</v>
      </c>
      <c r="J1357">
        <v>0</v>
      </c>
      <c r="K1357">
        <v>3</v>
      </c>
      <c r="L1357" t="s">
        <v>66</v>
      </c>
      <c r="M1357" s="3">
        <v>11.35</v>
      </c>
      <c r="N1357" s="3">
        <v>14.67</v>
      </c>
      <c r="O1357" s="10" t="str">
        <f>TEXT(Inventory_Data[[#This Row],[Date]],"mmm")</f>
        <v>Sep</v>
      </c>
    </row>
    <row r="1358" spans="1:15" x14ac:dyDescent="0.2">
      <c r="A1358" s="21">
        <v>45906</v>
      </c>
      <c r="B1358" s="5" t="s">
        <v>134</v>
      </c>
      <c r="C1358" t="s">
        <v>135</v>
      </c>
      <c r="D1358" t="s">
        <v>27</v>
      </c>
      <c r="E1358" t="s">
        <v>17</v>
      </c>
      <c r="F1358">
        <v>232</v>
      </c>
      <c r="G1358">
        <v>221</v>
      </c>
      <c r="H1358">
        <v>144</v>
      </c>
      <c r="I1358">
        <f>Inventory_Data[[#This Row],[Opening_Stock]]+Inventory_Data[[#This Row],[Units_Received]]-Inventory_Data[[#This Row],[Units_Sold]]</f>
        <v>309</v>
      </c>
      <c r="J1358">
        <v>0</v>
      </c>
      <c r="K1358">
        <v>3</v>
      </c>
      <c r="L1358" t="s">
        <v>66</v>
      </c>
      <c r="M1358" s="3">
        <v>15.85</v>
      </c>
      <c r="N1358" s="3">
        <v>20.27</v>
      </c>
      <c r="O1358" s="10" t="str">
        <f>TEXT(Inventory_Data[[#This Row],[Date]],"mmm")</f>
        <v>Sep</v>
      </c>
    </row>
    <row r="1359" spans="1:15" x14ac:dyDescent="0.2">
      <c r="A1359" s="21">
        <v>45906</v>
      </c>
      <c r="B1359" s="5" t="s">
        <v>54</v>
      </c>
      <c r="C1359" t="s">
        <v>55</v>
      </c>
      <c r="D1359" t="s">
        <v>52</v>
      </c>
      <c r="E1359" t="s">
        <v>21</v>
      </c>
      <c r="F1359">
        <v>80</v>
      </c>
      <c r="G1359">
        <v>18</v>
      </c>
      <c r="H1359">
        <v>7</v>
      </c>
      <c r="I1359">
        <f>Inventory_Data[[#This Row],[Opening_Stock]]+Inventory_Data[[#This Row],[Units_Received]]-Inventory_Data[[#This Row],[Units_Sold]]</f>
        <v>91</v>
      </c>
      <c r="J1359">
        <v>0</v>
      </c>
      <c r="K1359">
        <v>5</v>
      </c>
      <c r="L1359" t="s">
        <v>53</v>
      </c>
      <c r="M1359" s="3">
        <v>56.52</v>
      </c>
      <c r="N1359" s="3">
        <v>66.260000000000005</v>
      </c>
      <c r="O1359" s="10" t="str">
        <f>TEXT(Inventory_Data[[#This Row],[Date]],"mmm")</f>
        <v>Sep</v>
      </c>
    </row>
    <row r="1360" spans="1:15" x14ac:dyDescent="0.2">
      <c r="A1360" s="21">
        <v>45907</v>
      </c>
      <c r="B1360" s="5" t="s">
        <v>190</v>
      </c>
      <c r="C1360" t="s">
        <v>191</v>
      </c>
      <c r="D1360" t="s">
        <v>48</v>
      </c>
      <c r="E1360" t="s">
        <v>21</v>
      </c>
      <c r="F1360">
        <v>208</v>
      </c>
      <c r="G1360">
        <v>61</v>
      </c>
      <c r="H1360">
        <v>125</v>
      </c>
      <c r="I1360">
        <f>Inventory_Data[[#This Row],[Opening_Stock]]+Inventory_Data[[#This Row],[Units_Received]]-Inventory_Data[[#This Row],[Units_Sold]]</f>
        <v>144</v>
      </c>
      <c r="J1360">
        <v>0</v>
      </c>
      <c r="K1360">
        <v>5</v>
      </c>
      <c r="L1360" t="s">
        <v>49</v>
      </c>
      <c r="M1360" s="3">
        <v>57.92</v>
      </c>
      <c r="N1360" s="3">
        <v>76.150000000000006</v>
      </c>
      <c r="O1360" s="10" t="str">
        <f>TEXT(Inventory_Data[[#This Row],[Date]],"mmm")</f>
        <v>Sep</v>
      </c>
    </row>
    <row r="1361" spans="1:15" x14ac:dyDescent="0.2">
      <c r="A1361" s="21">
        <v>45907</v>
      </c>
      <c r="B1361" s="5" t="s">
        <v>186</v>
      </c>
      <c r="C1361" t="s">
        <v>187</v>
      </c>
      <c r="D1361" t="s">
        <v>27</v>
      </c>
      <c r="E1361" t="s">
        <v>28</v>
      </c>
      <c r="F1361">
        <v>274</v>
      </c>
      <c r="G1361">
        <v>126</v>
      </c>
      <c r="H1361">
        <v>189</v>
      </c>
      <c r="I1361">
        <f>Inventory_Data[[#This Row],[Opening_Stock]]+Inventory_Data[[#This Row],[Units_Received]]-Inventory_Data[[#This Row],[Units_Sold]]</f>
        <v>211</v>
      </c>
      <c r="J1361">
        <v>0</v>
      </c>
      <c r="K1361">
        <v>3</v>
      </c>
      <c r="L1361" t="s">
        <v>80</v>
      </c>
      <c r="M1361" s="3">
        <v>8.23</v>
      </c>
      <c r="N1361" s="3">
        <v>9.56</v>
      </c>
      <c r="O1361" s="10" t="str">
        <f>TEXT(Inventory_Data[[#This Row],[Date]],"mmm")</f>
        <v>Sep</v>
      </c>
    </row>
    <row r="1362" spans="1:15" x14ac:dyDescent="0.2">
      <c r="A1362" s="21">
        <v>45907</v>
      </c>
      <c r="B1362" s="5" t="s">
        <v>50</v>
      </c>
      <c r="C1362" t="s">
        <v>51</v>
      </c>
      <c r="D1362" t="s">
        <v>52</v>
      </c>
      <c r="E1362" t="s">
        <v>28</v>
      </c>
      <c r="F1362">
        <v>46</v>
      </c>
      <c r="G1362">
        <v>25</v>
      </c>
      <c r="H1362">
        <v>13</v>
      </c>
      <c r="I1362">
        <f>Inventory_Data[[#This Row],[Opening_Stock]]+Inventory_Data[[#This Row],[Units_Received]]-Inventory_Data[[#This Row],[Units_Sold]]</f>
        <v>58</v>
      </c>
      <c r="J1362">
        <v>0</v>
      </c>
      <c r="K1362">
        <v>7</v>
      </c>
      <c r="L1362" t="s">
        <v>56</v>
      </c>
      <c r="M1362" s="3">
        <v>94.78</v>
      </c>
      <c r="N1362" s="3">
        <v>111.55</v>
      </c>
      <c r="O1362" s="10" t="str">
        <f>TEXT(Inventory_Data[[#This Row],[Date]],"mmm")</f>
        <v>Sep</v>
      </c>
    </row>
    <row r="1363" spans="1:15" x14ac:dyDescent="0.2">
      <c r="A1363" s="21">
        <v>45907</v>
      </c>
      <c r="B1363" s="5" t="s">
        <v>150</v>
      </c>
      <c r="C1363" t="s">
        <v>151</v>
      </c>
      <c r="D1363" t="s">
        <v>52</v>
      </c>
      <c r="E1363" t="s">
        <v>21</v>
      </c>
      <c r="F1363">
        <v>80</v>
      </c>
      <c r="G1363">
        <v>25</v>
      </c>
      <c r="H1363">
        <v>9</v>
      </c>
      <c r="I1363">
        <f>Inventory_Data[[#This Row],[Opening_Stock]]+Inventory_Data[[#This Row],[Units_Received]]-Inventory_Data[[#This Row],[Units_Sold]]</f>
        <v>96</v>
      </c>
      <c r="J1363">
        <v>0</v>
      </c>
      <c r="K1363">
        <v>9</v>
      </c>
      <c r="L1363" t="s">
        <v>53</v>
      </c>
      <c r="M1363" s="3">
        <v>325.19</v>
      </c>
      <c r="N1363" s="3">
        <v>503.72</v>
      </c>
      <c r="O1363" s="10" t="str">
        <f>TEXT(Inventory_Data[[#This Row],[Date]],"mmm")</f>
        <v>Sep</v>
      </c>
    </row>
    <row r="1364" spans="1:15" x14ac:dyDescent="0.2">
      <c r="A1364" s="21">
        <v>45907</v>
      </c>
      <c r="B1364" s="5" t="s">
        <v>67</v>
      </c>
      <c r="C1364" t="s">
        <v>68</v>
      </c>
      <c r="D1364" t="s">
        <v>52</v>
      </c>
      <c r="E1364" t="s">
        <v>21</v>
      </c>
      <c r="F1364">
        <v>65</v>
      </c>
      <c r="G1364">
        <v>11</v>
      </c>
      <c r="H1364">
        <v>20</v>
      </c>
      <c r="I1364">
        <f>Inventory_Data[[#This Row],[Opening_Stock]]+Inventory_Data[[#This Row],[Units_Received]]-Inventory_Data[[#This Row],[Units_Sold]]</f>
        <v>56</v>
      </c>
      <c r="J1364">
        <v>0</v>
      </c>
      <c r="K1364">
        <v>10</v>
      </c>
      <c r="L1364" t="s">
        <v>83</v>
      </c>
      <c r="M1364" s="3">
        <v>160.88999999999999</v>
      </c>
      <c r="N1364" s="3">
        <v>243.65</v>
      </c>
      <c r="O1364" s="10" t="str">
        <f>TEXT(Inventory_Data[[#This Row],[Date]],"mmm")</f>
        <v>Sep</v>
      </c>
    </row>
    <row r="1365" spans="1:15" x14ac:dyDescent="0.2">
      <c r="A1365" s="21">
        <v>45907</v>
      </c>
      <c r="B1365" s="5" t="s">
        <v>168</v>
      </c>
      <c r="C1365" t="s">
        <v>169</v>
      </c>
      <c r="D1365" t="s">
        <v>34</v>
      </c>
      <c r="E1365" t="s">
        <v>28</v>
      </c>
      <c r="F1365">
        <v>298</v>
      </c>
      <c r="G1365">
        <v>101</v>
      </c>
      <c r="H1365">
        <v>157</v>
      </c>
      <c r="I1365">
        <f>Inventory_Data[[#This Row],[Opening_Stock]]+Inventory_Data[[#This Row],[Units_Received]]-Inventory_Data[[#This Row],[Units_Sold]]</f>
        <v>242</v>
      </c>
      <c r="J1365">
        <v>0</v>
      </c>
      <c r="K1365">
        <v>7</v>
      </c>
      <c r="L1365" t="s">
        <v>36</v>
      </c>
      <c r="M1365" s="3">
        <v>23.09</v>
      </c>
      <c r="N1365" s="3">
        <v>33.770000000000003</v>
      </c>
      <c r="O1365" s="10" t="str">
        <f>TEXT(Inventory_Data[[#This Row],[Date]],"mmm")</f>
        <v>Sep</v>
      </c>
    </row>
    <row r="1366" spans="1:15" x14ac:dyDescent="0.2">
      <c r="A1366" s="21">
        <v>45908</v>
      </c>
      <c r="B1366" s="5" t="s">
        <v>152</v>
      </c>
      <c r="C1366" t="s">
        <v>153</v>
      </c>
      <c r="D1366" t="s">
        <v>16</v>
      </c>
      <c r="E1366" t="s">
        <v>21</v>
      </c>
      <c r="F1366">
        <v>176</v>
      </c>
      <c r="G1366">
        <v>15</v>
      </c>
      <c r="H1366">
        <v>20</v>
      </c>
      <c r="I1366">
        <f>Inventory_Data[[#This Row],[Opening_Stock]]+Inventory_Data[[#This Row],[Units_Received]]-Inventory_Data[[#This Row],[Units_Sold]]</f>
        <v>171</v>
      </c>
      <c r="J1366">
        <v>0</v>
      </c>
      <c r="K1366">
        <v>5</v>
      </c>
      <c r="L1366" t="s">
        <v>18</v>
      </c>
      <c r="M1366" s="3">
        <v>53.22</v>
      </c>
      <c r="N1366" s="3">
        <v>77.16</v>
      </c>
      <c r="O1366" s="10" t="str">
        <f>TEXT(Inventory_Data[[#This Row],[Date]],"mmm")</f>
        <v>Sep</v>
      </c>
    </row>
    <row r="1367" spans="1:15" x14ac:dyDescent="0.2">
      <c r="A1367" s="21">
        <v>45908</v>
      </c>
      <c r="B1367" s="5" t="s">
        <v>22</v>
      </c>
      <c r="C1367" t="s">
        <v>23</v>
      </c>
      <c r="D1367" t="s">
        <v>16</v>
      </c>
      <c r="E1367" t="s">
        <v>21</v>
      </c>
      <c r="F1367">
        <v>115</v>
      </c>
      <c r="G1367">
        <v>67</v>
      </c>
      <c r="H1367">
        <v>9</v>
      </c>
      <c r="I1367">
        <f>Inventory_Data[[#This Row],[Opening_Stock]]+Inventory_Data[[#This Row],[Units_Received]]-Inventory_Data[[#This Row],[Units_Sold]]</f>
        <v>173</v>
      </c>
      <c r="J1367">
        <v>0</v>
      </c>
      <c r="K1367">
        <v>2</v>
      </c>
      <c r="L1367" t="s">
        <v>45</v>
      </c>
      <c r="M1367" s="3">
        <v>119.39</v>
      </c>
      <c r="N1367" s="3">
        <v>167.27</v>
      </c>
      <c r="O1367" s="10" t="str">
        <f>TEXT(Inventory_Data[[#This Row],[Date]],"mmm")</f>
        <v>Sep</v>
      </c>
    </row>
    <row r="1368" spans="1:15" x14ac:dyDescent="0.2">
      <c r="A1368" s="21">
        <v>45908</v>
      </c>
      <c r="B1368" s="5" t="s">
        <v>61</v>
      </c>
      <c r="C1368" t="s">
        <v>62</v>
      </c>
      <c r="D1368" t="s">
        <v>48</v>
      </c>
      <c r="E1368" t="s">
        <v>17</v>
      </c>
      <c r="F1368">
        <v>95</v>
      </c>
      <c r="G1368">
        <v>50</v>
      </c>
      <c r="H1368">
        <v>46</v>
      </c>
      <c r="I1368">
        <f>Inventory_Data[[#This Row],[Opening_Stock]]+Inventory_Data[[#This Row],[Units_Received]]-Inventory_Data[[#This Row],[Units_Sold]]</f>
        <v>99</v>
      </c>
      <c r="J1368">
        <v>0</v>
      </c>
      <c r="K1368">
        <v>12</v>
      </c>
      <c r="L1368" t="s">
        <v>63</v>
      </c>
      <c r="M1368" s="3">
        <v>39.67</v>
      </c>
      <c r="N1368" s="3">
        <v>53.31</v>
      </c>
      <c r="O1368" s="10" t="str">
        <f>TEXT(Inventory_Data[[#This Row],[Date]],"mmm")</f>
        <v>Sep</v>
      </c>
    </row>
    <row r="1369" spans="1:15" x14ac:dyDescent="0.2">
      <c r="A1369" s="21">
        <v>45908</v>
      </c>
      <c r="B1369" s="5" t="s">
        <v>30</v>
      </c>
      <c r="C1369" t="s">
        <v>31</v>
      </c>
      <c r="D1369" t="s">
        <v>27</v>
      </c>
      <c r="E1369" t="s">
        <v>35</v>
      </c>
      <c r="F1369">
        <v>191</v>
      </c>
      <c r="G1369">
        <v>200</v>
      </c>
      <c r="H1369">
        <v>62</v>
      </c>
      <c r="I1369">
        <f>Inventory_Data[[#This Row],[Opening_Stock]]+Inventory_Data[[#This Row],[Units_Received]]-Inventory_Data[[#This Row],[Units_Sold]]</f>
        <v>329</v>
      </c>
      <c r="J1369">
        <v>0</v>
      </c>
      <c r="K1369">
        <v>3</v>
      </c>
      <c r="L1369" t="s">
        <v>66</v>
      </c>
      <c r="M1369" s="3">
        <v>18.48</v>
      </c>
      <c r="N1369" s="3">
        <v>24.11</v>
      </c>
      <c r="O1369" s="10" t="str">
        <f>TEXT(Inventory_Data[[#This Row],[Date]],"mmm")</f>
        <v>Sep</v>
      </c>
    </row>
    <row r="1370" spans="1:15" x14ac:dyDescent="0.2">
      <c r="A1370" s="21">
        <v>45908</v>
      </c>
      <c r="B1370" s="5" t="s">
        <v>59</v>
      </c>
      <c r="C1370" t="s">
        <v>60</v>
      </c>
      <c r="D1370" t="s">
        <v>34</v>
      </c>
      <c r="E1370" t="s">
        <v>21</v>
      </c>
      <c r="F1370">
        <v>321</v>
      </c>
      <c r="G1370">
        <v>155</v>
      </c>
      <c r="H1370">
        <v>117</v>
      </c>
      <c r="I1370">
        <f>Inventory_Data[[#This Row],[Opening_Stock]]+Inventory_Data[[#This Row],[Units_Received]]-Inventory_Data[[#This Row],[Units_Sold]]</f>
        <v>359</v>
      </c>
      <c r="J1370">
        <v>0</v>
      </c>
      <c r="K1370">
        <v>10</v>
      </c>
      <c r="L1370" t="s">
        <v>39</v>
      </c>
      <c r="M1370" s="3">
        <v>19.670000000000002</v>
      </c>
      <c r="N1370" s="3">
        <v>25.26</v>
      </c>
      <c r="O1370" s="10" t="str">
        <f>TEXT(Inventory_Data[[#This Row],[Date]],"mmm")</f>
        <v>Sep</v>
      </c>
    </row>
    <row r="1371" spans="1:15" x14ac:dyDescent="0.2">
      <c r="A1371" s="21">
        <v>45908</v>
      </c>
      <c r="B1371" s="5" t="s">
        <v>37</v>
      </c>
      <c r="C1371" t="s">
        <v>38</v>
      </c>
      <c r="D1371" t="s">
        <v>34</v>
      </c>
      <c r="E1371" t="s">
        <v>28</v>
      </c>
      <c r="F1371">
        <v>291</v>
      </c>
      <c r="G1371">
        <v>155</v>
      </c>
      <c r="H1371">
        <v>173</v>
      </c>
      <c r="I1371">
        <f>Inventory_Data[[#This Row],[Opening_Stock]]+Inventory_Data[[#This Row],[Units_Received]]-Inventory_Data[[#This Row],[Units_Sold]]</f>
        <v>273</v>
      </c>
      <c r="J1371">
        <v>0</v>
      </c>
      <c r="K1371">
        <v>9</v>
      </c>
      <c r="L1371" t="s">
        <v>36</v>
      </c>
      <c r="M1371" s="3">
        <v>10.01</v>
      </c>
      <c r="N1371" s="3">
        <v>13.57</v>
      </c>
      <c r="O1371" s="10" t="str">
        <f>TEXT(Inventory_Data[[#This Row],[Date]],"mmm")</f>
        <v>Sep</v>
      </c>
    </row>
    <row r="1372" spans="1:15" x14ac:dyDescent="0.2">
      <c r="A1372" s="21">
        <v>45908</v>
      </c>
      <c r="B1372" s="5" t="s">
        <v>168</v>
      </c>
      <c r="C1372" t="s">
        <v>169</v>
      </c>
      <c r="D1372" t="s">
        <v>34</v>
      </c>
      <c r="E1372" t="s">
        <v>17</v>
      </c>
      <c r="F1372">
        <v>245</v>
      </c>
      <c r="G1372">
        <v>214</v>
      </c>
      <c r="H1372">
        <v>148</v>
      </c>
      <c r="I1372">
        <f>Inventory_Data[[#This Row],[Opening_Stock]]+Inventory_Data[[#This Row],[Units_Received]]-Inventory_Data[[#This Row],[Units_Sold]]</f>
        <v>311</v>
      </c>
      <c r="J1372">
        <v>0</v>
      </c>
      <c r="K1372">
        <v>14</v>
      </c>
      <c r="L1372" t="s">
        <v>36</v>
      </c>
      <c r="M1372" s="3">
        <v>21.31</v>
      </c>
      <c r="N1372" s="3">
        <v>29.18</v>
      </c>
      <c r="O1372" s="10" t="str">
        <f>TEXT(Inventory_Data[[#This Row],[Date]],"mmm")</f>
        <v>Sep</v>
      </c>
    </row>
    <row r="1373" spans="1:15" x14ac:dyDescent="0.2">
      <c r="A1373" s="21">
        <v>45909</v>
      </c>
      <c r="B1373" s="5" t="s">
        <v>106</v>
      </c>
      <c r="C1373" t="s">
        <v>107</v>
      </c>
      <c r="D1373" t="s">
        <v>16</v>
      </c>
      <c r="E1373" t="s">
        <v>35</v>
      </c>
      <c r="F1373">
        <v>36</v>
      </c>
      <c r="G1373">
        <v>49</v>
      </c>
      <c r="H1373">
        <v>22</v>
      </c>
      <c r="I1373">
        <f>Inventory_Data[[#This Row],[Opening_Stock]]+Inventory_Data[[#This Row],[Units_Received]]-Inventory_Data[[#This Row],[Units_Sold]]</f>
        <v>63</v>
      </c>
      <c r="J1373">
        <v>0</v>
      </c>
      <c r="K1373">
        <v>8</v>
      </c>
      <c r="L1373" t="s">
        <v>24</v>
      </c>
      <c r="M1373" s="3">
        <v>34.479999999999997</v>
      </c>
      <c r="N1373" s="3">
        <v>44.84</v>
      </c>
      <c r="O1373" s="10" t="str">
        <f>TEXT(Inventory_Data[[#This Row],[Date]],"mmm")</f>
        <v>Sep</v>
      </c>
    </row>
    <row r="1374" spans="1:15" x14ac:dyDescent="0.2">
      <c r="A1374" s="21">
        <v>45909</v>
      </c>
      <c r="B1374" s="5" t="s">
        <v>130</v>
      </c>
      <c r="C1374" t="s">
        <v>131</v>
      </c>
      <c r="D1374" t="s">
        <v>48</v>
      </c>
      <c r="E1374" t="s">
        <v>28</v>
      </c>
      <c r="F1374">
        <v>200</v>
      </c>
      <c r="G1374">
        <v>97</v>
      </c>
      <c r="H1374">
        <v>106</v>
      </c>
      <c r="I1374">
        <f>Inventory_Data[[#This Row],[Opening_Stock]]+Inventory_Data[[#This Row],[Units_Received]]-Inventory_Data[[#This Row],[Units_Sold]]</f>
        <v>191</v>
      </c>
      <c r="J1374">
        <v>0</v>
      </c>
      <c r="K1374">
        <v>14</v>
      </c>
      <c r="L1374" t="s">
        <v>77</v>
      </c>
      <c r="M1374" s="3">
        <v>72.94</v>
      </c>
      <c r="N1374" s="3">
        <v>112.67</v>
      </c>
      <c r="O1374" s="10" t="str">
        <f>TEXT(Inventory_Data[[#This Row],[Date]],"mmm")</f>
        <v>Sep</v>
      </c>
    </row>
    <row r="1375" spans="1:15" x14ac:dyDescent="0.2">
      <c r="A1375" s="21">
        <v>45909</v>
      </c>
      <c r="B1375" s="5" t="s">
        <v>146</v>
      </c>
      <c r="C1375" t="s">
        <v>147</v>
      </c>
      <c r="D1375" t="s">
        <v>48</v>
      </c>
      <c r="E1375" t="s">
        <v>17</v>
      </c>
      <c r="F1375">
        <v>118</v>
      </c>
      <c r="G1375">
        <v>106</v>
      </c>
      <c r="H1375">
        <v>97</v>
      </c>
      <c r="I1375">
        <f>Inventory_Data[[#This Row],[Opening_Stock]]+Inventory_Data[[#This Row],[Units_Received]]-Inventory_Data[[#This Row],[Units_Sold]]</f>
        <v>127</v>
      </c>
      <c r="J1375">
        <v>0</v>
      </c>
      <c r="K1375">
        <v>14</v>
      </c>
      <c r="L1375" t="s">
        <v>77</v>
      </c>
      <c r="M1375" s="3">
        <v>20.309999999999999</v>
      </c>
      <c r="N1375" s="3">
        <v>29.35</v>
      </c>
      <c r="O1375" s="10" t="str">
        <f>TEXT(Inventory_Data[[#This Row],[Date]],"mmm")</f>
        <v>Sep</v>
      </c>
    </row>
    <row r="1376" spans="1:15" x14ac:dyDescent="0.2">
      <c r="A1376" s="21">
        <v>45909</v>
      </c>
      <c r="B1376" s="5" t="s">
        <v>92</v>
      </c>
      <c r="C1376" t="s">
        <v>93</v>
      </c>
      <c r="D1376" t="s">
        <v>27</v>
      </c>
      <c r="E1376" t="s">
        <v>21</v>
      </c>
      <c r="F1376">
        <v>228</v>
      </c>
      <c r="G1376">
        <v>67</v>
      </c>
      <c r="H1376">
        <v>73</v>
      </c>
      <c r="I1376">
        <f>Inventory_Data[[#This Row],[Opening_Stock]]+Inventory_Data[[#This Row],[Units_Received]]-Inventory_Data[[#This Row],[Units_Sold]]</f>
        <v>222</v>
      </c>
      <c r="J1376">
        <v>0</v>
      </c>
      <c r="K1376">
        <v>6</v>
      </c>
      <c r="L1376" t="s">
        <v>66</v>
      </c>
      <c r="M1376" s="3">
        <v>15.32</v>
      </c>
      <c r="N1376" s="3">
        <v>18.14</v>
      </c>
      <c r="O1376" s="10" t="str">
        <f>TEXT(Inventory_Data[[#This Row],[Date]],"mmm")</f>
        <v>Sep</v>
      </c>
    </row>
    <row r="1377" spans="1:15" x14ac:dyDescent="0.2">
      <c r="A1377" s="21">
        <v>45909</v>
      </c>
      <c r="B1377" s="5" t="s">
        <v>50</v>
      </c>
      <c r="C1377" t="s">
        <v>51</v>
      </c>
      <c r="D1377" t="s">
        <v>52</v>
      </c>
      <c r="E1377" t="s">
        <v>21</v>
      </c>
      <c r="F1377">
        <v>10</v>
      </c>
      <c r="G1377">
        <v>5</v>
      </c>
      <c r="H1377">
        <v>13</v>
      </c>
      <c r="I1377">
        <f>Inventory_Data[[#This Row],[Opening_Stock]]+Inventory_Data[[#This Row],[Units_Received]]-Inventory_Data[[#This Row],[Units_Sold]]</f>
        <v>2</v>
      </c>
      <c r="J1377">
        <v>0</v>
      </c>
      <c r="K1377">
        <v>2</v>
      </c>
      <c r="L1377" t="s">
        <v>56</v>
      </c>
      <c r="M1377" s="3">
        <v>305.04000000000002</v>
      </c>
      <c r="N1377" s="3">
        <v>421.21</v>
      </c>
      <c r="O1377" s="10" t="str">
        <f>TEXT(Inventory_Data[[#This Row],[Date]],"mmm")</f>
        <v>Sep</v>
      </c>
    </row>
    <row r="1378" spans="1:15" x14ac:dyDescent="0.2">
      <c r="A1378" s="21">
        <v>45909</v>
      </c>
      <c r="B1378" s="5" t="s">
        <v>124</v>
      </c>
      <c r="C1378" t="s">
        <v>125</v>
      </c>
      <c r="D1378" t="s">
        <v>52</v>
      </c>
      <c r="E1378" t="s">
        <v>28</v>
      </c>
      <c r="F1378">
        <v>61</v>
      </c>
      <c r="G1378">
        <v>21</v>
      </c>
      <c r="H1378">
        <v>18</v>
      </c>
      <c r="I1378">
        <f>Inventory_Data[[#This Row],[Opening_Stock]]+Inventory_Data[[#This Row],[Units_Received]]-Inventory_Data[[#This Row],[Units_Sold]]</f>
        <v>64</v>
      </c>
      <c r="J1378">
        <v>0</v>
      </c>
      <c r="K1378">
        <v>3</v>
      </c>
      <c r="L1378" t="s">
        <v>83</v>
      </c>
      <c r="M1378" s="3">
        <v>257.02999999999997</v>
      </c>
      <c r="N1378" s="3">
        <v>380.15</v>
      </c>
      <c r="O1378" s="10" t="str">
        <f>TEXT(Inventory_Data[[#This Row],[Date]],"mmm")</f>
        <v>Sep</v>
      </c>
    </row>
    <row r="1379" spans="1:15" x14ac:dyDescent="0.2">
      <c r="A1379" s="21">
        <v>45909</v>
      </c>
      <c r="B1379" s="5" t="s">
        <v>124</v>
      </c>
      <c r="C1379" t="s">
        <v>125</v>
      </c>
      <c r="D1379" t="s">
        <v>52</v>
      </c>
      <c r="E1379" t="s">
        <v>21</v>
      </c>
      <c r="F1379">
        <v>11</v>
      </c>
      <c r="G1379">
        <v>18</v>
      </c>
      <c r="H1379">
        <v>5</v>
      </c>
      <c r="I1379">
        <f>Inventory_Data[[#This Row],[Opening_Stock]]+Inventory_Data[[#This Row],[Units_Received]]-Inventory_Data[[#This Row],[Units_Sold]]</f>
        <v>24</v>
      </c>
      <c r="J1379">
        <v>0</v>
      </c>
      <c r="K1379">
        <v>10</v>
      </c>
      <c r="L1379" t="s">
        <v>53</v>
      </c>
      <c r="M1379" s="3">
        <v>218.49</v>
      </c>
      <c r="N1379" s="3">
        <v>287.55</v>
      </c>
      <c r="O1379" s="10" t="str">
        <f>TEXT(Inventory_Data[[#This Row],[Date]],"mmm")</f>
        <v>Sep</v>
      </c>
    </row>
    <row r="1380" spans="1:15" x14ac:dyDescent="0.2">
      <c r="A1380" s="21">
        <v>45910</v>
      </c>
      <c r="B1380" s="5" t="s">
        <v>96</v>
      </c>
      <c r="C1380" t="s">
        <v>97</v>
      </c>
      <c r="D1380" t="s">
        <v>48</v>
      </c>
      <c r="E1380" t="s">
        <v>35</v>
      </c>
      <c r="F1380">
        <v>152</v>
      </c>
      <c r="G1380">
        <v>20</v>
      </c>
      <c r="H1380">
        <v>19</v>
      </c>
      <c r="I1380">
        <f>Inventory_Data[[#This Row],[Opening_Stock]]+Inventory_Data[[#This Row],[Units_Received]]-Inventory_Data[[#This Row],[Units_Sold]]</f>
        <v>153</v>
      </c>
      <c r="J1380">
        <v>0</v>
      </c>
      <c r="K1380">
        <v>12</v>
      </c>
      <c r="L1380" t="s">
        <v>49</v>
      </c>
      <c r="M1380" s="3">
        <v>56.32</v>
      </c>
      <c r="N1380" s="3">
        <v>75</v>
      </c>
      <c r="O1380" s="10" t="str">
        <f>TEXT(Inventory_Data[[#This Row],[Date]],"mmm")</f>
        <v>Sep</v>
      </c>
    </row>
    <row r="1381" spans="1:15" x14ac:dyDescent="0.2">
      <c r="A1381" s="21">
        <v>45910</v>
      </c>
      <c r="B1381" s="5" t="s">
        <v>160</v>
      </c>
      <c r="C1381" t="s">
        <v>161</v>
      </c>
      <c r="D1381" t="s">
        <v>27</v>
      </c>
      <c r="E1381" t="s">
        <v>17</v>
      </c>
      <c r="F1381">
        <v>454</v>
      </c>
      <c r="G1381">
        <v>213</v>
      </c>
      <c r="H1381">
        <v>82</v>
      </c>
      <c r="I1381">
        <f>Inventory_Data[[#This Row],[Opening_Stock]]+Inventory_Data[[#This Row],[Units_Received]]-Inventory_Data[[#This Row],[Units_Sold]]</f>
        <v>585</v>
      </c>
      <c r="J1381">
        <v>0</v>
      </c>
      <c r="K1381">
        <v>4</v>
      </c>
      <c r="L1381" t="s">
        <v>80</v>
      </c>
      <c r="M1381" s="3">
        <v>11.8</v>
      </c>
      <c r="N1381" s="3">
        <v>17.5</v>
      </c>
      <c r="O1381" s="10" t="str">
        <f>TEXT(Inventory_Data[[#This Row],[Date]],"mmm")</f>
        <v>Sep</v>
      </c>
    </row>
    <row r="1382" spans="1:15" x14ac:dyDescent="0.2">
      <c r="A1382" s="21">
        <v>45910</v>
      </c>
      <c r="B1382" s="5" t="s">
        <v>78</v>
      </c>
      <c r="C1382" t="s">
        <v>79</v>
      </c>
      <c r="D1382" t="s">
        <v>27</v>
      </c>
      <c r="E1382" t="s">
        <v>17</v>
      </c>
      <c r="F1382">
        <v>153</v>
      </c>
      <c r="G1382">
        <v>148</v>
      </c>
      <c r="H1382">
        <v>164</v>
      </c>
      <c r="I1382">
        <f>Inventory_Data[[#This Row],[Opening_Stock]]+Inventory_Data[[#This Row],[Units_Received]]-Inventory_Data[[#This Row],[Units_Sold]]</f>
        <v>137</v>
      </c>
      <c r="J1382">
        <v>0</v>
      </c>
      <c r="K1382">
        <v>2</v>
      </c>
      <c r="L1382" t="s">
        <v>80</v>
      </c>
      <c r="M1382" s="3">
        <v>18.760000000000002</v>
      </c>
      <c r="N1382" s="3">
        <v>23.84</v>
      </c>
      <c r="O1382" s="10" t="str">
        <f>TEXT(Inventory_Data[[#This Row],[Date]],"mmm")</f>
        <v>Sep</v>
      </c>
    </row>
    <row r="1383" spans="1:15" x14ac:dyDescent="0.2">
      <c r="A1383" s="21">
        <v>45910</v>
      </c>
      <c r="B1383" s="5" t="s">
        <v>142</v>
      </c>
      <c r="C1383" t="s">
        <v>143</v>
      </c>
      <c r="D1383" t="s">
        <v>52</v>
      </c>
      <c r="E1383" t="s">
        <v>21</v>
      </c>
      <c r="F1383">
        <v>36</v>
      </c>
      <c r="G1383">
        <v>20</v>
      </c>
      <c r="H1383">
        <v>17</v>
      </c>
      <c r="I1383">
        <f>Inventory_Data[[#This Row],[Opening_Stock]]+Inventory_Data[[#This Row],[Units_Received]]-Inventory_Data[[#This Row],[Units_Sold]]</f>
        <v>39</v>
      </c>
      <c r="J1383">
        <v>0</v>
      </c>
      <c r="K1383">
        <v>12</v>
      </c>
      <c r="L1383" t="s">
        <v>83</v>
      </c>
      <c r="M1383" s="3">
        <v>232.25</v>
      </c>
      <c r="N1383" s="3">
        <v>289.57</v>
      </c>
      <c r="O1383" s="10" t="str">
        <f>TEXT(Inventory_Data[[#This Row],[Date]],"mmm")</f>
        <v>Sep</v>
      </c>
    </row>
    <row r="1384" spans="1:15" x14ac:dyDescent="0.2">
      <c r="A1384" s="21">
        <v>45910</v>
      </c>
      <c r="B1384" s="5" t="s">
        <v>67</v>
      </c>
      <c r="C1384" t="s">
        <v>68</v>
      </c>
      <c r="D1384" t="s">
        <v>52</v>
      </c>
      <c r="E1384" t="s">
        <v>28</v>
      </c>
      <c r="F1384">
        <v>58</v>
      </c>
      <c r="G1384">
        <v>6</v>
      </c>
      <c r="H1384">
        <v>2</v>
      </c>
      <c r="I1384">
        <f>Inventory_Data[[#This Row],[Opening_Stock]]+Inventory_Data[[#This Row],[Units_Received]]-Inventory_Data[[#This Row],[Units_Sold]]</f>
        <v>62</v>
      </c>
      <c r="J1384">
        <v>0</v>
      </c>
      <c r="K1384">
        <v>5</v>
      </c>
      <c r="L1384" t="s">
        <v>83</v>
      </c>
      <c r="M1384" s="3">
        <v>27.22</v>
      </c>
      <c r="N1384" s="3">
        <v>36.39</v>
      </c>
      <c r="O1384" s="10" t="str">
        <f>TEXT(Inventory_Data[[#This Row],[Date]],"mmm")</f>
        <v>Sep</v>
      </c>
    </row>
    <row r="1385" spans="1:15" x14ac:dyDescent="0.2">
      <c r="A1385" s="21">
        <v>45910</v>
      </c>
      <c r="B1385" s="5" t="s">
        <v>196</v>
      </c>
      <c r="C1385" t="s">
        <v>197</v>
      </c>
      <c r="D1385" t="s">
        <v>34</v>
      </c>
      <c r="E1385" t="s">
        <v>35</v>
      </c>
      <c r="F1385">
        <v>205</v>
      </c>
      <c r="G1385">
        <v>31</v>
      </c>
      <c r="H1385">
        <v>91</v>
      </c>
      <c r="I1385">
        <f>Inventory_Data[[#This Row],[Opening_Stock]]+Inventory_Data[[#This Row],[Units_Received]]-Inventory_Data[[#This Row],[Units_Sold]]</f>
        <v>145</v>
      </c>
      <c r="J1385">
        <v>0</v>
      </c>
      <c r="K1385">
        <v>5</v>
      </c>
      <c r="L1385" t="s">
        <v>39</v>
      </c>
      <c r="M1385" s="3">
        <v>24.87</v>
      </c>
      <c r="N1385" s="3">
        <v>33.799999999999997</v>
      </c>
      <c r="O1385" s="10" t="str">
        <f>TEXT(Inventory_Data[[#This Row],[Date]],"mmm")</f>
        <v>Sep</v>
      </c>
    </row>
    <row r="1386" spans="1:15" x14ac:dyDescent="0.2">
      <c r="A1386" s="21">
        <v>45911</v>
      </c>
      <c r="B1386" s="5" t="s">
        <v>106</v>
      </c>
      <c r="C1386" t="s">
        <v>107</v>
      </c>
      <c r="D1386" t="s">
        <v>16</v>
      </c>
      <c r="E1386" t="s">
        <v>17</v>
      </c>
      <c r="F1386">
        <v>22</v>
      </c>
      <c r="G1386">
        <v>21</v>
      </c>
      <c r="H1386">
        <v>20</v>
      </c>
      <c r="I1386">
        <f>Inventory_Data[[#This Row],[Opening_Stock]]+Inventory_Data[[#This Row],[Units_Received]]-Inventory_Data[[#This Row],[Units_Sold]]</f>
        <v>23</v>
      </c>
      <c r="J1386">
        <v>0</v>
      </c>
      <c r="K1386">
        <v>12</v>
      </c>
      <c r="L1386" t="s">
        <v>18</v>
      </c>
      <c r="M1386" s="3">
        <v>153.85</v>
      </c>
      <c r="N1386" s="3">
        <v>220.17</v>
      </c>
      <c r="O1386" s="10" t="str">
        <f>TEXT(Inventory_Data[[#This Row],[Date]],"mmm")</f>
        <v>Sep</v>
      </c>
    </row>
    <row r="1387" spans="1:15" x14ac:dyDescent="0.2">
      <c r="A1387" s="21">
        <v>45911</v>
      </c>
      <c r="B1387" s="5" t="s">
        <v>186</v>
      </c>
      <c r="C1387" t="s">
        <v>187</v>
      </c>
      <c r="D1387" t="s">
        <v>27</v>
      </c>
      <c r="E1387" t="s">
        <v>21</v>
      </c>
      <c r="F1387">
        <v>187</v>
      </c>
      <c r="G1387">
        <v>154</v>
      </c>
      <c r="H1387">
        <v>48</v>
      </c>
      <c r="I1387">
        <f>Inventory_Data[[#This Row],[Opening_Stock]]+Inventory_Data[[#This Row],[Units_Received]]-Inventory_Data[[#This Row],[Units_Sold]]</f>
        <v>293</v>
      </c>
      <c r="J1387">
        <v>0</v>
      </c>
      <c r="K1387">
        <v>3</v>
      </c>
      <c r="L1387" t="s">
        <v>80</v>
      </c>
      <c r="M1387" s="3">
        <v>10.17</v>
      </c>
      <c r="N1387" s="3">
        <v>14.54</v>
      </c>
      <c r="O1387" s="10" t="str">
        <f>TEXT(Inventory_Data[[#This Row],[Date]],"mmm")</f>
        <v>Sep</v>
      </c>
    </row>
    <row r="1388" spans="1:15" x14ac:dyDescent="0.2">
      <c r="A1388" s="21">
        <v>45911</v>
      </c>
      <c r="B1388" s="5" t="s">
        <v>140</v>
      </c>
      <c r="C1388" t="s">
        <v>141</v>
      </c>
      <c r="D1388" t="s">
        <v>52</v>
      </c>
      <c r="E1388" t="s">
        <v>17</v>
      </c>
      <c r="F1388">
        <v>71</v>
      </c>
      <c r="G1388">
        <v>17</v>
      </c>
      <c r="H1388">
        <v>12</v>
      </c>
      <c r="I1388">
        <f>Inventory_Data[[#This Row],[Opening_Stock]]+Inventory_Data[[#This Row],[Units_Received]]-Inventory_Data[[#This Row],[Units_Sold]]</f>
        <v>76</v>
      </c>
      <c r="J1388">
        <v>0</v>
      </c>
      <c r="K1388">
        <v>4</v>
      </c>
      <c r="L1388" t="s">
        <v>56</v>
      </c>
      <c r="M1388" s="3">
        <v>118.36</v>
      </c>
      <c r="N1388" s="3">
        <v>171</v>
      </c>
      <c r="O1388" s="10" t="str">
        <f>TEXT(Inventory_Data[[#This Row],[Date]],"mmm")</f>
        <v>Sep</v>
      </c>
    </row>
    <row r="1389" spans="1:15" x14ac:dyDescent="0.2">
      <c r="A1389" s="21">
        <v>45911</v>
      </c>
      <c r="B1389" s="5" t="s">
        <v>174</v>
      </c>
      <c r="C1389" t="s">
        <v>175</v>
      </c>
      <c r="D1389" t="s">
        <v>52</v>
      </c>
      <c r="E1389" t="s">
        <v>35</v>
      </c>
      <c r="F1389">
        <v>47</v>
      </c>
      <c r="G1389">
        <v>16</v>
      </c>
      <c r="H1389">
        <v>14</v>
      </c>
      <c r="I1389">
        <f>Inventory_Data[[#This Row],[Opening_Stock]]+Inventory_Data[[#This Row],[Units_Received]]-Inventory_Data[[#This Row],[Units_Sold]]</f>
        <v>49</v>
      </c>
      <c r="J1389">
        <v>0</v>
      </c>
      <c r="K1389">
        <v>5</v>
      </c>
      <c r="L1389" t="s">
        <v>83</v>
      </c>
      <c r="M1389" s="3">
        <v>263.51</v>
      </c>
      <c r="N1389" s="3">
        <v>369.68</v>
      </c>
      <c r="O1389" s="10" t="str">
        <f>TEXT(Inventory_Data[[#This Row],[Date]],"mmm")</f>
        <v>Sep</v>
      </c>
    </row>
    <row r="1390" spans="1:15" x14ac:dyDescent="0.2">
      <c r="A1390" s="21">
        <v>45911</v>
      </c>
      <c r="B1390" s="5" t="s">
        <v>32</v>
      </c>
      <c r="C1390" t="s">
        <v>33</v>
      </c>
      <c r="D1390" t="s">
        <v>34</v>
      </c>
      <c r="E1390" t="s">
        <v>35</v>
      </c>
      <c r="F1390">
        <v>234</v>
      </c>
      <c r="G1390">
        <v>191</v>
      </c>
      <c r="H1390">
        <v>179</v>
      </c>
      <c r="I1390">
        <f>Inventory_Data[[#This Row],[Opening_Stock]]+Inventory_Data[[#This Row],[Units_Received]]-Inventory_Data[[#This Row],[Units_Sold]]</f>
        <v>246</v>
      </c>
      <c r="J1390">
        <v>0</v>
      </c>
      <c r="K1390">
        <v>7</v>
      </c>
      <c r="L1390" t="s">
        <v>42</v>
      </c>
      <c r="M1390" s="3">
        <v>13.63</v>
      </c>
      <c r="N1390" s="3">
        <v>17.489999999999998</v>
      </c>
      <c r="O1390" s="10" t="str">
        <f>TEXT(Inventory_Data[[#This Row],[Date]],"mmm")</f>
        <v>Sep</v>
      </c>
    </row>
    <row r="1391" spans="1:15" x14ac:dyDescent="0.2">
      <c r="A1391" s="21">
        <v>45912</v>
      </c>
      <c r="B1391" s="5" t="s">
        <v>178</v>
      </c>
      <c r="C1391" t="s">
        <v>179</v>
      </c>
      <c r="D1391" t="s">
        <v>16</v>
      </c>
      <c r="E1391" t="s">
        <v>17</v>
      </c>
      <c r="F1391">
        <v>83</v>
      </c>
      <c r="G1391">
        <v>22</v>
      </c>
      <c r="H1391">
        <v>76</v>
      </c>
      <c r="I1391">
        <f>Inventory_Data[[#This Row],[Opening_Stock]]+Inventory_Data[[#This Row],[Units_Received]]-Inventory_Data[[#This Row],[Units_Sold]]</f>
        <v>29</v>
      </c>
      <c r="J1391">
        <v>0</v>
      </c>
      <c r="K1391">
        <v>9</v>
      </c>
      <c r="L1391" t="s">
        <v>45</v>
      </c>
      <c r="M1391" s="3">
        <v>131</v>
      </c>
      <c r="N1391" s="3">
        <v>158.88999999999999</v>
      </c>
      <c r="O1391" s="10" t="str">
        <f>TEXT(Inventory_Data[[#This Row],[Date]],"mmm")</f>
        <v>Sep</v>
      </c>
    </row>
    <row r="1392" spans="1:15" x14ac:dyDescent="0.2">
      <c r="A1392" s="21">
        <v>45912</v>
      </c>
      <c r="B1392" s="5" t="s">
        <v>108</v>
      </c>
      <c r="C1392" t="s">
        <v>109</v>
      </c>
      <c r="D1392" t="s">
        <v>16</v>
      </c>
      <c r="E1392" t="s">
        <v>35</v>
      </c>
      <c r="F1392">
        <v>88</v>
      </c>
      <c r="G1392">
        <v>22</v>
      </c>
      <c r="H1392">
        <v>51</v>
      </c>
      <c r="I1392">
        <f>Inventory_Data[[#This Row],[Opening_Stock]]+Inventory_Data[[#This Row],[Units_Received]]-Inventory_Data[[#This Row],[Units_Sold]]</f>
        <v>59</v>
      </c>
      <c r="J1392">
        <v>0</v>
      </c>
      <c r="K1392">
        <v>14</v>
      </c>
      <c r="L1392" t="s">
        <v>45</v>
      </c>
      <c r="M1392" s="3">
        <v>204.91</v>
      </c>
      <c r="N1392" s="3">
        <v>237.21</v>
      </c>
      <c r="O1392" s="10" t="str">
        <f>TEXT(Inventory_Data[[#This Row],[Date]],"mmm")</f>
        <v>Sep</v>
      </c>
    </row>
    <row r="1393" spans="1:15" x14ac:dyDescent="0.2">
      <c r="A1393" s="21">
        <v>45912</v>
      </c>
      <c r="B1393" s="5" t="s">
        <v>128</v>
      </c>
      <c r="C1393" t="s">
        <v>129</v>
      </c>
      <c r="D1393" t="s">
        <v>48</v>
      </c>
      <c r="E1393" t="s">
        <v>35</v>
      </c>
      <c r="F1393">
        <v>153</v>
      </c>
      <c r="G1393">
        <v>143</v>
      </c>
      <c r="H1393">
        <v>58</v>
      </c>
      <c r="I1393">
        <f>Inventory_Data[[#This Row],[Opening_Stock]]+Inventory_Data[[#This Row],[Units_Received]]-Inventory_Data[[#This Row],[Units_Sold]]</f>
        <v>238</v>
      </c>
      <c r="J1393">
        <v>0</v>
      </c>
      <c r="K1393">
        <v>13</v>
      </c>
      <c r="L1393" t="s">
        <v>63</v>
      </c>
      <c r="M1393" s="3">
        <v>53.08</v>
      </c>
      <c r="N1393" s="3">
        <v>69.900000000000006</v>
      </c>
      <c r="O1393" s="10" t="str">
        <f>TEXT(Inventory_Data[[#This Row],[Date]],"mmm")</f>
        <v>Sep</v>
      </c>
    </row>
    <row r="1394" spans="1:15" x14ac:dyDescent="0.2">
      <c r="A1394" s="21">
        <v>45912</v>
      </c>
      <c r="B1394" s="5" t="s">
        <v>78</v>
      </c>
      <c r="C1394" t="s">
        <v>79</v>
      </c>
      <c r="D1394" t="s">
        <v>27</v>
      </c>
      <c r="E1394" t="s">
        <v>35</v>
      </c>
      <c r="F1394">
        <v>196</v>
      </c>
      <c r="G1394">
        <v>235</v>
      </c>
      <c r="H1394">
        <v>146</v>
      </c>
      <c r="I1394">
        <f>Inventory_Data[[#This Row],[Opening_Stock]]+Inventory_Data[[#This Row],[Units_Received]]-Inventory_Data[[#This Row],[Units_Sold]]</f>
        <v>285</v>
      </c>
      <c r="J1394">
        <v>0</v>
      </c>
      <c r="K1394">
        <v>2</v>
      </c>
      <c r="L1394" t="s">
        <v>80</v>
      </c>
      <c r="M1394" s="3">
        <v>4.04</v>
      </c>
      <c r="N1394" s="3">
        <v>5.75</v>
      </c>
      <c r="O1394" s="10" t="str">
        <f>TEXT(Inventory_Data[[#This Row],[Date]],"mmm")</f>
        <v>Sep</v>
      </c>
    </row>
    <row r="1395" spans="1:15" x14ac:dyDescent="0.2">
      <c r="A1395" s="21">
        <v>45913</v>
      </c>
      <c r="B1395" s="5" t="s">
        <v>86</v>
      </c>
      <c r="C1395" t="s">
        <v>87</v>
      </c>
      <c r="D1395" t="s">
        <v>48</v>
      </c>
      <c r="E1395" t="s">
        <v>35</v>
      </c>
      <c r="F1395">
        <v>171</v>
      </c>
      <c r="G1395">
        <v>101</v>
      </c>
      <c r="H1395">
        <v>129</v>
      </c>
      <c r="I1395">
        <f>Inventory_Data[[#This Row],[Opening_Stock]]+Inventory_Data[[#This Row],[Units_Received]]-Inventory_Data[[#This Row],[Units_Sold]]</f>
        <v>143</v>
      </c>
      <c r="J1395">
        <v>0</v>
      </c>
      <c r="K1395">
        <v>9</v>
      </c>
      <c r="L1395" t="s">
        <v>77</v>
      </c>
      <c r="M1395" s="3">
        <v>55.48</v>
      </c>
      <c r="N1395" s="3">
        <v>65.010000000000005</v>
      </c>
      <c r="O1395" s="10" t="str">
        <f>TEXT(Inventory_Data[[#This Row],[Date]],"mmm")</f>
        <v>Sep</v>
      </c>
    </row>
    <row r="1396" spans="1:15" x14ac:dyDescent="0.2">
      <c r="A1396" s="21">
        <v>45913</v>
      </c>
      <c r="B1396" s="5" t="s">
        <v>110</v>
      </c>
      <c r="C1396" t="s">
        <v>111</v>
      </c>
      <c r="D1396" t="s">
        <v>52</v>
      </c>
      <c r="E1396" t="s">
        <v>35</v>
      </c>
      <c r="F1396">
        <v>26</v>
      </c>
      <c r="G1396">
        <v>15</v>
      </c>
      <c r="H1396">
        <v>9</v>
      </c>
      <c r="I1396">
        <f>Inventory_Data[[#This Row],[Opening_Stock]]+Inventory_Data[[#This Row],[Units_Received]]-Inventory_Data[[#This Row],[Units_Sold]]</f>
        <v>32</v>
      </c>
      <c r="J1396">
        <v>0</v>
      </c>
      <c r="K1396">
        <v>4</v>
      </c>
      <c r="L1396" t="s">
        <v>53</v>
      </c>
      <c r="M1396" s="3">
        <v>167.84</v>
      </c>
      <c r="N1396" s="3">
        <v>197.53</v>
      </c>
      <c r="O1396" s="10" t="str">
        <f>TEXT(Inventory_Data[[#This Row],[Date]],"mmm")</f>
        <v>Sep</v>
      </c>
    </row>
    <row r="1397" spans="1:15" x14ac:dyDescent="0.2">
      <c r="A1397" s="21">
        <v>45913</v>
      </c>
      <c r="B1397" s="5" t="s">
        <v>174</v>
      </c>
      <c r="C1397" t="s">
        <v>175</v>
      </c>
      <c r="D1397" t="s">
        <v>52</v>
      </c>
      <c r="E1397" t="s">
        <v>35</v>
      </c>
      <c r="F1397">
        <v>56</v>
      </c>
      <c r="G1397">
        <v>2</v>
      </c>
      <c r="H1397">
        <v>14</v>
      </c>
      <c r="I1397">
        <f>Inventory_Data[[#This Row],[Opening_Stock]]+Inventory_Data[[#This Row],[Units_Received]]-Inventory_Data[[#This Row],[Units_Sold]]</f>
        <v>44</v>
      </c>
      <c r="J1397">
        <v>0</v>
      </c>
      <c r="K1397">
        <v>6</v>
      </c>
      <c r="L1397" t="s">
        <v>83</v>
      </c>
      <c r="M1397" s="3">
        <v>50.07</v>
      </c>
      <c r="N1397" s="3">
        <v>75.83</v>
      </c>
      <c r="O1397" s="10" t="str">
        <f>TEXT(Inventory_Data[[#This Row],[Date]],"mmm")</f>
        <v>Sep</v>
      </c>
    </row>
    <row r="1398" spans="1:15" x14ac:dyDescent="0.2">
      <c r="A1398" s="21">
        <v>45914</v>
      </c>
      <c r="B1398" s="5" t="s">
        <v>71</v>
      </c>
      <c r="C1398" t="s">
        <v>72</v>
      </c>
      <c r="D1398" t="s">
        <v>16</v>
      </c>
      <c r="E1398" t="s">
        <v>35</v>
      </c>
      <c r="F1398">
        <v>110</v>
      </c>
      <c r="G1398">
        <v>65</v>
      </c>
      <c r="H1398">
        <v>32</v>
      </c>
      <c r="I1398">
        <f>Inventory_Data[[#This Row],[Opening_Stock]]+Inventory_Data[[#This Row],[Units_Received]]-Inventory_Data[[#This Row],[Units_Sold]]</f>
        <v>143</v>
      </c>
      <c r="J1398">
        <v>0</v>
      </c>
      <c r="K1398">
        <v>7</v>
      </c>
      <c r="L1398" t="s">
        <v>24</v>
      </c>
      <c r="M1398" s="3">
        <v>44.02</v>
      </c>
      <c r="N1398" s="3">
        <v>63.13</v>
      </c>
      <c r="O1398" s="10" t="str">
        <f>TEXT(Inventory_Data[[#This Row],[Date]],"mmm")</f>
        <v>Sep</v>
      </c>
    </row>
    <row r="1399" spans="1:15" x14ac:dyDescent="0.2">
      <c r="A1399" s="21">
        <v>45914</v>
      </c>
      <c r="B1399" s="5" t="s">
        <v>152</v>
      </c>
      <c r="C1399" t="s">
        <v>153</v>
      </c>
      <c r="D1399" t="s">
        <v>16</v>
      </c>
      <c r="E1399" t="s">
        <v>21</v>
      </c>
      <c r="F1399">
        <v>168</v>
      </c>
      <c r="G1399">
        <v>51</v>
      </c>
      <c r="H1399">
        <v>30</v>
      </c>
      <c r="I1399">
        <f>Inventory_Data[[#This Row],[Opening_Stock]]+Inventory_Data[[#This Row],[Units_Received]]-Inventory_Data[[#This Row],[Units_Sold]]</f>
        <v>189</v>
      </c>
      <c r="J1399">
        <v>0</v>
      </c>
      <c r="K1399">
        <v>13</v>
      </c>
      <c r="L1399" t="s">
        <v>45</v>
      </c>
      <c r="M1399" s="3">
        <v>176.48</v>
      </c>
      <c r="N1399" s="3">
        <v>247.03</v>
      </c>
      <c r="O1399" s="10" t="str">
        <f>TEXT(Inventory_Data[[#This Row],[Date]],"mmm")</f>
        <v>Sep</v>
      </c>
    </row>
    <row r="1400" spans="1:15" x14ac:dyDescent="0.2">
      <c r="A1400" s="21">
        <v>45914</v>
      </c>
      <c r="B1400" s="5" t="s">
        <v>128</v>
      </c>
      <c r="C1400" t="s">
        <v>129</v>
      </c>
      <c r="D1400" t="s">
        <v>48</v>
      </c>
      <c r="E1400" t="s">
        <v>35</v>
      </c>
      <c r="F1400">
        <v>70</v>
      </c>
      <c r="G1400">
        <v>131</v>
      </c>
      <c r="H1400">
        <v>55</v>
      </c>
      <c r="I1400">
        <f>Inventory_Data[[#This Row],[Opening_Stock]]+Inventory_Data[[#This Row],[Units_Received]]-Inventory_Data[[#This Row],[Units_Sold]]</f>
        <v>146</v>
      </c>
      <c r="J1400">
        <v>0</v>
      </c>
      <c r="K1400">
        <v>2</v>
      </c>
      <c r="L1400" t="s">
        <v>77</v>
      </c>
      <c r="M1400" s="3">
        <v>48.77</v>
      </c>
      <c r="N1400" s="3">
        <v>69.11</v>
      </c>
      <c r="O1400" s="10" t="str">
        <f>TEXT(Inventory_Data[[#This Row],[Date]],"mmm")</f>
        <v>Sep</v>
      </c>
    </row>
    <row r="1401" spans="1:15" x14ac:dyDescent="0.2">
      <c r="A1401" s="21">
        <v>45914</v>
      </c>
      <c r="B1401" s="5" t="s">
        <v>122</v>
      </c>
      <c r="C1401" t="s">
        <v>123</v>
      </c>
      <c r="D1401" t="s">
        <v>27</v>
      </c>
      <c r="E1401" t="s">
        <v>21</v>
      </c>
      <c r="F1401">
        <v>404</v>
      </c>
      <c r="G1401">
        <v>167</v>
      </c>
      <c r="H1401">
        <v>70</v>
      </c>
      <c r="I1401">
        <f>Inventory_Data[[#This Row],[Opening_Stock]]+Inventory_Data[[#This Row],[Units_Received]]-Inventory_Data[[#This Row],[Units_Sold]]</f>
        <v>501</v>
      </c>
      <c r="J1401">
        <v>0</v>
      </c>
      <c r="K1401">
        <v>6</v>
      </c>
      <c r="L1401" t="s">
        <v>66</v>
      </c>
      <c r="M1401" s="3">
        <v>12.4</v>
      </c>
      <c r="N1401" s="3">
        <v>17.899999999999999</v>
      </c>
      <c r="O1401" s="10" t="str">
        <f>TEXT(Inventory_Data[[#This Row],[Date]],"mmm")</f>
        <v>Sep</v>
      </c>
    </row>
    <row r="1402" spans="1:15" x14ac:dyDescent="0.2">
      <c r="A1402" s="21">
        <v>45914</v>
      </c>
      <c r="B1402" s="5" t="s">
        <v>160</v>
      </c>
      <c r="C1402" t="s">
        <v>161</v>
      </c>
      <c r="D1402" t="s">
        <v>27</v>
      </c>
      <c r="E1402" t="s">
        <v>17</v>
      </c>
      <c r="F1402">
        <v>247</v>
      </c>
      <c r="G1402">
        <v>83</v>
      </c>
      <c r="H1402">
        <v>171</v>
      </c>
      <c r="I1402">
        <f>Inventory_Data[[#This Row],[Opening_Stock]]+Inventory_Data[[#This Row],[Units_Received]]-Inventory_Data[[#This Row],[Units_Sold]]</f>
        <v>159</v>
      </c>
      <c r="J1402">
        <v>0</v>
      </c>
      <c r="K1402">
        <v>3</v>
      </c>
      <c r="L1402" t="s">
        <v>66</v>
      </c>
      <c r="M1402" s="3">
        <v>11.43</v>
      </c>
      <c r="N1402" s="3">
        <v>15.35</v>
      </c>
      <c r="O1402" s="10" t="str">
        <f>TEXT(Inventory_Data[[#This Row],[Date]],"mmm")</f>
        <v>Sep</v>
      </c>
    </row>
    <row r="1403" spans="1:15" x14ac:dyDescent="0.2">
      <c r="A1403" s="21">
        <v>45914</v>
      </c>
      <c r="B1403" s="5" t="s">
        <v>78</v>
      </c>
      <c r="C1403" t="s">
        <v>79</v>
      </c>
      <c r="D1403" t="s">
        <v>27</v>
      </c>
      <c r="E1403" t="s">
        <v>35</v>
      </c>
      <c r="F1403">
        <v>169</v>
      </c>
      <c r="G1403">
        <v>235</v>
      </c>
      <c r="H1403">
        <v>74</v>
      </c>
      <c r="I1403">
        <f>Inventory_Data[[#This Row],[Opening_Stock]]+Inventory_Data[[#This Row],[Units_Received]]-Inventory_Data[[#This Row],[Units_Sold]]</f>
        <v>330</v>
      </c>
      <c r="J1403">
        <v>0</v>
      </c>
      <c r="K1403">
        <v>5</v>
      </c>
      <c r="L1403" t="s">
        <v>29</v>
      </c>
      <c r="M1403" s="3">
        <v>7.85</v>
      </c>
      <c r="N1403" s="3">
        <v>11.62</v>
      </c>
      <c r="O1403" s="10" t="str">
        <f>TEXT(Inventory_Data[[#This Row],[Date]],"mmm")</f>
        <v>Sep</v>
      </c>
    </row>
    <row r="1404" spans="1:15" x14ac:dyDescent="0.2">
      <c r="A1404" s="21">
        <v>45914</v>
      </c>
      <c r="B1404" s="5" t="s">
        <v>148</v>
      </c>
      <c r="C1404" t="s">
        <v>149</v>
      </c>
      <c r="D1404" t="s">
        <v>27</v>
      </c>
      <c r="E1404" t="s">
        <v>28</v>
      </c>
      <c r="F1404">
        <v>337</v>
      </c>
      <c r="G1404">
        <v>148</v>
      </c>
      <c r="H1404">
        <v>45</v>
      </c>
      <c r="I1404">
        <f>Inventory_Data[[#This Row],[Opening_Stock]]+Inventory_Data[[#This Row],[Units_Received]]-Inventory_Data[[#This Row],[Units_Sold]]</f>
        <v>440</v>
      </c>
      <c r="J1404">
        <v>0</v>
      </c>
      <c r="K1404">
        <v>4</v>
      </c>
      <c r="L1404" t="s">
        <v>66</v>
      </c>
      <c r="M1404" s="3">
        <v>6.79</v>
      </c>
      <c r="N1404" s="3">
        <v>8.65</v>
      </c>
      <c r="O1404" s="10" t="str">
        <f>TEXT(Inventory_Data[[#This Row],[Date]],"mmm")</f>
        <v>Sep</v>
      </c>
    </row>
    <row r="1405" spans="1:15" x14ac:dyDescent="0.2">
      <c r="A1405" s="21">
        <v>45914</v>
      </c>
      <c r="B1405" s="5" t="s">
        <v>69</v>
      </c>
      <c r="C1405" t="s">
        <v>70</v>
      </c>
      <c r="D1405" t="s">
        <v>34</v>
      </c>
      <c r="E1405" t="s">
        <v>35</v>
      </c>
      <c r="F1405">
        <v>257</v>
      </c>
      <c r="G1405">
        <v>88</v>
      </c>
      <c r="H1405">
        <v>160</v>
      </c>
      <c r="I1405">
        <f>Inventory_Data[[#This Row],[Opening_Stock]]+Inventory_Data[[#This Row],[Units_Received]]-Inventory_Data[[#This Row],[Units_Sold]]</f>
        <v>185</v>
      </c>
      <c r="J1405">
        <v>0</v>
      </c>
      <c r="K1405">
        <v>5</v>
      </c>
      <c r="L1405" t="s">
        <v>42</v>
      </c>
      <c r="M1405" s="3">
        <v>17.3</v>
      </c>
      <c r="N1405" s="3">
        <v>24.84</v>
      </c>
      <c r="O1405" s="10" t="str">
        <f>TEXT(Inventory_Data[[#This Row],[Date]],"mmm")</f>
        <v>Sep</v>
      </c>
    </row>
    <row r="1406" spans="1:15" x14ac:dyDescent="0.2">
      <c r="A1406" s="21">
        <v>45915</v>
      </c>
      <c r="B1406" s="5" t="s">
        <v>92</v>
      </c>
      <c r="C1406" t="s">
        <v>93</v>
      </c>
      <c r="D1406" t="s">
        <v>27</v>
      </c>
      <c r="E1406" t="s">
        <v>21</v>
      </c>
      <c r="F1406">
        <v>189</v>
      </c>
      <c r="G1406">
        <v>245</v>
      </c>
      <c r="H1406">
        <v>93</v>
      </c>
      <c r="I1406">
        <f>Inventory_Data[[#This Row],[Opening_Stock]]+Inventory_Data[[#This Row],[Units_Received]]-Inventory_Data[[#This Row],[Units_Sold]]</f>
        <v>341</v>
      </c>
      <c r="J1406">
        <v>0</v>
      </c>
      <c r="K1406">
        <v>2</v>
      </c>
      <c r="L1406" t="s">
        <v>80</v>
      </c>
      <c r="M1406" s="3">
        <v>12.66</v>
      </c>
      <c r="N1406" s="3">
        <v>16.48</v>
      </c>
      <c r="O1406" s="10" t="str">
        <f>TEXT(Inventory_Data[[#This Row],[Date]],"mmm")</f>
        <v>Sep</v>
      </c>
    </row>
    <row r="1407" spans="1:15" x14ac:dyDescent="0.2">
      <c r="A1407" s="21">
        <v>45915</v>
      </c>
      <c r="B1407" s="5" t="s">
        <v>110</v>
      </c>
      <c r="C1407" t="s">
        <v>111</v>
      </c>
      <c r="D1407" t="s">
        <v>52</v>
      </c>
      <c r="E1407" t="s">
        <v>17</v>
      </c>
      <c r="F1407">
        <v>17</v>
      </c>
      <c r="G1407">
        <v>25</v>
      </c>
      <c r="H1407">
        <v>15</v>
      </c>
      <c r="I1407">
        <f>Inventory_Data[[#This Row],[Opening_Stock]]+Inventory_Data[[#This Row],[Units_Received]]-Inventory_Data[[#This Row],[Units_Sold]]</f>
        <v>27</v>
      </c>
      <c r="J1407">
        <v>0</v>
      </c>
      <c r="K1407">
        <v>12</v>
      </c>
      <c r="L1407" t="s">
        <v>83</v>
      </c>
      <c r="M1407" s="3">
        <v>110.26</v>
      </c>
      <c r="N1407" s="3">
        <v>140.61000000000001</v>
      </c>
      <c r="O1407" s="10" t="str">
        <f>TEXT(Inventory_Data[[#This Row],[Date]],"mmm")</f>
        <v>Sep</v>
      </c>
    </row>
    <row r="1408" spans="1:15" x14ac:dyDescent="0.2">
      <c r="A1408" s="21">
        <v>45915</v>
      </c>
      <c r="B1408" s="5" t="s">
        <v>57</v>
      </c>
      <c r="C1408" t="s">
        <v>58</v>
      </c>
      <c r="D1408" t="s">
        <v>52</v>
      </c>
      <c r="E1408" t="s">
        <v>17</v>
      </c>
      <c r="F1408">
        <v>28</v>
      </c>
      <c r="G1408">
        <v>6</v>
      </c>
      <c r="H1408">
        <v>2</v>
      </c>
      <c r="I1408">
        <f>Inventory_Data[[#This Row],[Opening_Stock]]+Inventory_Data[[#This Row],[Units_Received]]-Inventory_Data[[#This Row],[Units_Sold]]</f>
        <v>32</v>
      </c>
      <c r="J1408">
        <v>0</v>
      </c>
      <c r="K1408">
        <v>3</v>
      </c>
      <c r="L1408" t="s">
        <v>83</v>
      </c>
      <c r="M1408" s="3">
        <v>241.06</v>
      </c>
      <c r="N1408" s="3">
        <v>304.81</v>
      </c>
      <c r="O1408" s="10" t="str">
        <f>TEXT(Inventory_Data[[#This Row],[Date]],"mmm")</f>
        <v>Sep</v>
      </c>
    </row>
    <row r="1409" spans="1:15" x14ac:dyDescent="0.2">
      <c r="A1409" s="21">
        <v>45916</v>
      </c>
      <c r="B1409" s="5" t="s">
        <v>71</v>
      </c>
      <c r="C1409" t="s">
        <v>72</v>
      </c>
      <c r="D1409" t="s">
        <v>16</v>
      </c>
      <c r="E1409" t="s">
        <v>17</v>
      </c>
      <c r="F1409">
        <v>31</v>
      </c>
      <c r="G1409">
        <v>15</v>
      </c>
      <c r="H1409">
        <v>31</v>
      </c>
      <c r="I1409">
        <f>Inventory_Data[[#This Row],[Opening_Stock]]+Inventory_Data[[#This Row],[Units_Received]]-Inventory_Data[[#This Row],[Units_Sold]]</f>
        <v>15</v>
      </c>
      <c r="J1409">
        <v>0</v>
      </c>
      <c r="K1409">
        <v>9</v>
      </c>
      <c r="L1409" t="s">
        <v>18</v>
      </c>
      <c r="M1409" s="3">
        <v>63.97</v>
      </c>
      <c r="N1409" s="3">
        <v>85.58</v>
      </c>
      <c r="O1409" s="10" t="str">
        <f>TEXT(Inventory_Data[[#This Row],[Date]],"mmm")</f>
        <v>Sep</v>
      </c>
    </row>
    <row r="1410" spans="1:15" x14ac:dyDescent="0.2">
      <c r="A1410" s="21">
        <v>45916</v>
      </c>
      <c r="B1410" s="5" t="s">
        <v>128</v>
      </c>
      <c r="C1410" t="s">
        <v>129</v>
      </c>
      <c r="D1410" t="s">
        <v>48</v>
      </c>
      <c r="E1410" t="s">
        <v>35</v>
      </c>
      <c r="F1410">
        <v>190</v>
      </c>
      <c r="G1410">
        <v>89</v>
      </c>
      <c r="H1410">
        <v>11</v>
      </c>
      <c r="I1410">
        <f>Inventory_Data[[#This Row],[Opening_Stock]]+Inventory_Data[[#This Row],[Units_Received]]-Inventory_Data[[#This Row],[Units_Sold]]</f>
        <v>268</v>
      </c>
      <c r="J1410">
        <v>0</v>
      </c>
      <c r="K1410">
        <v>9</v>
      </c>
      <c r="L1410" t="s">
        <v>63</v>
      </c>
      <c r="M1410" s="3">
        <v>19.87</v>
      </c>
      <c r="N1410" s="3">
        <v>29.3</v>
      </c>
      <c r="O1410" s="10" t="str">
        <f>TEXT(Inventory_Data[[#This Row],[Date]],"mmm")</f>
        <v>Sep</v>
      </c>
    </row>
    <row r="1411" spans="1:15" x14ac:dyDescent="0.2">
      <c r="A1411" s="21">
        <v>45916</v>
      </c>
      <c r="B1411" s="5" t="s">
        <v>84</v>
      </c>
      <c r="C1411" t="s">
        <v>85</v>
      </c>
      <c r="D1411" t="s">
        <v>48</v>
      </c>
      <c r="E1411" t="s">
        <v>28</v>
      </c>
      <c r="F1411">
        <v>60</v>
      </c>
      <c r="G1411">
        <v>72</v>
      </c>
      <c r="H1411">
        <v>28</v>
      </c>
      <c r="I1411">
        <f>Inventory_Data[[#This Row],[Opening_Stock]]+Inventory_Data[[#This Row],[Units_Received]]-Inventory_Data[[#This Row],[Units_Sold]]</f>
        <v>104</v>
      </c>
      <c r="J1411">
        <v>0</v>
      </c>
      <c r="K1411">
        <v>10</v>
      </c>
      <c r="L1411" t="s">
        <v>63</v>
      </c>
      <c r="M1411" s="3">
        <v>70.290000000000006</v>
      </c>
      <c r="N1411" s="3">
        <v>86.11</v>
      </c>
      <c r="O1411" s="10" t="str">
        <f>TEXT(Inventory_Data[[#This Row],[Date]],"mmm")</f>
        <v>Sep</v>
      </c>
    </row>
    <row r="1412" spans="1:15" x14ac:dyDescent="0.2">
      <c r="A1412" s="21">
        <v>45916</v>
      </c>
      <c r="B1412" s="5" t="s">
        <v>86</v>
      </c>
      <c r="C1412" t="s">
        <v>87</v>
      </c>
      <c r="D1412" t="s">
        <v>48</v>
      </c>
      <c r="E1412" t="s">
        <v>21</v>
      </c>
      <c r="F1412">
        <v>254</v>
      </c>
      <c r="G1412">
        <v>117</v>
      </c>
      <c r="H1412">
        <v>110</v>
      </c>
      <c r="I1412">
        <f>Inventory_Data[[#This Row],[Opening_Stock]]+Inventory_Data[[#This Row],[Units_Received]]-Inventory_Data[[#This Row],[Units_Sold]]</f>
        <v>261</v>
      </c>
      <c r="J1412">
        <v>0</v>
      </c>
      <c r="K1412">
        <v>4</v>
      </c>
      <c r="L1412" t="s">
        <v>49</v>
      </c>
      <c r="M1412" s="3">
        <v>60.51</v>
      </c>
      <c r="N1412" s="3">
        <v>90.17</v>
      </c>
      <c r="O1412" s="10" t="str">
        <f>TEXT(Inventory_Data[[#This Row],[Date]],"mmm")</f>
        <v>Sep</v>
      </c>
    </row>
    <row r="1413" spans="1:15" x14ac:dyDescent="0.2">
      <c r="A1413" s="21">
        <v>45916</v>
      </c>
      <c r="B1413" s="5" t="s">
        <v>61</v>
      </c>
      <c r="C1413" t="s">
        <v>62</v>
      </c>
      <c r="D1413" t="s">
        <v>48</v>
      </c>
      <c r="E1413" t="s">
        <v>28</v>
      </c>
      <c r="F1413">
        <v>71</v>
      </c>
      <c r="G1413">
        <v>45</v>
      </c>
      <c r="H1413">
        <v>34</v>
      </c>
      <c r="I1413">
        <f>Inventory_Data[[#This Row],[Opening_Stock]]+Inventory_Data[[#This Row],[Units_Received]]-Inventory_Data[[#This Row],[Units_Sold]]</f>
        <v>82</v>
      </c>
      <c r="J1413">
        <v>0</v>
      </c>
      <c r="K1413">
        <v>12</v>
      </c>
      <c r="L1413" t="s">
        <v>63</v>
      </c>
      <c r="M1413" s="3">
        <v>72.94</v>
      </c>
      <c r="N1413" s="3">
        <v>95.62</v>
      </c>
      <c r="O1413" s="10" t="str">
        <f>TEXT(Inventory_Data[[#This Row],[Date]],"mmm")</f>
        <v>Sep</v>
      </c>
    </row>
    <row r="1414" spans="1:15" x14ac:dyDescent="0.2">
      <c r="A1414" s="21">
        <v>45916</v>
      </c>
      <c r="B1414" s="5" t="s">
        <v>136</v>
      </c>
      <c r="C1414" t="s">
        <v>137</v>
      </c>
      <c r="D1414" t="s">
        <v>27</v>
      </c>
      <c r="E1414" t="s">
        <v>21</v>
      </c>
      <c r="F1414">
        <v>370</v>
      </c>
      <c r="G1414">
        <v>116</v>
      </c>
      <c r="H1414">
        <v>199</v>
      </c>
      <c r="I1414">
        <f>Inventory_Data[[#This Row],[Opening_Stock]]+Inventory_Data[[#This Row],[Units_Received]]-Inventory_Data[[#This Row],[Units_Sold]]</f>
        <v>287</v>
      </c>
      <c r="J1414">
        <v>0</v>
      </c>
      <c r="K1414">
        <v>7</v>
      </c>
      <c r="L1414" t="s">
        <v>66</v>
      </c>
      <c r="M1414" s="3">
        <v>16.61</v>
      </c>
      <c r="N1414" s="3">
        <v>24.45</v>
      </c>
      <c r="O1414" s="10" t="str">
        <f>TEXT(Inventory_Data[[#This Row],[Date]],"mmm")</f>
        <v>Sep</v>
      </c>
    </row>
    <row r="1415" spans="1:15" x14ac:dyDescent="0.2">
      <c r="A1415" s="21">
        <v>45916</v>
      </c>
      <c r="B1415" s="5" t="s">
        <v>176</v>
      </c>
      <c r="C1415" t="s">
        <v>177</v>
      </c>
      <c r="D1415" t="s">
        <v>34</v>
      </c>
      <c r="E1415" t="s">
        <v>28</v>
      </c>
      <c r="F1415">
        <v>393</v>
      </c>
      <c r="G1415">
        <v>38</v>
      </c>
      <c r="H1415">
        <v>90</v>
      </c>
      <c r="I1415">
        <f>Inventory_Data[[#This Row],[Opening_Stock]]+Inventory_Data[[#This Row],[Units_Received]]-Inventory_Data[[#This Row],[Units_Sold]]</f>
        <v>341</v>
      </c>
      <c r="J1415">
        <v>0</v>
      </c>
      <c r="K1415">
        <v>11</v>
      </c>
      <c r="L1415" t="s">
        <v>36</v>
      </c>
      <c r="M1415" s="3">
        <v>7.81</v>
      </c>
      <c r="N1415" s="3">
        <v>11.54</v>
      </c>
      <c r="O1415" s="10" t="str">
        <f>TEXT(Inventory_Data[[#This Row],[Date]],"mmm")</f>
        <v>Sep</v>
      </c>
    </row>
    <row r="1416" spans="1:15" x14ac:dyDescent="0.2">
      <c r="A1416" s="21">
        <v>45917</v>
      </c>
      <c r="B1416" s="5" t="s">
        <v>25</v>
      </c>
      <c r="C1416" t="s">
        <v>26</v>
      </c>
      <c r="D1416" t="s">
        <v>27</v>
      </c>
      <c r="E1416" t="s">
        <v>17</v>
      </c>
      <c r="F1416">
        <v>119</v>
      </c>
      <c r="G1416">
        <v>56</v>
      </c>
      <c r="H1416">
        <v>120</v>
      </c>
      <c r="I1416">
        <f>Inventory_Data[[#This Row],[Opening_Stock]]+Inventory_Data[[#This Row],[Units_Received]]-Inventory_Data[[#This Row],[Units_Sold]]</f>
        <v>55</v>
      </c>
      <c r="J1416">
        <v>0</v>
      </c>
      <c r="K1416">
        <v>7</v>
      </c>
      <c r="L1416" t="s">
        <v>66</v>
      </c>
      <c r="M1416" s="3">
        <v>7.08</v>
      </c>
      <c r="N1416" s="3">
        <v>8.6300000000000008</v>
      </c>
      <c r="O1416" s="10" t="str">
        <f>TEXT(Inventory_Data[[#This Row],[Date]],"mmm")</f>
        <v>Sep</v>
      </c>
    </row>
    <row r="1417" spans="1:15" x14ac:dyDescent="0.2">
      <c r="A1417" s="21">
        <v>45917</v>
      </c>
      <c r="B1417" s="5" t="s">
        <v>150</v>
      </c>
      <c r="C1417" t="s">
        <v>151</v>
      </c>
      <c r="D1417" t="s">
        <v>52</v>
      </c>
      <c r="E1417" t="s">
        <v>35</v>
      </c>
      <c r="F1417">
        <v>14</v>
      </c>
      <c r="G1417">
        <v>12</v>
      </c>
      <c r="H1417">
        <v>10</v>
      </c>
      <c r="I1417">
        <f>Inventory_Data[[#This Row],[Opening_Stock]]+Inventory_Data[[#This Row],[Units_Received]]-Inventory_Data[[#This Row],[Units_Sold]]</f>
        <v>16</v>
      </c>
      <c r="J1417">
        <v>0</v>
      </c>
      <c r="K1417">
        <v>5</v>
      </c>
      <c r="L1417" t="s">
        <v>83</v>
      </c>
      <c r="M1417" s="3">
        <v>227.64</v>
      </c>
      <c r="N1417" s="3">
        <v>273.74</v>
      </c>
      <c r="O1417" s="10" t="str">
        <f>TEXT(Inventory_Data[[#This Row],[Date]],"mmm")</f>
        <v>Sep</v>
      </c>
    </row>
    <row r="1418" spans="1:15" x14ac:dyDescent="0.2">
      <c r="A1418" s="21">
        <v>45917</v>
      </c>
      <c r="B1418" s="5" t="s">
        <v>118</v>
      </c>
      <c r="C1418" t="s">
        <v>119</v>
      </c>
      <c r="D1418" t="s">
        <v>34</v>
      </c>
      <c r="E1418" t="s">
        <v>28</v>
      </c>
      <c r="F1418">
        <v>365</v>
      </c>
      <c r="G1418">
        <v>110</v>
      </c>
      <c r="H1418">
        <v>164</v>
      </c>
      <c r="I1418">
        <f>Inventory_Data[[#This Row],[Opening_Stock]]+Inventory_Data[[#This Row],[Units_Received]]-Inventory_Data[[#This Row],[Units_Sold]]</f>
        <v>311</v>
      </c>
      <c r="J1418">
        <v>0</v>
      </c>
      <c r="K1418">
        <v>14</v>
      </c>
      <c r="L1418" t="s">
        <v>39</v>
      </c>
      <c r="M1418" s="3">
        <v>19.39</v>
      </c>
      <c r="N1418" s="3">
        <v>29.94</v>
      </c>
      <c r="O1418" s="10" t="str">
        <f>TEXT(Inventory_Data[[#This Row],[Date]],"mmm")</f>
        <v>Sep</v>
      </c>
    </row>
    <row r="1419" spans="1:15" x14ac:dyDescent="0.2">
      <c r="A1419" s="21">
        <v>45918</v>
      </c>
      <c r="B1419" s="5" t="s">
        <v>192</v>
      </c>
      <c r="C1419" t="s">
        <v>193</v>
      </c>
      <c r="D1419" t="s">
        <v>48</v>
      </c>
      <c r="E1419" t="s">
        <v>28</v>
      </c>
      <c r="F1419">
        <v>298</v>
      </c>
      <c r="G1419">
        <v>25</v>
      </c>
      <c r="H1419">
        <v>15</v>
      </c>
      <c r="I1419">
        <f>Inventory_Data[[#This Row],[Opening_Stock]]+Inventory_Data[[#This Row],[Units_Received]]-Inventory_Data[[#This Row],[Units_Sold]]</f>
        <v>308</v>
      </c>
      <c r="J1419">
        <v>0</v>
      </c>
      <c r="K1419">
        <v>5</v>
      </c>
      <c r="L1419" t="s">
        <v>49</v>
      </c>
      <c r="M1419" s="3">
        <v>44.65</v>
      </c>
      <c r="N1419" s="3">
        <v>55.92</v>
      </c>
      <c r="O1419" s="10" t="str">
        <f>TEXT(Inventory_Data[[#This Row],[Date]],"mmm")</f>
        <v>Sep</v>
      </c>
    </row>
    <row r="1420" spans="1:15" x14ac:dyDescent="0.2">
      <c r="A1420" s="21">
        <v>45918</v>
      </c>
      <c r="B1420" s="5" t="s">
        <v>86</v>
      </c>
      <c r="C1420" t="s">
        <v>87</v>
      </c>
      <c r="D1420" t="s">
        <v>48</v>
      </c>
      <c r="E1420" t="s">
        <v>21</v>
      </c>
      <c r="F1420">
        <v>227</v>
      </c>
      <c r="G1420">
        <v>76</v>
      </c>
      <c r="H1420">
        <v>29</v>
      </c>
      <c r="I1420">
        <f>Inventory_Data[[#This Row],[Opening_Stock]]+Inventory_Data[[#This Row],[Units_Received]]-Inventory_Data[[#This Row],[Units_Sold]]</f>
        <v>274</v>
      </c>
      <c r="J1420">
        <v>0</v>
      </c>
      <c r="K1420">
        <v>2</v>
      </c>
      <c r="L1420" t="s">
        <v>63</v>
      </c>
      <c r="M1420" s="3">
        <v>56.23</v>
      </c>
      <c r="N1420" s="3">
        <v>75.48</v>
      </c>
      <c r="O1420" s="10" t="str">
        <f>TEXT(Inventory_Data[[#This Row],[Date]],"mmm")</f>
        <v>Sep</v>
      </c>
    </row>
    <row r="1421" spans="1:15" x14ac:dyDescent="0.2">
      <c r="A1421" s="21">
        <v>45918</v>
      </c>
      <c r="B1421" s="5" t="s">
        <v>92</v>
      </c>
      <c r="C1421" t="s">
        <v>93</v>
      </c>
      <c r="D1421" t="s">
        <v>27</v>
      </c>
      <c r="E1421" t="s">
        <v>21</v>
      </c>
      <c r="F1421">
        <v>186</v>
      </c>
      <c r="G1421">
        <v>107</v>
      </c>
      <c r="H1421">
        <v>147</v>
      </c>
      <c r="I1421">
        <f>Inventory_Data[[#This Row],[Opening_Stock]]+Inventory_Data[[#This Row],[Units_Received]]-Inventory_Data[[#This Row],[Units_Sold]]</f>
        <v>146</v>
      </c>
      <c r="J1421">
        <v>0</v>
      </c>
      <c r="K1421">
        <v>5</v>
      </c>
      <c r="L1421" t="s">
        <v>80</v>
      </c>
      <c r="M1421" s="3">
        <v>10.050000000000001</v>
      </c>
      <c r="N1421" s="3">
        <v>14.4</v>
      </c>
      <c r="O1421" s="10" t="str">
        <f>TEXT(Inventory_Data[[#This Row],[Date]],"mmm")</f>
        <v>Sep</v>
      </c>
    </row>
    <row r="1422" spans="1:15" x14ac:dyDescent="0.2">
      <c r="A1422" s="21">
        <v>45918</v>
      </c>
      <c r="B1422" s="5" t="s">
        <v>186</v>
      </c>
      <c r="C1422" t="s">
        <v>187</v>
      </c>
      <c r="D1422" t="s">
        <v>27</v>
      </c>
      <c r="E1422" t="s">
        <v>35</v>
      </c>
      <c r="F1422">
        <v>134</v>
      </c>
      <c r="G1422">
        <v>147</v>
      </c>
      <c r="H1422">
        <v>66</v>
      </c>
      <c r="I1422">
        <f>Inventory_Data[[#This Row],[Opening_Stock]]+Inventory_Data[[#This Row],[Units_Received]]-Inventory_Data[[#This Row],[Units_Sold]]</f>
        <v>215</v>
      </c>
      <c r="J1422">
        <v>0</v>
      </c>
      <c r="K1422">
        <v>2</v>
      </c>
      <c r="L1422" t="s">
        <v>80</v>
      </c>
      <c r="M1422" s="3">
        <v>11.15</v>
      </c>
      <c r="N1422" s="3">
        <v>14.73</v>
      </c>
      <c r="O1422" s="10" t="str">
        <f>TEXT(Inventory_Data[[#This Row],[Date]],"mmm")</f>
        <v>Sep</v>
      </c>
    </row>
    <row r="1423" spans="1:15" x14ac:dyDescent="0.2">
      <c r="A1423" s="21">
        <v>45918</v>
      </c>
      <c r="B1423" s="5" t="s">
        <v>110</v>
      </c>
      <c r="C1423" t="s">
        <v>111</v>
      </c>
      <c r="D1423" t="s">
        <v>52</v>
      </c>
      <c r="E1423" t="s">
        <v>21</v>
      </c>
      <c r="F1423">
        <v>22</v>
      </c>
      <c r="G1423">
        <v>19</v>
      </c>
      <c r="H1423">
        <v>15</v>
      </c>
      <c r="I1423">
        <f>Inventory_Data[[#This Row],[Opening_Stock]]+Inventory_Data[[#This Row],[Units_Received]]-Inventory_Data[[#This Row],[Units_Sold]]</f>
        <v>26</v>
      </c>
      <c r="J1423">
        <v>0</v>
      </c>
      <c r="K1423">
        <v>9</v>
      </c>
      <c r="L1423" t="s">
        <v>83</v>
      </c>
      <c r="M1423" s="3">
        <v>188.71</v>
      </c>
      <c r="N1423" s="3">
        <v>279.68</v>
      </c>
      <c r="O1423" s="10" t="str">
        <f>TEXT(Inventory_Data[[#This Row],[Date]],"mmm")</f>
        <v>Sep</v>
      </c>
    </row>
    <row r="1424" spans="1:15" x14ac:dyDescent="0.2">
      <c r="A1424" s="21">
        <v>45918</v>
      </c>
      <c r="B1424" s="5" t="s">
        <v>174</v>
      </c>
      <c r="C1424" t="s">
        <v>175</v>
      </c>
      <c r="D1424" t="s">
        <v>52</v>
      </c>
      <c r="E1424" t="s">
        <v>28</v>
      </c>
      <c r="F1424">
        <v>77</v>
      </c>
      <c r="G1424">
        <v>17</v>
      </c>
      <c r="H1424">
        <v>20</v>
      </c>
      <c r="I1424">
        <f>Inventory_Data[[#This Row],[Opening_Stock]]+Inventory_Data[[#This Row],[Units_Received]]-Inventory_Data[[#This Row],[Units_Sold]]</f>
        <v>74</v>
      </c>
      <c r="J1424">
        <v>0</v>
      </c>
      <c r="K1424">
        <v>3</v>
      </c>
      <c r="L1424" t="s">
        <v>56</v>
      </c>
      <c r="M1424" s="3">
        <v>289.43</v>
      </c>
      <c r="N1424" s="3">
        <v>336.99</v>
      </c>
      <c r="O1424" s="10" t="str">
        <f>TEXT(Inventory_Data[[#This Row],[Date]],"mmm")</f>
        <v>Sep</v>
      </c>
    </row>
    <row r="1425" spans="1:15" x14ac:dyDescent="0.2">
      <c r="A1425" s="21">
        <v>45918</v>
      </c>
      <c r="B1425" s="5" t="s">
        <v>104</v>
      </c>
      <c r="C1425" t="s">
        <v>105</v>
      </c>
      <c r="D1425" t="s">
        <v>34</v>
      </c>
      <c r="E1425" t="s">
        <v>35</v>
      </c>
      <c r="F1425">
        <v>72</v>
      </c>
      <c r="G1425">
        <v>95</v>
      </c>
      <c r="H1425">
        <v>158</v>
      </c>
      <c r="I1425">
        <f>Inventory_Data[[#This Row],[Opening_Stock]]+Inventory_Data[[#This Row],[Units_Received]]-Inventory_Data[[#This Row],[Units_Sold]]</f>
        <v>9</v>
      </c>
      <c r="J1425">
        <v>0</v>
      </c>
      <c r="K1425">
        <v>10</v>
      </c>
      <c r="L1425" t="s">
        <v>36</v>
      </c>
      <c r="M1425" s="3">
        <v>28.78</v>
      </c>
      <c r="N1425" s="3">
        <v>38.89</v>
      </c>
      <c r="O1425" s="10" t="str">
        <f>TEXT(Inventory_Data[[#This Row],[Date]],"mmm")</f>
        <v>Sep</v>
      </c>
    </row>
    <row r="1426" spans="1:15" x14ac:dyDescent="0.2">
      <c r="A1426" s="21">
        <v>45919</v>
      </c>
      <c r="B1426" s="5" t="s">
        <v>166</v>
      </c>
      <c r="C1426" t="s">
        <v>167</v>
      </c>
      <c r="D1426" t="s">
        <v>16</v>
      </c>
      <c r="E1426" t="s">
        <v>21</v>
      </c>
      <c r="F1426">
        <v>120</v>
      </c>
      <c r="G1426">
        <v>41</v>
      </c>
      <c r="H1426">
        <v>71</v>
      </c>
      <c r="I1426">
        <f>Inventory_Data[[#This Row],[Opening_Stock]]+Inventory_Data[[#This Row],[Units_Received]]-Inventory_Data[[#This Row],[Units_Sold]]</f>
        <v>90</v>
      </c>
      <c r="J1426">
        <v>0</v>
      </c>
      <c r="K1426">
        <v>4</v>
      </c>
      <c r="L1426" t="s">
        <v>24</v>
      </c>
      <c r="M1426" s="3">
        <v>42.42</v>
      </c>
      <c r="N1426" s="3">
        <v>64.959999999999994</v>
      </c>
      <c r="O1426" s="10" t="str">
        <f>TEXT(Inventory_Data[[#This Row],[Date]],"mmm")</f>
        <v>Sep</v>
      </c>
    </row>
    <row r="1427" spans="1:15" x14ac:dyDescent="0.2">
      <c r="A1427" s="21">
        <v>45919</v>
      </c>
      <c r="B1427" s="5" t="s">
        <v>73</v>
      </c>
      <c r="C1427" t="s">
        <v>74</v>
      </c>
      <c r="D1427" t="s">
        <v>16</v>
      </c>
      <c r="E1427" t="s">
        <v>21</v>
      </c>
      <c r="F1427">
        <v>179</v>
      </c>
      <c r="G1427">
        <v>35</v>
      </c>
      <c r="H1427">
        <v>57</v>
      </c>
      <c r="I1427">
        <f>Inventory_Data[[#This Row],[Opening_Stock]]+Inventory_Data[[#This Row],[Units_Received]]-Inventory_Data[[#This Row],[Units_Sold]]</f>
        <v>157</v>
      </c>
      <c r="J1427">
        <v>0</v>
      </c>
      <c r="K1427">
        <v>5</v>
      </c>
      <c r="L1427" t="s">
        <v>24</v>
      </c>
      <c r="M1427" s="3">
        <v>177.5</v>
      </c>
      <c r="N1427" s="3">
        <v>267.14</v>
      </c>
      <c r="O1427" s="10" t="str">
        <f>TEXT(Inventory_Data[[#This Row],[Date]],"mmm")</f>
        <v>Sep</v>
      </c>
    </row>
    <row r="1428" spans="1:15" x14ac:dyDescent="0.2">
      <c r="A1428" s="21">
        <v>45919</v>
      </c>
      <c r="B1428" s="5" t="s">
        <v>19</v>
      </c>
      <c r="C1428" t="s">
        <v>20</v>
      </c>
      <c r="D1428" t="s">
        <v>16</v>
      </c>
      <c r="E1428" t="s">
        <v>21</v>
      </c>
      <c r="F1428">
        <v>88</v>
      </c>
      <c r="G1428">
        <v>69</v>
      </c>
      <c r="H1428">
        <v>54</v>
      </c>
      <c r="I1428">
        <f>Inventory_Data[[#This Row],[Opening_Stock]]+Inventory_Data[[#This Row],[Units_Received]]-Inventory_Data[[#This Row],[Units_Sold]]</f>
        <v>103</v>
      </c>
      <c r="J1428">
        <v>0</v>
      </c>
      <c r="K1428">
        <v>14</v>
      </c>
      <c r="L1428" t="s">
        <v>18</v>
      </c>
      <c r="M1428" s="3">
        <v>179.57</v>
      </c>
      <c r="N1428" s="3">
        <v>223.67</v>
      </c>
      <c r="O1428" s="10" t="str">
        <f>TEXT(Inventory_Data[[#This Row],[Date]],"mmm")</f>
        <v>Sep</v>
      </c>
    </row>
    <row r="1429" spans="1:15" x14ac:dyDescent="0.2">
      <c r="A1429" s="21">
        <v>45919</v>
      </c>
      <c r="B1429" s="5" t="s">
        <v>184</v>
      </c>
      <c r="C1429" t="s">
        <v>185</v>
      </c>
      <c r="D1429" t="s">
        <v>16</v>
      </c>
      <c r="E1429" t="s">
        <v>21</v>
      </c>
      <c r="F1429">
        <v>104</v>
      </c>
      <c r="G1429">
        <v>73</v>
      </c>
      <c r="H1429">
        <v>34</v>
      </c>
      <c r="I1429">
        <f>Inventory_Data[[#This Row],[Opening_Stock]]+Inventory_Data[[#This Row],[Units_Received]]-Inventory_Data[[#This Row],[Units_Sold]]</f>
        <v>143</v>
      </c>
      <c r="J1429">
        <v>0</v>
      </c>
      <c r="K1429">
        <v>3</v>
      </c>
      <c r="L1429" t="s">
        <v>24</v>
      </c>
      <c r="M1429" s="3">
        <v>192.27</v>
      </c>
      <c r="N1429" s="3">
        <v>255.37</v>
      </c>
      <c r="O1429" s="10" t="str">
        <f>TEXT(Inventory_Data[[#This Row],[Date]],"mmm")</f>
        <v>Sep</v>
      </c>
    </row>
    <row r="1430" spans="1:15" x14ac:dyDescent="0.2">
      <c r="A1430" s="21">
        <v>45919</v>
      </c>
      <c r="B1430" s="5" t="s">
        <v>170</v>
      </c>
      <c r="C1430" t="s">
        <v>171</v>
      </c>
      <c r="D1430" t="s">
        <v>48</v>
      </c>
      <c r="E1430" t="s">
        <v>28</v>
      </c>
      <c r="F1430">
        <v>114</v>
      </c>
      <c r="G1430">
        <v>40</v>
      </c>
      <c r="H1430">
        <v>96</v>
      </c>
      <c r="I1430">
        <f>Inventory_Data[[#This Row],[Opening_Stock]]+Inventory_Data[[#This Row],[Units_Received]]-Inventory_Data[[#This Row],[Units_Sold]]</f>
        <v>58</v>
      </c>
      <c r="J1430">
        <v>0</v>
      </c>
      <c r="K1430">
        <v>10</v>
      </c>
      <c r="L1430" t="s">
        <v>77</v>
      </c>
      <c r="M1430" s="3">
        <v>60.83</v>
      </c>
      <c r="N1430" s="3">
        <v>93.66</v>
      </c>
      <c r="O1430" s="10" t="str">
        <f>TEXT(Inventory_Data[[#This Row],[Date]],"mmm")</f>
        <v>Sep</v>
      </c>
    </row>
    <row r="1431" spans="1:15" x14ac:dyDescent="0.2">
      <c r="A1431" s="21">
        <v>45919</v>
      </c>
      <c r="B1431" s="5" t="s">
        <v>96</v>
      </c>
      <c r="C1431" t="s">
        <v>97</v>
      </c>
      <c r="D1431" t="s">
        <v>48</v>
      </c>
      <c r="E1431" t="s">
        <v>35</v>
      </c>
      <c r="F1431">
        <v>47</v>
      </c>
      <c r="G1431">
        <v>91</v>
      </c>
      <c r="H1431">
        <v>128</v>
      </c>
      <c r="I1431">
        <f>Inventory_Data[[#This Row],[Opening_Stock]]+Inventory_Data[[#This Row],[Units_Received]]-Inventory_Data[[#This Row],[Units_Sold]]</f>
        <v>10</v>
      </c>
      <c r="J1431">
        <v>0</v>
      </c>
      <c r="K1431">
        <v>3</v>
      </c>
      <c r="L1431" t="s">
        <v>77</v>
      </c>
      <c r="M1431" s="3">
        <v>10.81</v>
      </c>
      <c r="N1431" s="3">
        <v>15.47</v>
      </c>
      <c r="O1431" s="10" t="str">
        <f>TEXT(Inventory_Data[[#This Row],[Date]],"mmm")</f>
        <v>Sep</v>
      </c>
    </row>
    <row r="1432" spans="1:15" x14ac:dyDescent="0.2">
      <c r="A1432" s="21">
        <v>45919</v>
      </c>
      <c r="B1432" s="5" t="s">
        <v>160</v>
      </c>
      <c r="C1432" t="s">
        <v>161</v>
      </c>
      <c r="D1432" t="s">
        <v>27</v>
      </c>
      <c r="E1432" t="s">
        <v>28</v>
      </c>
      <c r="F1432">
        <v>306</v>
      </c>
      <c r="G1432">
        <v>154</v>
      </c>
      <c r="H1432">
        <v>119</v>
      </c>
      <c r="I1432">
        <f>Inventory_Data[[#This Row],[Opening_Stock]]+Inventory_Data[[#This Row],[Units_Received]]-Inventory_Data[[#This Row],[Units_Sold]]</f>
        <v>341</v>
      </c>
      <c r="J1432">
        <v>0</v>
      </c>
      <c r="K1432">
        <v>5</v>
      </c>
      <c r="L1432" t="s">
        <v>80</v>
      </c>
      <c r="M1432" s="3">
        <v>2.74</v>
      </c>
      <c r="N1432" s="3">
        <v>3.48</v>
      </c>
      <c r="O1432" s="10" t="str">
        <f>TEXT(Inventory_Data[[#This Row],[Date]],"mmm")</f>
        <v>Sep</v>
      </c>
    </row>
    <row r="1433" spans="1:15" x14ac:dyDescent="0.2">
      <c r="A1433" s="21">
        <v>45920</v>
      </c>
      <c r="B1433" s="5" t="s">
        <v>152</v>
      </c>
      <c r="C1433" t="s">
        <v>153</v>
      </c>
      <c r="D1433" t="s">
        <v>16</v>
      </c>
      <c r="E1433" t="s">
        <v>35</v>
      </c>
      <c r="F1433">
        <v>131</v>
      </c>
      <c r="G1433">
        <v>53</v>
      </c>
      <c r="H1433">
        <v>60</v>
      </c>
      <c r="I1433">
        <f>Inventory_Data[[#This Row],[Opening_Stock]]+Inventory_Data[[#This Row],[Units_Received]]-Inventory_Data[[#This Row],[Units_Sold]]</f>
        <v>124</v>
      </c>
      <c r="J1433">
        <v>0</v>
      </c>
      <c r="K1433">
        <v>11</v>
      </c>
      <c r="L1433" t="s">
        <v>18</v>
      </c>
      <c r="M1433" s="3">
        <v>180.2</v>
      </c>
      <c r="N1433" s="3">
        <v>278.57</v>
      </c>
      <c r="O1433" s="10" t="str">
        <f>TEXT(Inventory_Data[[#This Row],[Date]],"mmm")</f>
        <v>Sep</v>
      </c>
    </row>
    <row r="1434" spans="1:15" x14ac:dyDescent="0.2">
      <c r="A1434" s="21">
        <v>45920</v>
      </c>
      <c r="B1434" s="5" t="s">
        <v>104</v>
      </c>
      <c r="C1434" t="s">
        <v>105</v>
      </c>
      <c r="D1434" t="s">
        <v>34</v>
      </c>
      <c r="E1434" t="s">
        <v>35</v>
      </c>
      <c r="F1434">
        <v>323</v>
      </c>
      <c r="G1434">
        <v>36</v>
      </c>
      <c r="H1434">
        <v>50</v>
      </c>
      <c r="I1434">
        <f>Inventory_Data[[#This Row],[Opening_Stock]]+Inventory_Data[[#This Row],[Units_Received]]-Inventory_Data[[#This Row],[Units_Sold]]</f>
        <v>309</v>
      </c>
      <c r="J1434">
        <v>0</v>
      </c>
      <c r="K1434">
        <v>3</v>
      </c>
      <c r="L1434" t="s">
        <v>39</v>
      </c>
      <c r="M1434" s="3">
        <v>22.38</v>
      </c>
      <c r="N1434" s="3">
        <v>34.46</v>
      </c>
      <c r="O1434" s="10" t="str">
        <f>TEXT(Inventory_Data[[#This Row],[Date]],"mmm")</f>
        <v>Sep</v>
      </c>
    </row>
    <row r="1435" spans="1:15" x14ac:dyDescent="0.2">
      <c r="A1435" s="21">
        <v>45921</v>
      </c>
      <c r="B1435" s="5" t="s">
        <v>106</v>
      </c>
      <c r="C1435" t="s">
        <v>107</v>
      </c>
      <c r="D1435" t="s">
        <v>16</v>
      </c>
      <c r="E1435" t="s">
        <v>17</v>
      </c>
      <c r="F1435">
        <v>98</v>
      </c>
      <c r="G1435">
        <v>66</v>
      </c>
      <c r="H1435">
        <v>53</v>
      </c>
      <c r="I1435">
        <f>Inventory_Data[[#This Row],[Opening_Stock]]+Inventory_Data[[#This Row],[Units_Received]]-Inventory_Data[[#This Row],[Units_Sold]]</f>
        <v>111</v>
      </c>
      <c r="J1435">
        <v>0</v>
      </c>
      <c r="K1435">
        <v>14</v>
      </c>
      <c r="L1435" t="s">
        <v>18</v>
      </c>
      <c r="M1435" s="3">
        <v>107.35</v>
      </c>
      <c r="N1435" s="3">
        <v>145.5</v>
      </c>
      <c r="O1435" s="10" t="str">
        <f>TEXT(Inventory_Data[[#This Row],[Date]],"mmm")</f>
        <v>Sep</v>
      </c>
    </row>
    <row r="1436" spans="1:15" x14ac:dyDescent="0.2">
      <c r="A1436" s="21">
        <v>45921</v>
      </c>
      <c r="B1436" s="5" t="s">
        <v>152</v>
      </c>
      <c r="C1436" t="s">
        <v>153</v>
      </c>
      <c r="D1436" t="s">
        <v>16</v>
      </c>
      <c r="E1436" t="s">
        <v>17</v>
      </c>
      <c r="F1436">
        <v>39</v>
      </c>
      <c r="G1436">
        <v>19</v>
      </c>
      <c r="H1436">
        <v>29</v>
      </c>
      <c r="I1436">
        <f>Inventory_Data[[#This Row],[Opening_Stock]]+Inventory_Data[[#This Row],[Units_Received]]-Inventory_Data[[#This Row],[Units_Sold]]</f>
        <v>29</v>
      </c>
      <c r="J1436">
        <v>0</v>
      </c>
      <c r="K1436">
        <v>3</v>
      </c>
      <c r="L1436" t="s">
        <v>45</v>
      </c>
      <c r="M1436" s="3">
        <v>42.17</v>
      </c>
      <c r="N1436" s="3">
        <v>63.04</v>
      </c>
      <c r="O1436" s="10" t="str">
        <f>TEXT(Inventory_Data[[#This Row],[Date]],"mmm")</f>
        <v>Sep</v>
      </c>
    </row>
    <row r="1437" spans="1:15" x14ac:dyDescent="0.2">
      <c r="A1437" s="21">
        <v>45921</v>
      </c>
      <c r="B1437" s="5" t="s">
        <v>178</v>
      </c>
      <c r="C1437" t="s">
        <v>179</v>
      </c>
      <c r="D1437" t="s">
        <v>16</v>
      </c>
      <c r="E1437" t="s">
        <v>17</v>
      </c>
      <c r="F1437">
        <v>141</v>
      </c>
      <c r="G1437">
        <v>15</v>
      </c>
      <c r="H1437">
        <v>32</v>
      </c>
      <c r="I1437">
        <f>Inventory_Data[[#This Row],[Opening_Stock]]+Inventory_Data[[#This Row],[Units_Received]]-Inventory_Data[[#This Row],[Units_Sold]]</f>
        <v>124</v>
      </c>
      <c r="J1437">
        <v>0</v>
      </c>
      <c r="K1437">
        <v>9</v>
      </c>
      <c r="L1437" t="s">
        <v>18</v>
      </c>
      <c r="M1437" s="3">
        <v>70.59</v>
      </c>
      <c r="N1437" s="3">
        <v>89.56</v>
      </c>
      <c r="O1437" s="10" t="str">
        <f>TEXT(Inventory_Data[[#This Row],[Date]],"mmm")</f>
        <v>Sep</v>
      </c>
    </row>
    <row r="1438" spans="1:15" x14ac:dyDescent="0.2">
      <c r="A1438" s="21">
        <v>45921</v>
      </c>
      <c r="B1438" s="5" t="s">
        <v>170</v>
      </c>
      <c r="C1438" t="s">
        <v>171</v>
      </c>
      <c r="D1438" t="s">
        <v>48</v>
      </c>
      <c r="E1438" t="s">
        <v>28</v>
      </c>
      <c r="F1438">
        <v>66</v>
      </c>
      <c r="G1438">
        <v>53</v>
      </c>
      <c r="H1438">
        <v>42</v>
      </c>
      <c r="I1438">
        <f>Inventory_Data[[#This Row],[Opening_Stock]]+Inventory_Data[[#This Row],[Units_Received]]-Inventory_Data[[#This Row],[Units_Sold]]</f>
        <v>77</v>
      </c>
      <c r="J1438">
        <v>0</v>
      </c>
      <c r="K1438">
        <v>13</v>
      </c>
      <c r="L1438" t="s">
        <v>49</v>
      </c>
      <c r="M1438" s="3">
        <v>54.74</v>
      </c>
      <c r="N1438" s="3">
        <v>70.28</v>
      </c>
      <c r="O1438" s="10" t="str">
        <f>TEXT(Inventory_Data[[#This Row],[Date]],"mmm")</f>
        <v>Sep</v>
      </c>
    </row>
    <row r="1439" spans="1:15" x14ac:dyDescent="0.2">
      <c r="A1439" s="21">
        <v>45921</v>
      </c>
      <c r="B1439" s="5" t="s">
        <v>86</v>
      </c>
      <c r="C1439" t="s">
        <v>87</v>
      </c>
      <c r="D1439" t="s">
        <v>48</v>
      </c>
      <c r="E1439" t="s">
        <v>17</v>
      </c>
      <c r="F1439">
        <v>230</v>
      </c>
      <c r="G1439">
        <v>70</v>
      </c>
      <c r="H1439">
        <v>45</v>
      </c>
      <c r="I1439">
        <f>Inventory_Data[[#This Row],[Opening_Stock]]+Inventory_Data[[#This Row],[Units_Received]]-Inventory_Data[[#This Row],[Units_Sold]]</f>
        <v>255</v>
      </c>
      <c r="J1439">
        <v>0</v>
      </c>
      <c r="K1439">
        <v>2</v>
      </c>
      <c r="L1439" t="s">
        <v>49</v>
      </c>
      <c r="M1439" s="3">
        <v>84.5</v>
      </c>
      <c r="N1439" s="3">
        <v>125.14</v>
      </c>
      <c r="O1439" s="10" t="str">
        <f>TEXT(Inventory_Data[[#This Row],[Date]],"mmm")</f>
        <v>Sep</v>
      </c>
    </row>
    <row r="1440" spans="1:15" x14ac:dyDescent="0.2">
      <c r="A1440" s="21">
        <v>45921</v>
      </c>
      <c r="B1440" s="5" t="s">
        <v>164</v>
      </c>
      <c r="C1440" t="s">
        <v>165</v>
      </c>
      <c r="D1440" t="s">
        <v>48</v>
      </c>
      <c r="E1440" t="s">
        <v>35</v>
      </c>
      <c r="F1440">
        <v>185</v>
      </c>
      <c r="G1440">
        <v>119</v>
      </c>
      <c r="H1440">
        <v>39</v>
      </c>
      <c r="I1440">
        <f>Inventory_Data[[#This Row],[Opening_Stock]]+Inventory_Data[[#This Row],[Units_Received]]-Inventory_Data[[#This Row],[Units_Sold]]</f>
        <v>265</v>
      </c>
      <c r="J1440">
        <v>0</v>
      </c>
      <c r="K1440">
        <v>14</v>
      </c>
      <c r="L1440" t="s">
        <v>63</v>
      </c>
      <c r="M1440" s="3">
        <v>35.68</v>
      </c>
      <c r="N1440" s="3">
        <v>52.49</v>
      </c>
      <c r="O1440" s="10" t="str">
        <f>TEXT(Inventory_Data[[#This Row],[Date]],"mmm")</f>
        <v>Sep</v>
      </c>
    </row>
    <row r="1441" spans="1:15" x14ac:dyDescent="0.2">
      <c r="A1441" s="21">
        <v>45921</v>
      </c>
      <c r="B1441" s="5" t="s">
        <v>190</v>
      </c>
      <c r="C1441" t="s">
        <v>191</v>
      </c>
      <c r="D1441" t="s">
        <v>48</v>
      </c>
      <c r="E1441" t="s">
        <v>21</v>
      </c>
      <c r="F1441">
        <v>164</v>
      </c>
      <c r="G1441">
        <v>100</v>
      </c>
      <c r="H1441">
        <v>94</v>
      </c>
      <c r="I1441">
        <f>Inventory_Data[[#This Row],[Opening_Stock]]+Inventory_Data[[#This Row],[Units_Received]]-Inventory_Data[[#This Row],[Units_Sold]]</f>
        <v>170</v>
      </c>
      <c r="J1441">
        <v>0</v>
      </c>
      <c r="K1441">
        <v>4</v>
      </c>
      <c r="L1441" t="s">
        <v>63</v>
      </c>
      <c r="M1441" s="3">
        <v>61.44</v>
      </c>
      <c r="N1441" s="3">
        <v>88.17</v>
      </c>
      <c r="O1441" s="10" t="str">
        <f>TEXT(Inventory_Data[[#This Row],[Date]],"mmm")</f>
        <v>Sep</v>
      </c>
    </row>
    <row r="1442" spans="1:15" x14ac:dyDescent="0.2">
      <c r="A1442" s="21">
        <v>45921</v>
      </c>
      <c r="B1442" s="5" t="s">
        <v>92</v>
      </c>
      <c r="C1442" t="s">
        <v>93</v>
      </c>
      <c r="D1442" t="s">
        <v>27</v>
      </c>
      <c r="E1442" t="s">
        <v>17</v>
      </c>
      <c r="F1442">
        <v>435</v>
      </c>
      <c r="G1442">
        <v>199</v>
      </c>
      <c r="H1442">
        <v>202</v>
      </c>
      <c r="I1442">
        <f>Inventory_Data[[#This Row],[Opening_Stock]]+Inventory_Data[[#This Row],[Units_Received]]-Inventory_Data[[#This Row],[Units_Sold]]</f>
        <v>432</v>
      </c>
      <c r="J1442">
        <v>0</v>
      </c>
      <c r="K1442">
        <v>7</v>
      </c>
      <c r="L1442" t="s">
        <v>29</v>
      </c>
      <c r="M1442" s="3">
        <v>13.77</v>
      </c>
      <c r="N1442" s="3">
        <v>15.86</v>
      </c>
      <c r="O1442" s="10" t="str">
        <f>TEXT(Inventory_Data[[#This Row],[Date]],"mmm")</f>
        <v>Sep</v>
      </c>
    </row>
    <row r="1443" spans="1:15" x14ac:dyDescent="0.2">
      <c r="A1443" s="21">
        <v>45921</v>
      </c>
      <c r="B1443" s="5" t="s">
        <v>54</v>
      </c>
      <c r="C1443" t="s">
        <v>55</v>
      </c>
      <c r="D1443" t="s">
        <v>52</v>
      </c>
      <c r="E1443" t="s">
        <v>21</v>
      </c>
      <c r="F1443">
        <v>28</v>
      </c>
      <c r="G1443">
        <v>17</v>
      </c>
      <c r="H1443">
        <v>2</v>
      </c>
      <c r="I1443">
        <f>Inventory_Data[[#This Row],[Opening_Stock]]+Inventory_Data[[#This Row],[Units_Received]]-Inventory_Data[[#This Row],[Units_Sold]]</f>
        <v>43</v>
      </c>
      <c r="J1443">
        <v>0</v>
      </c>
      <c r="K1443">
        <v>11</v>
      </c>
      <c r="L1443" t="s">
        <v>53</v>
      </c>
      <c r="M1443" s="3">
        <v>308.06</v>
      </c>
      <c r="N1443" s="3">
        <v>396.45</v>
      </c>
      <c r="O1443" s="10" t="str">
        <f>TEXT(Inventory_Data[[#This Row],[Date]],"mmm")</f>
        <v>Sep</v>
      </c>
    </row>
    <row r="1444" spans="1:15" x14ac:dyDescent="0.2">
      <c r="A1444" s="21">
        <v>45921</v>
      </c>
      <c r="B1444" s="5" t="s">
        <v>180</v>
      </c>
      <c r="C1444" t="s">
        <v>181</v>
      </c>
      <c r="D1444" t="s">
        <v>34</v>
      </c>
      <c r="E1444" t="s">
        <v>21</v>
      </c>
      <c r="F1444">
        <v>376</v>
      </c>
      <c r="G1444">
        <v>67</v>
      </c>
      <c r="H1444">
        <v>162</v>
      </c>
      <c r="I1444">
        <f>Inventory_Data[[#This Row],[Opening_Stock]]+Inventory_Data[[#This Row],[Units_Received]]-Inventory_Data[[#This Row],[Units_Sold]]</f>
        <v>281</v>
      </c>
      <c r="J1444">
        <v>0</v>
      </c>
      <c r="K1444">
        <v>3</v>
      </c>
      <c r="L1444" t="s">
        <v>39</v>
      </c>
      <c r="M1444" s="3">
        <v>4.6399999999999997</v>
      </c>
      <c r="N1444" s="3">
        <v>6.76</v>
      </c>
      <c r="O1444" s="10" t="str">
        <f>TEXT(Inventory_Data[[#This Row],[Date]],"mmm")</f>
        <v>Sep</v>
      </c>
    </row>
    <row r="1445" spans="1:15" x14ac:dyDescent="0.2">
      <c r="A1445" s="21">
        <v>45921</v>
      </c>
      <c r="B1445" s="5" t="s">
        <v>196</v>
      </c>
      <c r="C1445" t="s">
        <v>197</v>
      </c>
      <c r="D1445" t="s">
        <v>34</v>
      </c>
      <c r="E1445" t="s">
        <v>28</v>
      </c>
      <c r="F1445">
        <v>285</v>
      </c>
      <c r="G1445">
        <v>181</v>
      </c>
      <c r="H1445">
        <v>155</v>
      </c>
      <c r="I1445">
        <f>Inventory_Data[[#This Row],[Opening_Stock]]+Inventory_Data[[#This Row],[Units_Received]]-Inventory_Data[[#This Row],[Units_Sold]]</f>
        <v>311</v>
      </c>
      <c r="J1445">
        <v>0</v>
      </c>
      <c r="K1445">
        <v>3</v>
      </c>
      <c r="L1445" t="s">
        <v>36</v>
      </c>
      <c r="M1445" s="3">
        <v>8.52</v>
      </c>
      <c r="N1445" s="3">
        <v>10.09</v>
      </c>
      <c r="O1445" s="10" t="str">
        <f>TEXT(Inventory_Data[[#This Row],[Date]],"mmm")</f>
        <v>Sep</v>
      </c>
    </row>
    <row r="1446" spans="1:15" x14ac:dyDescent="0.2">
      <c r="A1446" s="21">
        <v>45922</v>
      </c>
      <c r="B1446" s="5" t="s">
        <v>192</v>
      </c>
      <c r="C1446" t="s">
        <v>193</v>
      </c>
      <c r="D1446" t="s">
        <v>48</v>
      </c>
      <c r="E1446" t="s">
        <v>21</v>
      </c>
      <c r="F1446">
        <v>193</v>
      </c>
      <c r="G1446">
        <v>121</v>
      </c>
      <c r="H1446">
        <v>119</v>
      </c>
      <c r="I1446">
        <f>Inventory_Data[[#This Row],[Opening_Stock]]+Inventory_Data[[#This Row],[Units_Received]]-Inventory_Data[[#This Row],[Units_Sold]]</f>
        <v>195</v>
      </c>
      <c r="J1446">
        <v>0</v>
      </c>
      <c r="K1446">
        <v>13</v>
      </c>
      <c r="L1446" t="s">
        <v>77</v>
      </c>
      <c r="M1446" s="3">
        <v>37.409999999999997</v>
      </c>
      <c r="N1446" s="3">
        <v>56.66</v>
      </c>
      <c r="O1446" s="10" t="str">
        <f>TEXT(Inventory_Data[[#This Row],[Date]],"mmm")</f>
        <v>Sep</v>
      </c>
    </row>
    <row r="1447" spans="1:15" x14ac:dyDescent="0.2">
      <c r="A1447" s="21">
        <v>45922</v>
      </c>
      <c r="B1447" s="5" t="s">
        <v>148</v>
      </c>
      <c r="C1447" t="s">
        <v>149</v>
      </c>
      <c r="D1447" t="s">
        <v>27</v>
      </c>
      <c r="E1447" t="s">
        <v>28</v>
      </c>
      <c r="F1447">
        <v>402</v>
      </c>
      <c r="G1447">
        <v>219</v>
      </c>
      <c r="H1447">
        <v>209</v>
      </c>
      <c r="I1447">
        <f>Inventory_Data[[#This Row],[Opening_Stock]]+Inventory_Data[[#This Row],[Units_Received]]-Inventory_Data[[#This Row],[Units_Sold]]</f>
        <v>412</v>
      </c>
      <c r="J1447">
        <v>0</v>
      </c>
      <c r="K1447">
        <v>7</v>
      </c>
      <c r="L1447" t="s">
        <v>66</v>
      </c>
      <c r="M1447" s="3">
        <v>23.67</v>
      </c>
      <c r="N1447" s="3">
        <v>35.49</v>
      </c>
      <c r="O1447" s="10" t="str">
        <f>TEXT(Inventory_Data[[#This Row],[Date]],"mmm")</f>
        <v>Sep</v>
      </c>
    </row>
    <row r="1448" spans="1:15" x14ac:dyDescent="0.2">
      <c r="A1448" s="21">
        <v>45922</v>
      </c>
      <c r="B1448" s="5" t="s">
        <v>37</v>
      </c>
      <c r="C1448" t="s">
        <v>38</v>
      </c>
      <c r="D1448" t="s">
        <v>34</v>
      </c>
      <c r="E1448" t="s">
        <v>28</v>
      </c>
      <c r="F1448">
        <v>377</v>
      </c>
      <c r="G1448">
        <v>173</v>
      </c>
      <c r="H1448">
        <v>150</v>
      </c>
      <c r="I1448">
        <f>Inventory_Data[[#This Row],[Opening_Stock]]+Inventory_Data[[#This Row],[Units_Received]]-Inventory_Data[[#This Row],[Units_Sold]]</f>
        <v>400</v>
      </c>
      <c r="J1448">
        <v>0</v>
      </c>
      <c r="K1448">
        <v>10</v>
      </c>
      <c r="L1448" t="s">
        <v>39</v>
      </c>
      <c r="M1448" s="3">
        <v>8.7799999999999994</v>
      </c>
      <c r="N1448" s="3">
        <v>12.17</v>
      </c>
      <c r="O1448" s="10" t="str">
        <f>TEXT(Inventory_Data[[#This Row],[Date]],"mmm")</f>
        <v>Sep</v>
      </c>
    </row>
    <row r="1449" spans="1:15" x14ac:dyDescent="0.2">
      <c r="A1449" s="21">
        <v>45923</v>
      </c>
      <c r="B1449" s="5" t="s">
        <v>184</v>
      </c>
      <c r="C1449" t="s">
        <v>185</v>
      </c>
      <c r="D1449" t="s">
        <v>16</v>
      </c>
      <c r="E1449" t="s">
        <v>21</v>
      </c>
      <c r="F1449">
        <v>27</v>
      </c>
      <c r="G1449">
        <v>90</v>
      </c>
      <c r="H1449">
        <v>41</v>
      </c>
      <c r="I1449">
        <f>Inventory_Data[[#This Row],[Opening_Stock]]+Inventory_Data[[#This Row],[Units_Received]]-Inventory_Data[[#This Row],[Units_Sold]]</f>
        <v>76</v>
      </c>
      <c r="J1449">
        <v>0</v>
      </c>
      <c r="K1449">
        <v>14</v>
      </c>
      <c r="L1449" t="s">
        <v>24</v>
      </c>
      <c r="M1449" s="3">
        <v>153.51</v>
      </c>
      <c r="N1449" s="3">
        <v>209.85</v>
      </c>
      <c r="O1449" s="10" t="str">
        <f>TEXT(Inventory_Data[[#This Row],[Date]],"mmm")</f>
        <v>Sep</v>
      </c>
    </row>
    <row r="1450" spans="1:15" x14ac:dyDescent="0.2">
      <c r="A1450" s="21">
        <v>45923</v>
      </c>
      <c r="B1450" s="5" t="s">
        <v>46</v>
      </c>
      <c r="C1450" t="s">
        <v>47</v>
      </c>
      <c r="D1450" t="s">
        <v>48</v>
      </c>
      <c r="E1450" t="s">
        <v>35</v>
      </c>
      <c r="F1450">
        <v>88</v>
      </c>
      <c r="G1450">
        <v>82</v>
      </c>
      <c r="H1450">
        <v>64</v>
      </c>
      <c r="I1450">
        <f>Inventory_Data[[#This Row],[Opening_Stock]]+Inventory_Data[[#This Row],[Units_Received]]-Inventory_Data[[#This Row],[Units_Sold]]</f>
        <v>106</v>
      </c>
      <c r="J1450">
        <v>0</v>
      </c>
      <c r="K1450">
        <v>8</v>
      </c>
      <c r="L1450" t="s">
        <v>49</v>
      </c>
      <c r="M1450" s="3">
        <v>71.63</v>
      </c>
      <c r="N1450" s="3">
        <v>105.23</v>
      </c>
      <c r="O1450" s="10" t="str">
        <f>TEXT(Inventory_Data[[#This Row],[Date]],"mmm")</f>
        <v>Sep</v>
      </c>
    </row>
    <row r="1451" spans="1:15" x14ac:dyDescent="0.2">
      <c r="A1451" s="21">
        <v>45923</v>
      </c>
      <c r="B1451" s="5" t="s">
        <v>168</v>
      </c>
      <c r="C1451" t="s">
        <v>169</v>
      </c>
      <c r="D1451" t="s">
        <v>34</v>
      </c>
      <c r="E1451" t="s">
        <v>35</v>
      </c>
      <c r="F1451">
        <v>217</v>
      </c>
      <c r="G1451">
        <v>87</v>
      </c>
      <c r="H1451">
        <v>100</v>
      </c>
      <c r="I1451">
        <f>Inventory_Data[[#This Row],[Opening_Stock]]+Inventory_Data[[#This Row],[Units_Received]]-Inventory_Data[[#This Row],[Units_Sold]]</f>
        <v>204</v>
      </c>
      <c r="J1451">
        <v>0</v>
      </c>
      <c r="K1451">
        <v>8</v>
      </c>
      <c r="L1451" t="s">
        <v>42</v>
      </c>
      <c r="M1451" s="3">
        <v>19.559999999999999</v>
      </c>
      <c r="N1451" s="3">
        <v>27.25</v>
      </c>
      <c r="O1451" s="10" t="str">
        <f>TEXT(Inventory_Data[[#This Row],[Date]],"mmm")</f>
        <v>Sep</v>
      </c>
    </row>
    <row r="1452" spans="1:15" x14ac:dyDescent="0.2">
      <c r="A1452" s="21">
        <v>45923</v>
      </c>
      <c r="B1452" s="5" t="s">
        <v>196</v>
      </c>
      <c r="C1452" t="s">
        <v>197</v>
      </c>
      <c r="D1452" t="s">
        <v>34</v>
      </c>
      <c r="E1452" t="s">
        <v>21</v>
      </c>
      <c r="F1452">
        <v>392</v>
      </c>
      <c r="G1452">
        <v>105</v>
      </c>
      <c r="H1452">
        <v>128</v>
      </c>
      <c r="I1452">
        <f>Inventory_Data[[#This Row],[Opening_Stock]]+Inventory_Data[[#This Row],[Units_Received]]-Inventory_Data[[#This Row],[Units_Sold]]</f>
        <v>369</v>
      </c>
      <c r="J1452">
        <v>0</v>
      </c>
      <c r="K1452">
        <v>6</v>
      </c>
      <c r="L1452" t="s">
        <v>39</v>
      </c>
      <c r="M1452" s="3">
        <v>27.59</v>
      </c>
      <c r="N1452" s="3">
        <v>37.909999999999997</v>
      </c>
      <c r="O1452" s="10" t="str">
        <f>TEXT(Inventory_Data[[#This Row],[Date]],"mmm")</f>
        <v>Sep</v>
      </c>
    </row>
    <row r="1453" spans="1:15" x14ac:dyDescent="0.2">
      <c r="A1453" s="21">
        <v>45924</v>
      </c>
      <c r="B1453" s="5" t="s">
        <v>130</v>
      </c>
      <c r="C1453" t="s">
        <v>131</v>
      </c>
      <c r="D1453" t="s">
        <v>48</v>
      </c>
      <c r="E1453" t="s">
        <v>35</v>
      </c>
      <c r="F1453">
        <v>270</v>
      </c>
      <c r="G1453">
        <v>125</v>
      </c>
      <c r="H1453">
        <v>134</v>
      </c>
      <c r="I1453">
        <f>Inventory_Data[[#This Row],[Opening_Stock]]+Inventory_Data[[#This Row],[Units_Received]]-Inventory_Data[[#This Row],[Units_Sold]]</f>
        <v>261</v>
      </c>
      <c r="J1453">
        <v>0</v>
      </c>
      <c r="K1453">
        <v>13</v>
      </c>
      <c r="L1453" t="s">
        <v>77</v>
      </c>
      <c r="M1453" s="3">
        <v>17.29</v>
      </c>
      <c r="N1453" s="3">
        <v>25.23</v>
      </c>
      <c r="O1453" s="10" t="str">
        <f>TEXT(Inventory_Data[[#This Row],[Date]],"mmm")</f>
        <v>Sep</v>
      </c>
    </row>
    <row r="1454" spans="1:15" x14ac:dyDescent="0.2">
      <c r="A1454" s="21">
        <v>45924</v>
      </c>
      <c r="B1454" s="5" t="s">
        <v>170</v>
      </c>
      <c r="C1454" t="s">
        <v>171</v>
      </c>
      <c r="D1454" t="s">
        <v>48</v>
      </c>
      <c r="E1454" t="s">
        <v>21</v>
      </c>
      <c r="F1454">
        <v>146</v>
      </c>
      <c r="G1454">
        <v>120</v>
      </c>
      <c r="H1454">
        <v>57</v>
      </c>
      <c r="I1454">
        <f>Inventory_Data[[#This Row],[Opening_Stock]]+Inventory_Data[[#This Row],[Units_Received]]-Inventory_Data[[#This Row],[Units_Sold]]</f>
        <v>209</v>
      </c>
      <c r="J1454">
        <v>0</v>
      </c>
      <c r="K1454">
        <v>8</v>
      </c>
      <c r="L1454" t="s">
        <v>49</v>
      </c>
      <c r="M1454" s="3">
        <v>77.5</v>
      </c>
      <c r="N1454" s="3">
        <v>94.76</v>
      </c>
      <c r="O1454" s="10" t="str">
        <f>TEXT(Inventory_Data[[#This Row],[Date]],"mmm")</f>
        <v>Sep</v>
      </c>
    </row>
    <row r="1455" spans="1:15" x14ac:dyDescent="0.2">
      <c r="A1455" s="21">
        <v>45924</v>
      </c>
      <c r="B1455" s="5" t="s">
        <v>75</v>
      </c>
      <c r="C1455" t="s">
        <v>76</v>
      </c>
      <c r="D1455" t="s">
        <v>48</v>
      </c>
      <c r="E1455" t="s">
        <v>28</v>
      </c>
      <c r="F1455">
        <v>73</v>
      </c>
      <c r="G1455">
        <v>122</v>
      </c>
      <c r="H1455">
        <v>84</v>
      </c>
      <c r="I1455">
        <f>Inventory_Data[[#This Row],[Opening_Stock]]+Inventory_Data[[#This Row],[Units_Received]]-Inventory_Data[[#This Row],[Units_Sold]]</f>
        <v>111</v>
      </c>
      <c r="J1455">
        <v>0</v>
      </c>
      <c r="K1455">
        <v>14</v>
      </c>
      <c r="L1455" t="s">
        <v>49</v>
      </c>
      <c r="M1455" s="3">
        <v>72.989999999999995</v>
      </c>
      <c r="N1455" s="3">
        <v>89.4</v>
      </c>
      <c r="O1455" s="10" t="str">
        <f>TEXT(Inventory_Data[[#This Row],[Date]],"mmm")</f>
        <v>Sep</v>
      </c>
    </row>
    <row r="1456" spans="1:15" x14ac:dyDescent="0.2">
      <c r="A1456" s="21">
        <v>45924</v>
      </c>
      <c r="B1456" s="5" t="s">
        <v>154</v>
      </c>
      <c r="C1456" t="s">
        <v>155</v>
      </c>
      <c r="D1456" t="s">
        <v>48</v>
      </c>
      <c r="E1456" t="s">
        <v>21</v>
      </c>
      <c r="F1456">
        <v>74</v>
      </c>
      <c r="G1456">
        <v>66</v>
      </c>
      <c r="H1456">
        <v>134</v>
      </c>
      <c r="I1456">
        <f>Inventory_Data[[#This Row],[Opening_Stock]]+Inventory_Data[[#This Row],[Units_Received]]-Inventory_Data[[#This Row],[Units_Sold]]</f>
        <v>6</v>
      </c>
      <c r="J1456">
        <v>0</v>
      </c>
      <c r="K1456">
        <v>6</v>
      </c>
      <c r="L1456" t="s">
        <v>77</v>
      </c>
      <c r="M1456" s="3">
        <v>24.35</v>
      </c>
      <c r="N1456" s="3">
        <v>31</v>
      </c>
      <c r="O1456" s="10" t="str">
        <f>TEXT(Inventory_Data[[#This Row],[Date]],"mmm")</f>
        <v>Sep</v>
      </c>
    </row>
    <row r="1457" spans="1:15" x14ac:dyDescent="0.2">
      <c r="A1457" s="21">
        <v>45924</v>
      </c>
      <c r="B1457" s="5" t="s">
        <v>148</v>
      </c>
      <c r="C1457" t="s">
        <v>149</v>
      </c>
      <c r="D1457" t="s">
        <v>27</v>
      </c>
      <c r="E1457" t="s">
        <v>17</v>
      </c>
      <c r="F1457">
        <v>487</v>
      </c>
      <c r="G1457">
        <v>69</v>
      </c>
      <c r="H1457">
        <v>149</v>
      </c>
      <c r="I1457">
        <f>Inventory_Data[[#This Row],[Opening_Stock]]+Inventory_Data[[#This Row],[Units_Received]]-Inventory_Data[[#This Row],[Units_Sold]]</f>
        <v>407</v>
      </c>
      <c r="J1457">
        <v>0</v>
      </c>
      <c r="K1457">
        <v>3</v>
      </c>
      <c r="L1457" t="s">
        <v>80</v>
      </c>
      <c r="M1457" s="3">
        <v>5.83</v>
      </c>
      <c r="N1457" s="3">
        <v>8.5399999999999991</v>
      </c>
      <c r="O1457" s="10" t="str">
        <f>TEXT(Inventory_Data[[#This Row],[Date]],"mmm")</f>
        <v>Sep</v>
      </c>
    </row>
    <row r="1458" spans="1:15" x14ac:dyDescent="0.2">
      <c r="A1458" s="21">
        <v>45924</v>
      </c>
      <c r="B1458" s="5" t="s">
        <v>40</v>
      </c>
      <c r="C1458" t="s">
        <v>41</v>
      </c>
      <c r="D1458" t="s">
        <v>34</v>
      </c>
      <c r="E1458" t="s">
        <v>17</v>
      </c>
      <c r="F1458">
        <v>84</v>
      </c>
      <c r="G1458">
        <v>88</v>
      </c>
      <c r="H1458">
        <v>93</v>
      </c>
      <c r="I1458">
        <f>Inventory_Data[[#This Row],[Opening_Stock]]+Inventory_Data[[#This Row],[Units_Received]]-Inventory_Data[[#This Row],[Units_Sold]]</f>
        <v>79</v>
      </c>
      <c r="J1458">
        <v>0</v>
      </c>
      <c r="K1458">
        <v>7</v>
      </c>
      <c r="L1458" t="s">
        <v>39</v>
      </c>
      <c r="M1458" s="3">
        <v>13.28</v>
      </c>
      <c r="N1458" s="3">
        <v>15.3</v>
      </c>
      <c r="O1458" s="10" t="str">
        <f>TEXT(Inventory_Data[[#This Row],[Date]],"mmm")</f>
        <v>Sep</v>
      </c>
    </row>
    <row r="1459" spans="1:15" x14ac:dyDescent="0.2">
      <c r="A1459" s="21">
        <v>45924</v>
      </c>
      <c r="B1459" s="5" t="s">
        <v>196</v>
      </c>
      <c r="C1459" t="s">
        <v>197</v>
      </c>
      <c r="D1459" t="s">
        <v>34</v>
      </c>
      <c r="E1459" t="s">
        <v>17</v>
      </c>
      <c r="F1459">
        <v>87</v>
      </c>
      <c r="G1459">
        <v>70</v>
      </c>
      <c r="H1459">
        <v>113</v>
      </c>
      <c r="I1459">
        <f>Inventory_Data[[#This Row],[Opening_Stock]]+Inventory_Data[[#This Row],[Units_Received]]-Inventory_Data[[#This Row],[Units_Sold]]</f>
        <v>44</v>
      </c>
      <c r="J1459">
        <v>0</v>
      </c>
      <c r="K1459">
        <v>3</v>
      </c>
      <c r="L1459" t="s">
        <v>42</v>
      </c>
      <c r="M1459" s="3">
        <v>19.399999999999999</v>
      </c>
      <c r="N1459" s="3">
        <v>28.29</v>
      </c>
      <c r="O1459" s="10" t="str">
        <f>TEXT(Inventory_Data[[#This Row],[Date]],"mmm")</f>
        <v>Sep</v>
      </c>
    </row>
    <row r="1460" spans="1:15" x14ac:dyDescent="0.2">
      <c r="A1460" s="21">
        <v>45925</v>
      </c>
      <c r="B1460" s="5" t="s">
        <v>106</v>
      </c>
      <c r="C1460" t="s">
        <v>107</v>
      </c>
      <c r="D1460" t="s">
        <v>16</v>
      </c>
      <c r="E1460" t="s">
        <v>28</v>
      </c>
      <c r="F1460">
        <v>61</v>
      </c>
      <c r="G1460">
        <v>43</v>
      </c>
      <c r="H1460">
        <v>70</v>
      </c>
      <c r="I1460">
        <f>Inventory_Data[[#This Row],[Opening_Stock]]+Inventory_Data[[#This Row],[Units_Received]]-Inventory_Data[[#This Row],[Units_Sold]]</f>
        <v>34</v>
      </c>
      <c r="J1460">
        <v>0</v>
      </c>
      <c r="K1460">
        <v>3</v>
      </c>
      <c r="L1460" t="s">
        <v>18</v>
      </c>
      <c r="M1460" s="3">
        <v>95.93</v>
      </c>
      <c r="N1460" s="3">
        <v>138.87</v>
      </c>
      <c r="O1460" s="10" t="str">
        <f>TEXT(Inventory_Data[[#This Row],[Date]],"mmm")</f>
        <v>Sep</v>
      </c>
    </row>
    <row r="1461" spans="1:15" x14ac:dyDescent="0.2">
      <c r="A1461" s="21">
        <v>45925</v>
      </c>
      <c r="B1461" s="5" t="s">
        <v>112</v>
      </c>
      <c r="C1461" t="s">
        <v>113</v>
      </c>
      <c r="D1461" t="s">
        <v>16</v>
      </c>
      <c r="E1461" t="s">
        <v>21</v>
      </c>
      <c r="F1461">
        <v>92</v>
      </c>
      <c r="G1461">
        <v>62</v>
      </c>
      <c r="H1461">
        <v>34</v>
      </c>
      <c r="I1461">
        <f>Inventory_Data[[#This Row],[Opening_Stock]]+Inventory_Data[[#This Row],[Units_Received]]-Inventory_Data[[#This Row],[Units_Sold]]</f>
        <v>120</v>
      </c>
      <c r="J1461">
        <v>0</v>
      </c>
      <c r="K1461">
        <v>13</v>
      </c>
      <c r="L1461" t="s">
        <v>45</v>
      </c>
      <c r="M1461" s="3">
        <v>61.39</v>
      </c>
      <c r="N1461" s="3">
        <v>80.03</v>
      </c>
      <c r="O1461" s="10" t="str">
        <f>TEXT(Inventory_Data[[#This Row],[Date]],"mmm")</f>
        <v>Sep</v>
      </c>
    </row>
    <row r="1462" spans="1:15" x14ac:dyDescent="0.2">
      <c r="A1462" s="21">
        <v>45925</v>
      </c>
      <c r="B1462" s="5" t="s">
        <v>30</v>
      </c>
      <c r="C1462" t="s">
        <v>31</v>
      </c>
      <c r="D1462" t="s">
        <v>27</v>
      </c>
      <c r="E1462" t="s">
        <v>17</v>
      </c>
      <c r="F1462">
        <v>286</v>
      </c>
      <c r="G1462">
        <v>67</v>
      </c>
      <c r="H1462">
        <v>189</v>
      </c>
      <c r="I1462">
        <f>Inventory_Data[[#This Row],[Opening_Stock]]+Inventory_Data[[#This Row],[Units_Received]]-Inventory_Data[[#This Row],[Units_Sold]]</f>
        <v>164</v>
      </c>
      <c r="J1462">
        <v>0</v>
      </c>
      <c r="K1462">
        <v>4</v>
      </c>
      <c r="L1462" t="s">
        <v>66</v>
      </c>
      <c r="M1462" s="3">
        <v>7.3</v>
      </c>
      <c r="N1462" s="3">
        <v>9.24</v>
      </c>
      <c r="O1462" s="10" t="str">
        <f>TEXT(Inventory_Data[[#This Row],[Date]],"mmm")</f>
        <v>Sep</v>
      </c>
    </row>
    <row r="1463" spans="1:15" x14ac:dyDescent="0.2">
      <c r="A1463" s="21">
        <v>45925</v>
      </c>
      <c r="B1463" s="5" t="s">
        <v>136</v>
      </c>
      <c r="C1463" t="s">
        <v>137</v>
      </c>
      <c r="D1463" t="s">
        <v>27</v>
      </c>
      <c r="E1463" t="s">
        <v>17</v>
      </c>
      <c r="F1463">
        <v>222</v>
      </c>
      <c r="G1463">
        <v>132</v>
      </c>
      <c r="H1463">
        <v>126</v>
      </c>
      <c r="I1463">
        <f>Inventory_Data[[#This Row],[Opening_Stock]]+Inventory_Data[[#This Row],[Units_Received]]-Inventory_Data[[#This Row],[Units_Sold]]</f>
        <v>228</v>
      </c>
      <c r="J1463">
        <v>0</v>
      </c>
      <c r="K1463">
        <v>6</v>
      </c>
      <c r="L1463" t="s">
        <v>29</v>
      </c>
      <c r="M1463" s="3">
        <v>3.52</v>
      </c>
      <c r="N1463" s="3">
        <v>4.28</v>
      </c>
      <c r="O1463" s="10" t="str">
        <f>TEXT(Inventory_Data[[#This Row],[Date]],"mmm")</f>
        <v>Sep</v>
      </c>
    </row>
    <row r="1464" spans="1:15" x14ac:dyDescent="0.2">
      <c r="A1464" s="21">
        <v>45925</v>
      </c>
      <c r="B1464" s="5" t="s">
        <v>81</v>
      </c>
      <c r="C1464" t="s">
        <v>82</v>
      </c>
      <c r="D1464" t="s">
        <v>52</v>
      </c>
      <c r="E1464" t="s">
        <v>21</v>
      </c>
      <c r="F1464">
        <v>25</v>
      </c>
      <c r="G1464">
        <v>6</v>
      </c>
      <c r="H1464">
        <v>4</v>
      </c>
      <c r="I1464">
        <f>Inventory_Data[[#This Row],[Opening_Stock]]+Inventory_Data[[#This Row],[Units_Received]]-Inventory_Data[[#This Row],[Units_Sold]]</f>
        <v>27</v>
      </c>
      <c r="J1464">
        <v>0</v>
      </c>
      <c r="K1464">
        <v>6</v>
      </c>
      <c r="L1464" t="s">
        <v>53</v>
      </c>
      <c r="M1464" s="3">
        <v>230.96</v>
      </c>
      <c r="N1464" s="3">
        <v>320.43</v>
      </c>
      <c r="O1464" s="10" t="str">
        <f>TEXT(Inventory_Data[[#This Row],[Date]],"mmm")</f>
        <v>Sep</v>
      </c>
    </row>
    <row r="1465" spans="1:15" x14ac:dyDescent="0.2">
      <c r="A1465" s="21">
        <v>45925</v>
      </c>
      <c r="B1465" s="5" t="s">
        <v>81</v>
      </c>
      <c r="C1465" t="s">
        <v>82</v>
      </c>
      <c r="D1465" t="s">
        <v>52</v>
      </c>
      <c r="E1465" t="s">
        <v>21</v>
      </c>
      <c r="F1465">
        <v>70</v>
      </c>
      <c r="G1465">
        <v>20</v>
      </c>
      <c r="H1465">
        <v>10</v>
      </c>
      <c r="I1465">
        <f>Inventory_Data[[#This Row],[Opening_Stock]]+Inventory_Data[[#This Row],[Units_Received]]-Inventory_Data[[#This Row],[Units_Sold]]</f>
        <v>80</v>
      </c>
      <c r="J1465">
        <v>0</v>
      </c>
      <c r="K1465">
        <v>7</v>
      </c>
      <c r="L1465" t="s">
        <v>83</v>
      </c>
      <c r="M1465" s="3">
        <v>204.12</v>
      </c>
      <c r="N1465" s="3">
        <v>292.60000000000002</v>
      </c>
      <c r="O1465" s="10" t="str">
        <f>TEXT(Inventory_Data[[#This Row],[Date]],"mmm")</f>
        <v>Sep</v>
      </c>
    </row>
    <row r="1466" spans="1:15" x14ac:dyDescent="0.2">
      <c r="A1466" s="21">
        <v>45925</v>
      </c>
      <c r="B1466" s="5" t="s">
        <v>126</v>
      </c>
      <c r="C1466" t="s">
        <v>127</v>
      </c>
      <c r="D1466" t="s">
        <v>34</v>
      </c>
      <c r="E1466" t="s">
        <v>17</v>
      </c>
      <c r="F1466">
        <v>306</v>
      </c>
      <c r="G1466">
        <v>40</v>
      </c>
      <c r="H1466">
        <v>17</v>
      </c>
      <c r="I1466">
        <f>Inventory_Data[[#This Row],[Opening_Stock]]+Inventory_Data[[#This Row],[Units_Received]]-Inventory_Data[[#This Row],[Units_Sold]]</f>
        <v>329</v>
      </c>
      <c r="J1466">
        <v>0</v>
      </c>
      <c r="K1466">
        <v>10</v>
      </c>
      <c r="L1466" t="s">
        <v>39</v>
      </c>
      <c r="M1466" s="3">
        <v>18.5</v>
      </c>
      <c r="N1466" s="3">
        <v>26.16</v>
      </c>
      <c r="O1466" s="10" t="str">
        <f>TEXT(Inventory_Data[[#This Row],[Date]],"mmm")</f>
        <v>Sep</v>
      </c>
    </row>
    <row r="1467" spans="1:15" x14ac:dyDescent="0.2">
      <c r="A1467" s="21">
        <v>45925</v>
      </c>
      <c r="B1467" s="5" t="s">
        <v>168</v>
      </c>
      <c r="C1467" t="s">
        <v>169</v>
      </c>
      <c r="D1467" t="s">
        <v>34</v>
      </c>
      <c r="E1467" t="s">
        <v>17</v>
      </c>
      <c r="F1467">
        <v>372</v>
      </c>
      <c r="G1467">
        <v>147</v>
      </c>
      <c r="H1467">
        <v>59</v>
      </c>
      <c r="I1467">
        <f>Inventory_Data[[#This Row],[Opening_Stock]]+Inventory_Data[[#This Row],[Units_Received]]-Inventory_Data[[#This Row],[Units_Sold]]</f>
        <v>460</v>
      </c>
      <c r="J1467">
        <v>0</v>
      </c>
      <c r="K1467">
        <v>2</v>
      </c>
      <c r="L1467" t="s">
        <v>39</v>
      </c>
      <c r="M1467" s="3">
        <v>13.22</v>
      </c>
      <c r="N1467" s="3">
        <v>18.57</v>
      </c>
      <c r="O1467" s="10" t="str">
        <f>TEXT(Inventory_Data[[#This Row],[Date]],"mmm")</f>
        <v>Sep</v>
      </c>
    </row>
    <row r="1468" spans="1:15" x14ac:dyDescent="0.2">
      <c r="A1468" s="21">
        <v>45926</v>
      </c>
      <c r="B1468" s="5" t="s">
        <v>71</v>
      </c>
      <c r="C1468" t="s">
        <v>72</v>
      </c>
      <c r="D1468" t="s">
        <v>16</v>
      </c>
      <c r="E1468" t="s">
        <v>35</v>
      </c>
      <c r="F1468">
        <v>147</v>
      </c>
      <c r="G1468">
        <v>64</v>
      </c>
      <c r="H1468">
        <v>20</v>
      </c>
      <c r="I1468">
        <f>Inventory_Data[[#This Row],[Opening_Stock]]+Inventory_Data[[#This Row],[Units_Received]]-Inventory_Data[[#This Row],[Units_Sold]]</f>
        <v>191</v>
      </c>
      <c r="J1468">
        <v>0</v>
      </c>
      <c r="K1468">
        <v>12</v>
      </c>
      <c r="L1468" t="s">
        <v>18</v>
      </c>
      <c r="M1468" s="3">
        <v>58.3</v>
      </c>
      <c r="N1468" s="3">
        <v>87.17</v>
      </c>
      <c r="O1468" s="10" t="str">
        <f>TEXT(Inventory_Data[[#This Row],[Date]],"mmm")</f>
        <v>Sep</v>
      </c>
    </row>
    <row r="1469" spans="1:15" x14ac:dyDescent="0.2">
      <c r="A1469" s="21">
        <v>45926</v>
      </c>
      <c r="B1469" s="5" t="s">
        <v>14</v>
      </c>
      <c r="C1469" t="s">
        <v>15</v>
      </c>
      <c r="D1469" t="s">
        <v>16</v>
      </c>
      <c r="E1469" t="s">
        <v>21</v>
      </c>
      <c r="F1469">
        <v>133</v>
      </c>
      <c r="G1469">
        <v>76</v>
      </c>
      <c r="H1469">
        <v>23</v>
      </c>
      <c r="I1469">
        <f>Inventory_Data[[#This Row],[Opening_Stock]]+Inventory_Data[[#This Row],[Units_Received]]-Inventory_Data[[#This Row],[Units_Sold]]</f>
        <v>186</v>
      </c>
      <c r="J1469">
        <v>0</v>
      </c>
      <c r="K1469">
        <v>4</v>
      </c>
      <c r="L1469" t="s">
        <v>45</v>
      </c>
      <c r="M1469" s="3">
        <v>134.52000000000001</v>
      </c>
      <c r="N1469" s="3">
        <v>203.61</v>
      </c>
      <c r="O1469" s="10" t="str">
        <f>TEXT(Inventory_Data[[#This Row],[Date]],"mmm")</f>
        <v>Sep</v>
      </c>
    </row>
    <row r="1470" spans="1:15" x14ac:dyDescent="0.2">
      <c r="A1470" s="21">
        <v>45926</v>
      </c>
      <c r="B1470" s="5" t="s">
        <v>22</v>
      </c>
      <c r="C1470" t="s">
        <v>23</v>
      </c>
      <c r="D1470" t="s">
        <v>16</v>
      </c>
      <c r="E1470" t="s">
        <v>28</v>
      </c>
      <c r="F1470">
        <v>26</v>
      </c>
      <c r="G1470">
        <v>87</v>
      </c>
      <c r="H1470">
        <v>54</v>
      </c>
      <c r="I1470">
        <f>Inventory_Data[[#This Row],[Opening_Stock]]+Inventory_Data[[#This Row],[Units_Received]]-Inventory_Data[[#This Row],[Units_Sold]]</f>
        <v>59</v>
      </c>
      <c r="J1470">
        <v>0</v>
      </c>
      <c r="K1470">
        <v>2</v>
      </c>
      <c r="L1470" t="s">
        <v>18</v>
      </c>
      <c r="M1470" s="3">
        <v>74.08</v>
      </c>
      <c r="N1470" s="3">
        <v>89.94</v>
      </c>
      <c r="O1470" s="10" t="str">
        <f>TEXT(Inventory_Data[[#This Row],[Date]],"mmm")</f>
        <v>Sep</v>
      </c>
    </row>
    <row r="1471" spans="1:15" x14ac:dyDescent="0.2">
      <c r="A1471" s="21">
        <v>45926</v>
      </c>
      <c r="B1471" s="5" t="s">
        <v>184</v>
      </c>
      <c r="C1471" t="s">
        <v>185</v>
      </c>
      <c r="D1471" t="s">
        <v>16</v>
      </c>
      <c r="E1471" t="s">
        <v>35</v>
      </c>
      <c r="F1471">
        <v>77</v>
      </c>
      <c r="G1471">
        <v>53</v>
      </c>
      <c r="H1471">
        <v>10</v>
      </c>
      <c r="I1471">
        <f>Inventory_Data[[#This Row],[Opening_Stock]]+Inventory_Data[[#This Row],[Units_Received]]-Inventory_Data[[#This Row],[Units_Sold]]</f>
        <v>120</v>
      </c>
      <c r="J1471">
        <v>0</v>
      </c>
      <c r="K1471">
        <v>13</v>
      </c>
      <c r="L1471" t="s">
        <v>24</v>
      </c>
      <c r="M1471" s="3">
        <v>45.12</v>
      </c>
      <c r="N1471" s="3">
        <v>61.85</v>
      </c>
      <c r="O1471" s="10" t="str">
        <f>TEXT(Inventory_Data[[#This Row],[Date]],"mmm")</f>
        <v>Sep</v>
      </c>
    </row>
    <row r="1472" spans="1:15" x14ac:dyDescent="0.2">
      <c r="A1472" s="21">
        <v>45927</v>
      </c>
      <c r="B1472" s="5" t="s">
        <v>112</v>
      </c>
      <c r="C1472" t="s">
        <v>113</v>
      </c>
      <c r="D1472" t="s">
        <v>16</v>
      </c>
      <c r="E1472" t="s">
        <v>21</v>
      </c>
      <c r="F1472">
        <v>34</v>
      </c>
      <c r="G1472">
        <v>74</v>
      </c>
      <c r="H1472">
        <v>59</v>
      </c>
      <c r="I1472">
        <f>Inventory_Data[[#This Row],[Opening_Stock]]+Inventory_Data[[#This Row],[Units_Received]]-Inventory_Data[[#This Row],[Units_Sold]]</f>
        <v>49</v>
      </c>
      <c r="J1472">
        <v>0</v>
      </c>
      <c r="K1472">
        <v>8</v>
      </c>
      <c r="L1472" t="s">
        <v>24</v>
      </c>
      <c r="M1472" s="3">
        <v>84.44</v>
      </c>
      <c r="N1472" s="3">
        <v>116.08</v>
      </c>
      <c r="O1472" s="10" t="str">
        <f>TEXT(Inventory_Data[[#This Row],[Date]],"mmm")</f>
        <v>Sep</v>
      </c>
    </row>
    <row r="1473" spans="1:15" x14ac:dyDescent="0.2">
      <c r="A1473" s="21">
        <v>45927</v>
      </c>
      <c r="B1473" s="5" t="s">
        <v>30</v>
      </c>
      <c r="C1473" t="s">
        <v>31</v>
      </c>
      <c r="D1473" t="s">
        <v>27</v>
      </c>
      <c r="E1473" t="s">
        <v>35</v>
      </c>
      <c r="F1473">
        <v>182</v>
      </c>
      <c r="G1473">
        <v>67</v>
      </c>
      <c r="H1473">
        <v>212</v>
      </c>
      <c r="I1473">
        <f>Inventory_Data[[#This Row],[Opening_Stock]]+Inventory_Data[[#This Row],[Units_Received]]-Inventory_Data[[#This Row],[Units_Sold]]</f>
        <v>37</v>
      </c>
      <c r="J1473">
        <v>0</v>
      </c>
      <c r="K1473">
        <v>5</v>
      </c>
      <c r="L1473" t="s">
        <v>80</v>
      </c>
      <c r="M1473" s="3">
        <v>24.9</v>
      </c>
      <c r="N1473" s="3">
        <v>29.82</v>
      </c>
      <c r="O1473" s="10" t="str">
        <f>TEXT(Inventory_Data[[#This Row],[Date]],"mmm")</f>
        <v>Sep</v>
      </c>
    </row>
    <row r="1474" spans="1:15" x14ac:dyDescent="0.2">
      <c r="A1474" s="21">
        <v>45927</v>
      </c>
      <c r="B1474" s="5" t="s">
        <v>59</v>
      </c>
      <c r="C1474" t="s">
        <v>60</v>
      </c>
      <c r="D1474" t="s">
        <v>34</v>
      </c>
      <c r="E1474" t="s">
        <v>17</v>
      </c>
      <c r="F1474">
        <v>120</v>
      </c>
      <c r="G1474">
        <v>55</v>
      </c>
      <c r="H1474">
        <v>85</v>
      </c>
      <c r="I1474">
        <f>Inventory_Data[[#This Row],[Opening_Stock]]+Inventory_Data[[#This Row],[Units_Received]]-Inventory_Data[[#This Row],[Units_Sold]]</f>
        <v>90</v>
      </c>
      <c r="J1474">
        <v>0</v>
      </c>
      <c r="K1474">
        <v>10</v>
      </c>
      <c r="L1474" t="s">
        <v>39</v>
      </c>
      <c r="M1474" s="3">
        <v>8.26</v>
      </c>
      <c r="N1474" s="3">
        <v>11.71</v>
      </c>
      <c r="O1474" s="10" t="str">
        <f>TEXT(Inventory_Data[[#This Row],[Date]],"mmm")</f>
        <v>Sep</v>
      </c>
    </row>
    <row r="1475" spans="1:15" x14ac:dyDescent="0.2">
      <c r="A1475" s="21">
        <v>45927</v>
      </c>
      <c r="B1475" s="5" t="s">
        <v>168</v>
      </c>
      <c r="C1475" t="s">
        <v>169</v>
      </c>
      <c r="D1475" t="s">
        <v>34</v>
      </c>
      <c r="E1475" t="s">
        <v>35</v>
      </c>
      <c r="F1475">
        <v>93</v>
      </c>
      <c r="G1475">
        <v>81</v>
      </c>
      <c r="H1475">
        <v>126</v>
      </c>
      <c r="I1475">
        <f>Inventory_Data[[#This Row],[Opening_Stock]]+Inventory_Data[[#This Row],[Units_Received]]-Inventory_Data[[#This Row],[Units_Sold]]</f>
        <v>48</v>
      </c>
      <c r="J1475">
        <v>0</v>
      </c>
      <c r="K1475">
        <v>13</v>
      </c>
      <c r="L1475" t="s">
        <v>39</v>
      </c>
      <c r="M1475" s="3">
        <v>19.899999999999999</v>
      </c>
      <c r="N1475" s="3">
        <v>29.34</v>
      </c>
      <c r="O1475" s="10" t="str">
        <f>TEXT(Inventory_Data[[#This Row],[Date]],"mmm")</f>
        <v>Sep</v>
      </c>
    </row>
    <row r="1476" spans="1:15" x14ac:dyDescent="0.2">
      <c r="A1476" s="21">
        <v>45927</v>
      </c>
      <c r="B1476" s="5" t="s">
        <v>43</v>
      </c>
      <c r="C1476" t="s">
        <v>44</v>
      </c>
      <c r="D1476" t="s">
        <v>34</v>
      </c>
      <c r="E1476" t="s">
        <v>17</v>
      </c>
      <c r="F1476">
        <v>188</v>
      </c>
      <c r="G1476">
        <v>31</v>
      </c>
      <c r="H1476">
        <v>72</v>
      </c>
      <c r="I1476">
        <f>Inventory_Data[[#This Row],[Opening_Stock]]+Inventory_Data[[#This Row],[Units_Received]]-Inventory_Data[[#This Row],[Units_Sold]]</f>
        <v>147</v>
      </c>
      <c r="J1476">
        <v>0</v>
      </c>
      <c r="K1476">
        <v>4</v>
      </c>
      <c r="L1476" t="s">
        <v>39</v>
      </c>
      <c r="M1476" s="3">
        <v>7.76</v>
      </c>
      <c r="N1476" s="3">
        <v>11.87</v>
      </c>
      <c r="O1476" s="10" t="str">
        <f>TEXT(Inventory_Data[[#This Row],[Date]],"mmm")</f>
        <v>Sep</v>
      </c>
    </row>
    <row r="1477" spans="1:15" x14ac:dyDescent="0.2">
      <c r="A1477" s="21">
        <v>45928</v>
      </c>
      <c r="B1477" s="5" t="s">
        <v>108</v>
      </c>
      <c r="C1477" t="s">
        <v>109</v>
      </c>
      <c r="D1477" t="s">
        <v>16</v>
      </c>
      <c r="E1477" t="s">
        <v>17</v>
      </c>
      <c r="F1477">
        <v>128</v>
      </c>
      <c r="G1477">
        <v>44</v>
      </c>
      <c r="H1477">
        <v>19</v>
      </c>
      <c r="I1477">
        <f>Inventory_Data[[#This Row],[Opening_Stock]]+Inventory_Data[[#This Row],[Units_Received]]-Inventory_Data[[#This Row],[Units_Sold]]</f>
        <v>153</v>
      </c>
      <c r="J1477">
        <v>0</v>
      </c>
      <c r="K1477">
        <v>14</v>
      </c>
      <c r="L1477" t="s">
        <v>18</v>
      </c>
      <c r="M1477" s="3">
        <v>80.209999999999994</v>
      </c>
      <c r="N1477" s="3">
        <v>123.08</v>
      </c>
      <c r="O1477" s="10" t="str">
        <f>TEXT(Inventory_Data[[#This Row],[Date]],"mmm")</f>
        <v>Sep</v>
      </c>
    </row>
    <row r="1478" spans="1:15" x14ac:dyDescent="0.2">
      <c r="A1478" s="21">
        <v>45928</v>
      </c>
      <c r="B1478" s="5" t="s">
        <v>84</v>
      </c>
      <c r="C1478" t="s">
        <v>85</v>
      </c>
      <c r="D1478" t="s">
        <v>48</v>
      </c>
      <c r="E1478" t="s">
        <v>21</v>
      </c>
      <c r="F1478">
        <v>63</v>
      </c>
      <c r="G1478">
        <v>34</v>
      </c>
      <c r="H1478">
        <v>97</v>
      </c>
      <c r="I1478">
        <f>Inventory_Data[[#This Row],[Opening_Stock]]+Inventory_Data[[#This Row],[Units_Received]]-Inventory_Data[[#This Row],[Units_Sold]]</f>
        <v>0</v>
      </c>
      <c r="J1478">
        <v>1</v>
      </c>
      <c r="K1478">
        <v>7</v>
      </c>
      <c r="L1478" t="s">
        <v>77</v>
      </c>
      <c r="M1478" s="3">
        <v>58.21</v>
      </c>
      <c r="N1478" s="3">
        <v>83.62</v>
      </c>
      <c r="O1478" s="10" t="str">
        <f>TEXT(Inventory_Data[[#This Row],[Date]],"mmm")</f>
        <v>Sep</v>
      </c>
    </row>
    <row r="1479" spans="1:15" x14ac:dyDescent="0.2">
      <c r="A1479" s="21">
        <v>45928</v>
      </c>
      <c r="B1479" s="5" t="s">
        <v>190</v>
      </c>
      <c r="C1479" t="s">
        <v>191</v>
      </c>
      <c r="D1479" t="s">
        <v>48</v>
      </c>
      <c r="E1479" t="s">
        <v>21</v>
      </c>
      <c r="F1479">
        <v>167</v>
      </c>
      <c r="G1479">
        <v>49</v>
      </c>
      <c r="H1479">
        <v>54</v>
      </c>
      <c r="I1479">
        <f>Inventory_Data[[#This Row],[Opening_Stock]]+Inventory_Data[[#This Row],[Units_Received]]-Inventory_Data[[#This Row],[Units_Sold]]</f>
        <v>162</v>
      </c>
      <c r="J1479">
        <v>0</v>
      </c>
      <c r="K1479">
        <v>8</v>
      </c>
      <c r="L1479" t="s">
        <v>77</v>
      </c>
      <c r="M1479" s="3">
        <v>75.569999999999993</v>
      </c>
      <c r="N1479" s="3">
        <v>107.37</v>
      </c>
      <c r="O1479" s="10" t="str">
        <f>TEXT(Inventory_Data[[#This Row],[Date]],"mmm")</f>
        <v>Sep</v>
      </c>
    </row>
    <row r="1480" spans="1:15" x14ac:dyDescent="0.2">
      <c r="A1480" s="21">
        <v>45928</v>
      </c>
      <c r="B1480" s="5" t="s">
        <v>140</v>
      </c>
      <c r="C1480" t="s">
        <v>141</v>
      </c>
      <c r="D1480" t="s">
        <v>52</v>
      </c>
      <c r="E1480" t="s">
        <v>28</v>
      </c>
      <c r="F1480">
        <v>27</v>
      </c>
      <c r="G1480">
        <v>20</v>
      </c>
      <c r="H1480">
        <v>4</v>
      </c>
      <c r="I1480">
        <f>Inventory_Data[[#This Row],[Opening_Stock]]+Inventory_Data[[#This Row],[Units_Received]]-Inventory_Data[[#This Row],[Units_Sold]]</f>
        <v>43</v>
      </c>
      <c r="J1480">
        <v>0</v>
      </c>
      <c r="K1480">
        <v>11</v>
      </c>
      <c r="L1480" t="s">
        <v>56</v>
      </c>
      <c r="M1480" s="3">
        <v>171.82</v>
      </c>
      <c r="N1480" s="3">
        <v>237.91</v>
      </c>
      <c r="O1480" s="10" t="str">
        <f>TEXT(Inventory_Data[[#This Row],[Date]],"mmm")</f>
        <v>Sep</v>
      </c>
    </row>
    <row r="1481" spans="1:15" x14ac:dyDescent="0.2">
      <c r="A1481" s="21">
        <v>45928</v>
      </c>
      <c r="B1481" s="5" t="s">
        <v>180</v>
      </c>
      <c r="C1481" t="s">
        <v>181</v>
      </c>
      <c r="D1481" t="s">
        <v>34</v>
      </c>
      <c r="E1481" t="s">
        <v>35</v>
      </c>
      <c r="F1481">
        <v>344</v>
      </c>
      <c r="G1481">
        <v>30</v>
      </c>
      <c r="H1481">
        <v>133</v>
      </c>
      <c r="I1481">
        <f>Inventory_Data[[#This Row],[Opening_Stock]]+Inventory_Data[[#This Row],[Units_Received]]-Inventory_Data[[#This Row],[Units_Sold]]</f>
        <v>241</v>
      </c>
      <c r="J1481">
        <v>0</v>
      </c>
      <c r="K1481">
        <v>4</v>
      </c>
      <c r="L1481" t="s">
        <v>42</v>
      </c>
      <c r="M1481" s="3">
        <v>14.11</v>
      </c>
      <c r="N1481" s="3">
        <v>21.5</v>
      </c>
      <c r="O1481" s="10" t="str">
        <f>TEXT(Inventory_Data[[#This Row],[Date]],"mmm")</f>
        <v>Sep</v>
      </c>
    </row>
    <row r="1482" spans="1:15" x14ac:dyDescent="0.2">
      <c r="A1482" s="21">
        <v>45928</v>
      </c>
      <c r="B1482" s="5" t="s">
        <v>196</v>
      </c>
      <c r="C1482" t="s">
        <v>197</v>
      </c>
      <c r="D1482" t="s">
        <v>34</v>
      </c>
      <c r="E1482" t="s">
        <v>35</v>
      </c>
      <c r="F1482">
        <v>107</v>
      </c>
      <c r="G1482">
        <v>58</v>
      </c>
      <c r="H1482">
        <v>111</v>
      </c>
      <c r="I1482">
        <f>Inventory_Data[[#This Row],[Opening_Stock]]+Inventory_Data[[#This Row],[Units_Received]]-Inventory_Data[[#This Row],[Units_Sold]]</f>
        <v>54</v>
      </c>
      <c r="J1482">
        <v>0</v>
      </c>
      <c r="K1482">
        <v>11</v>
      </c>
      <c r="L1482" t="s">
        <v>39</v>
      </c>
      <c r="M1482" s="3">
        <v>27.98</v>
      </c>
      <c r="N1482" s="3">
        <v>35.01</v>
      </c>
      <c r="O1482" s="10" t="str">
        <f>TEXT(Inventory_Data[[#This Row],[Date]],"mmm")</f>
        <v>Sep</v>
      </c>
    </row>
    <row r="1483" spans="1:15" x14ac:dyDescent="0.2">
      <c r="A1483" s="21">
        <v>45929</v>
      </c>
      <c r="B1483" s="5" t="s">
        <v>178</v>
      </c>
      <c r="C1483" t="s">
        <v>179</v>
      </c>
      <c r="D1483" t="s">
        <v>16</v>
      </c>
      <c r="E1483" t="s">
        <v>17</v>
      </c>
      <c r="F1483">
        <v>42</v>
      </c>
      <c r="G1483">
        <v>55</v>
      </c>
      <c r="H1483">
        <v>76</v>
      </c>
      <c r="I1483">
        <f>Inventory_Data[[#This Row],[Opening_Stock]]+Inventory_Data[[#This Row],[Units_Received]]-Inventory_Data[[#This Row],[Units_Sold]]</f>
        <v>21</v>
      </c>
      <c r="J1483">
        <v>0</v>
      </c>
      <c r="K1483">
        <v>9</v>
      </c>
      <c r="L1483" t="s">
        <v>18</v>
      </c>
      <c r="M1483" s="3">
        <v>204.53</v>
      </c>
      <c r="N1483" s="3">
        <v>299.5</v>
      </c>
      <c r="O1483" s="10" t="str">
        <f>TEXT(Inventory_Data[[#This Row],[Date]],"mmm")</f>
        <v>Sep</v>
      </c>
    </row>
    <row r="1484" spans="1:15" x14ac:dyDescent="0.2">
      <c r="A1484" s="21">
        <v>45929</v>
      </c>
      <c r="B1484" s="5" t="s">
        <v>30</v>
      </c>
      <c r="C1484" t="s">
        <v>31</v>
      </c>
      <c r="D1484" t="s">
        <v>27</v>
      </c>
      <c r="E1484" t="s">
        <v>17</v>
      </c>
      <c r="F1484">
        <v>191</v>
      </c>
      <c r="G1484">
        <v>185</v>
      </c>
      <c r="H1484">
        <v>141</v>
      </c>
      <c r="I1484">
        <f>Inventory_Data[[#This Row],[Opening_Stock]]+Inventory_Data[[#This Row],[Units_Received]]-Inventory_Data[[#This Row],[Units_Sold]]</f>
        <v>235</v>
      </c>
      <c r="J1484">
        <v>0</v>
      </c>
      <c r="K1484">
        <v>1</v>
      </c>
      <c r="L1484" t="s">
        <v>66</v>
      </c>
      <c r="M1484" s="3">
        <v>9.24</v>
      </c>
      <c r="N1484" s="3">
        <v>13.12</v>
      </c>
      <c r="O1484" s="10" t="str">
        <f>TEXT(Inventory_Data[[#This Row],[Date]],"mmm")</f>
        <v>Sep</v>
      </c>
    </row>
    <row r="1485" spans="1:15" x14ac:dyDescent="0.2">
      <c r="A1485" s="21">
        <v>45929</v>
      </c>
      <c r="B1485" s="5" t="s">
        <v>150</v>
      </c>
      <c r="C1485" t="s">
        <v>151</v>
      </c>
      <c r="D1485" t="s">
        <v>52</v>
      </c>
      <c r="E1485" t="s">
        <v>21</v>
      </c>
      <c r="F1485">
        <v>17</v>
      </c>
      <c r="G1485">
        <v>24</v>
      </c>
      <c r="H1485">
        <v>5</v>
      </c>
      <c r="I1485">
        <f>Inventory_Data[[#This Row],[Opening_Stock]]+Inventory_Data[[#This Row],[Units_Received]]-Inventory_Data[[#This Row],[Units_Sold]]</f>
        <v>36</v>
      </c>
      <c r="J1485">
        <v>0</v>
      </c>
      <c r="K1485">
        <v>4</v>
      </c>
      <c r="L1485" t="s">
        <v>83</v>
      </c>
      <c r="M1485" s="3">
        <v>222.59</v>
      </c>
      <c r="N1485" s="3">
        <v>265.31</v>
      </c>
      <c r="O1485" s="10" t="str">
        <f>TEXT(Inventory_Data[[#This Row],[Date]],"mmm")</f>
        <v>Sep</v>
      </c>
    </row>
    <row r="1486" spans="1:15" x14ac:dyDescent="0.2">
      <c r="A1486" s="21">
        <v>45930</v>
      </c>
      <c r="B1486" s="5" t="s">
        <v>19</v>
      </c>
      <c r="C1486" t="s">
        <v>20</v>
      </c>
      <c r="D1486" t="s">
        <v>16</v>
      </c>
      <c r="E1486" t="s">
        <v>21</v>
      </c>
      <c r="F1486">
        <v>25</v>
      </c>
      <c r="G1486">
        <v>52</v>
      </c>
      <c r="H1486">
        <v>39</v>
      </c>
      <c r="I1486">
        <f>Inventory_Data[[#This Row],[Opening_Stock]]+Inventory_Data[[#This Row],[Units_Received]]-Inventory_Data[[#This Row],[Units_Sold]]</f>
        <v>38</v>
      </c>
      <c r="J1486">
        <v>0</v>
      </c>
      <c r="K1486">
        <v>3</v>
      </c>
      <c r="L1486" t="s">
        <v>24</v>
      </c>
      <c r="M1486" s="3">
        <v>68.77</v>
      </c>
      <c r="N1486" s="3">
        <v>91.08</v>
      </c>
      <c r="O1486" s="10" t="str">
        <f>TEXT(Inventory_Data[[#This Row],[Date]],"mmm")</f>
        <v>Sep</v>
      </c>
    </row>
    <row r="1487" spans="1:15" x14ac:dyDescent="0.2">
      <c r="A1487" s="21">
        <v>45930</v>
      </c>
      <c r="B1487" s="5" t="s">
        <v>94</v>
      </c>
      <c r="C1487" t="s">
        <v>95</v>
      </c>
      <c r="D1487" t="s">
        <v>16</v>
      </c>
      <c r="E1487" t="s">
        <v>17</v>
      </c>
      <c r="F1487">
        <v>176</v>
      </c>
      <c r="G1487">
        <v>67</v>
      </c>
      <c r="H1487">
        <v>74</v>
      </c>
      <c r="I1487">
        <f>Inventory_Data[[#This Row],[Opening_Stock]]+Inventory_Data[[#This Row],[Units_Received]]-Inventory_Data[[#This Row],[Units_Sold]]</f>
        <v>169</v>
      </c>
      <c r="J1487">
        <v>0</v>
      </c>
      <c r="K1487">
        <v>7</v>
      </c>
      <c r="L1487" t="s">
        <v>24</v>
      </c>
      <c r="M1487" s="3">
        <v>109.96</v>
      </c>
      <c r="N1487" s="3">
        <v>147.87</v>
      </c>
      <c r="O1487" s="10" t="str">
        <f>TEXT(Inventory_Data[[#This Row],[Date]],"mmm")</f>
        <v>Sep</v>
      </c>
    </row>
    <row r="1488" spans="1:15" x14ac:dyDescent="0.2">
      <c r="A1488" s="21">
        <v>45930</v>
      </c>
      <c r="B1488" s="5" t="s">
        <v>98</v>
      </c>
      <c r="C1488" t="s">
        <v>99</v>
      </c>
      <c r="D1488" t="s">
        <v>27</v>
      </c>
      <c r="E1488" t="s">
        <v>21</v>
      </c>
      <c r="F1488">
        <v>323</v>
      </c>
      <c r="G1488">
        <v>220</v>
      </c>
      <c r="H1488">
        <v>104</v>
      </c>
      <c r="I1488">
        <f>Inventory_Data[[#This Row],[Opening_Stock]]+Inventory_Data[[#This Row],[Units_Received]]-Inventory_Data[[#This Row],[Units_Sold]]</f>
        <v>439</v>
      </c>
      <c r="J1488">
        <v>0</v>
      </c>
      <c r="K1488">
        <v>3</v>
      </c>
      <c r="L1488" t="s">
        <v>66</v>
      </c>
      <c r="M1488" s="3">
        <v>6.63</v>
      </c>
      <c r="N1488" s="3">
        <v>8.25</v>
      </c>
      <c r="O1488" s="10" t="str">
        <f>TEXT(Inventory_Data[[#This Row],[Date]],"mmm")</f>
        <v>Sep</v>
      </c>
    </row>
    <row r="1489" spans="1:15" x14ac:dyDescent="0.2">
      <c r="A1489" s="21">
        <v>45930</v>
      </c>
      <c r="B1489" s="5" t="s">
        <v>140</v>
      </c>
      <c r="C1489" t="s">
        <v>141</v>
      </c>
      <c r="D1489" t="s">
        <v>52</v>
      </c>
      <c r="E1489" t="s">
        <v>28</v>
      </c>
      <c r="F1489">
        <v>51</v>
      </c>
      <c r="G1489">
        <v>24</v>
      </c>
      <c r="H1489">
        <v>17</v>
      </c>
      <c r="I1489">
        <f>Inventory_Data[[#This Row],[Opening_Stock]]+Inventory_Data[[#This Row],[Units_Received]]-Inventory_Data[[#This Row],[Units_Sold]]</f>
        <v>58</v>
      </c>
      <c r="J1489">
        <v>0</v>
      </c>
      <c r="K1489">
        <v>13</v>
      </c>
      <c r="L1489" t="s">
        <v>56</v>
      </c>
      <c r="M1489" s="3">
        <v>304.10000000000002</v>
      </c>
      <c r="N1489" s="3">
        <v>440.75</v>
      </c>
      <c r="O1489" s="10" t="str">
        <f>TEXT(Inventory_Data[[#This Row],[Date]],"mmm")</f>
        <v>Sep</v>
      </c>
    </row>
    <row r="1490" spans="1:15" x14ac:dyDescent="0.2">
      <c r="A1490" s="21">
        <v>45930</v>
      </c>
      <c r="B1490" s="5" t="s">
        <v>150</v>
      </c>
      <c r="C1490" t="s">
        <v>151</v>
      </c>
      <c r="D1490" t="s">
        <v>52</v>
      </c>
      <c r="E1490" t="s">
        <v>21</v>
      </c>
      <c r="F1490">
        <v>38</v>
      </c>
      <c r="G1490">
        <v>23</v>
      </c>
      <c r="H1490">
        <v>16</v>
      </c>
      <c r="I1490">
        <f>Inventory_Data[[#This Row],[Opening_Stock]]+Inventory_Data[[#This Row],[Units_Received]]-Inventory_Data[[#This Row],[Units_Sold]]</f>
        <v>45</v>
      </c>
      <c r="J1490">
        <v>0</v>
      </c>
      <c r="K1490">
        <v>4</v>
      </c>
      <c r="L1490" t="s">
        <v>83</v>
      </c>
      <c r="M1490" s="3">
        <v>314.68</v>
      </c>
      <c r="N1490" s="3">
        <v>420.26</v>
      </c>
      <c r="O1490" s="10" t="str">
        <f>TEXT(Inventory_Data[[#This Row],[Date]],"mmm")</f>
        <v>Sep</v>
      </c>
    </row>
    <row r="1491" spans="1:15" x14ac:dyDescent="0.2">
      <c r="A1491" s="21">
        <v>45930</v>
      </c>
      <c r="B1491" s="5" t="s">
        <v>174</v>
      </c>
      <c r="C1491" t="s">
        <v>175</v>
      </c>
      <c r="D1491" t="s">
        <v>52</v>
      </c>
      <c r="E1491" t="s">
        <v>21</v>
      </c>
      <c r="F1491">
        <v>21</v>
      </c>
      <c r="G1491">
        <v>11</v>
      </c>
      <c r="H1491">
        <v>5</v>
      </c>
      <c r="I1491">
        <f>Inventory_Data[[#This Row],[Opening_Stock]]+Inventory_Data[[#This Row],[Units_Received]]-Inventory_Data[[#This Row],[Units_Sold]]</f>
        <v>27</v>
      </c>
      <c r="J1491">
        <v>0</v>
      </c>
      <c r="K1491">
        <v>13</v>
      </c>
      <c r="L1491" t="s">
        <v>83</v>
      </c>
      <c r="M1491" s="3">
        <v>87.48</v>
      </c>
      <c r="N1491" s="3">
        <v>111.43</v>
      </c>
      <c r="O1491" s="10" t="str">
        <f>TEXT(Inventory_Data[[#This Row],[Date]],"mmm")</f>
        <v>Sep</v>
      </c>
    </row>
    <row r="1492" spans="1:15" x14ac:dyDescent="0.2">
      <c r="A1492" s="21">
        <v>45930</v>
      </c>
      <c r="B1492" s="5" t="s">
        <v>88</v>
      </c>
      <c r="C1492" t="s">
        <v>89</v>
      </c>
      <c r="D1492" t="s">
        <v>34</v>
      </c>
      <c r="E1492" t="s">
        <v>21</v>
      </c>
      <c r="F1492">
        <v>105</v>
      </c>
      <c r="G1492">
        <v>57</v>
      </c>
      <c r="H1492">
        <v>40</v>
      </c>
      <c r="I1492">
        <f>Inventory_Data[[#This Row],[Opening_Stock]]+Inventory_Data[[#This Row],[Units_Received]]-Inventory_Data[[#This Row],[Units_Sold]]</f>
        <v>122</v>
      </c>
      <c r="J1492">
        <v>0</v>
      </c>
      <c r="K1492">
        <v>11</v>
      </c>
      <c r="L1492" t="s">
        <v>42</v>
      </c>
      <c r="M1492" s="3">
        <v>15.86</v>
      </c>
      <c r="N1492" s="3">
        <v>21.7</v>
      </c>
      <c r="O1492" s="10" t="str">
        <f>TEXT(Inventory_Data[[#This Row],[Date]],"mmm")</f>
        <v>Sep</v>
      </c>
    </row>
    <row r="1493" spans="1:15" x14ac:dyDescent="0.2">
      <c r="A1493" s="21">
        <v>45931</v>
      </c>
      <c r="B1493" s="5" t="s">
        <v>71</v>
      </c>
      <c r="C1493" t="s">
        <v>72</v>
      </c>
      <c r="D1493" t="s">
        <v>16</v>
      </c>
      <c r="E1493" t="s">
        <v>28</v>
      </c>
      <c r="F1493">
        <v>22</v>
      </c>
      <c r="G1493">
        <v>25</v>
      </c>
      <c r="H1493">
        <v>34</v>
      </c>
      <c r="I1493">
        <f>Inventory_Data[[#This Row],[Opening_Stock]]+Inventory_Data[[#This Row],[Units_Received]]-Inventory_Data[[#This Row],[Units_Sold]]</f>
        <v>13</v>
      </c>
      <c r="J1493">
        <v>0</v>
      </c>
      <c r="K1493">
        <v>14</v>
      </c>
      <c r="L1493" t="s">
        <v>24</v>
      </c>
      <c r="M1493" s="3">
        <v>39.56</v>
      </c>
      <c r="N1493" s="3">
        <v>60.91</v>
      </c>
      <c r="O1493" s="10" t="str">
        <f>TEXT(Inventory_Data[[#This Row],[Date]],"mmm")</f>
        <v>Oct</v>
      </c>
    </row>
    <row r="1494" spans="1:15" x14ac:dyDescent="0.2">
      <c r="A1494" s="21">
        <v>45931</v>
      </c>
      <c r="B1494" s="5" t="s">
        <v>162</v>
      </c>
      <c r="C1494" t="s">
        <v>163</v>
      </c>
      <c r="D1494" t="s">
        <v>16</v>
      </c>
      <c r="E1494" t="s">
        <v>21</v>
      </c>
      <c r="F1494">
        <v>168</v>
      </c>
      <c r="G1494">
        <v>10</v>
      </c>
      <c r="H1494">
        <v>62</v>
      </c>
      <c r="I1494">
        <f>Inventory_Data[[#This Row],[Opening_Stock]]+Inventory_Data[[#This Row],[Units_Received]]-Inventory_Data[[#This Row],[Units_Sold]]</f>
        <v>116</v>
      </c>
      <c r="J1494">
        <v>0</v>
      </c>
      <c r="K1494">
        <v>8</v>
      </c>
      <c r="L1494" t="s">
        <v>45</v>
      </c>
      <c r="M1494" s="3">
        <v>204.73</v>
      </c>
      <c r="N1494" s="3">
        <v>303.32</v>
      </c>
      <c r="O1494" s="10" t="str">
        <f>TEXT(Inventory_Data[[#This Row],[Date]],"mmm")</f>
        <v>Oct</v>
      </c>
    </row>
    <row r="1495" spans="1:15" x14ac:dyDescent="0.2">
      <c r="A1495" s="21">
        <v>45931</v>
      </c>
      <c r="B1495" s="5" t="s">
        <v>164</v>
      </c>
      <c r="C1495" t="s">
        <v>165</v>
      </c>
      <c r="D1495" t="s">
        <v>48</v>
      </c>
      <c r="E1495" t="s">
        <v>35</v>
      </c>
      <c r="F1495">
        <v>247</v>
      </c>
      <c r="G1495">
        <v>64</v>
      </c>
      <c r="H1495">
        <v>89</v>
      </c>
      <c r="I1495">
        <f>Inventory_Data[[#This Row],[Opening_Stock]]+Inventory_Data[[#This Row],[Units_Received]]-Inventory_Data[[#This Row],[Units_Sold]]</f>
        <v>222</v>
      </c>
      <c r="J1495">
        <v>0</v>
      </c>
      <c r="K1495">
        <v>8</v>
      </c>
      <c r="L1495" t="s">
        <v>77</v>
      </c>
      <c r="M1495" s="3">
        <v>77.349999999999994</v>
      </c>
      <c r="N1495" s="3">
        <v>99.67</v>
      </c>
      <c r="O1495" s="10" t="str">
        <f>TEXT(Inventory_Data[[#This Row],[Date]],"mmm")</f>
        <v>Oct</v>
      </c>
    </row>
    <row r="1496" spans="1:15" x14ac:dyDescent="0.2">
      <c r="A1496" s="21">
        <v>45931</v>
      </c>
      <c r="B1496" s="5" t="s">
        <v>81</v>
      </c>
      <c r="C1496" t="s">
        <v>82</v>
      </c>
      <c r="D1496" t="s">
        <v>52</v>
      </c>
      <c r="E1496" t="s">
        <v>35</v>
      </c>
      <c r="F1496">
        <v>43</v>
      </c>
      <c r="G1496">
        <v>8</v>
      </c>
      <c r="H1496">
        <v>3</v>
      </c>
      <c r="I1496">
        <f>Inventory_Data[[#This Row],[Opening_Stock]]+Inventory_Data[[#This Row],[Units_Received]]-Inventory_Data[[#This Row],[Units_Sold]]</f>
        <v>48</v>
      </c>
      <c r="J1496">
        <v>0</v>
      </c>
      <c r="K1496">
        <v>2</v>
      </c>
      <c r="L1496" t="s">
        <v>53</v>
      </c>
      <c r="M1496" s="3">
        <v>320.37</v>
      </c>
      <c r="N1496" s="3">
        <v>371.14</v>
      </c>
      <c r="O1496" s="10" t="str">
        <f>TEXT(Inventory_Data[[#This Row],[Date]],"mmm")</f>
        <v>Oct</v>
      </c>
    </row>
    <row r="1497" spans="1:15" x14ac:dyDescent="0.2">
      <c r="A1497" s="21">
        <v>45931</v>
      </c>
      <c r="B1497" s="5" t="s">
        <v>168</v>
      </c>
      <c r="C1497" t="s">
        <v>169</v>
      </c>
      <c r="D1497" t="s">
        <v>34</v>
      </c>
      <c r="E1497" t="s">
        <v>17</v>
      </c>
      <c r="F1497">
        <v>335</v>
      </c>
      <c r="G1497">
        <v>54</v>
      </c>
      <c r="H1497">
        <v>33</v>
      </c>
      <c r="I1497">
        <f>Inventory_Data[[#This Row],[Opening_Stock]]+Inventory_Data[[#This Row],[Units_Received]]-Inventory_Data[[#This Row],[Units_Sold]]</f>
        <v>356</v>
      </c>
      <c r="J1497">
        <v>0</v>
      </c>
      <c r="K1497">
        <v>6</v>
      </c>
      <c r="L1497" t="s">
        <v>36</v>
      </c>
      <c r="M1497" s="3">
        <v>10.96</v>
      </c>
      <c r="N1497" s="3">
        <v>12.69</v>
      </c>
      <c r="O1497" s="10" t="str">
        <f>TEXT(Inventory_Data[[#This Row],[Date]],"mmm")</f>
        <v>Oct</v>
      </c>
    </row>
    <row r="1498" spans="1:15" x14ac:dyDescent="0.2">
      <c r="A1498" s="21">
        <v>45932</v>
      </c>
      <c r="B1498" s="5" t="s">
        <v>112</v>
      </c>
      <c r="C1498" t="s">
        <v>113</v>
      </c>
      <c r="D1498" t="s">
        <v>16</v>
      </c>
      <c r="E1498" t="s">
        <v>17</v>
      </c>
      <c r="F1498">
        <v>108</v>
      </c>
      <c r="G1498">
        <v>25</v>
      </c>
      <c r="H1498">
        <v>23</v>
      </c>
      <c r="I1498">
        <f>Inventory_Data[[#This Row],[Opening_Stock]]+Inventory_Data[[#This Row],[Units_Received]]-Inventory_Data[[#This Row],[Units_Sold]]</f>
        <v>110</v>
      </c>
      <c r="J1498">
        <v>0</v>
      </c>
      <c r="K1498">
        <v>8</v>
      </c>
      <c r="L1498" t="s">
        <v>24</v>
      </c>
      <c r="M1498" s="3">
        <v>103.08</v>
      </c>
      <c r="N1498" s="3">
        <v>149.46</v>
      </c>
      <c r="O1498" s="10" t="str">
        <f>TEXT(Inventory_Data[[#This Row],[Date]],"mmm")</f>
        <v>Oct</v>
      </c>
    </row>
    <row r="1499" spans="1:15" x14ac:dyDescent="0.2">
      <c r="A1499" s="21">
        <v>45932</v>
      </c>
      <c r="B1499" s="5" t="s">
        <v>30</v>
      </c>
      <c r="C1499" t="s">
        <v>31</v>
      </c>
      <c r="D1499" t="s">
        <v>27</v>
      </c>
      <c r="E1499" t="s">
        <v>17</v>
      </c>
      <c r="F1499">
        <v>313</v>
      </c>
      <c r="G1499">
        <v>228</v>
      </c>
      <c r="H1499">
        <v>63</v>
      </c>
      <c r="I1499">
        <f>Inventory_Data[[#This Row],[Opening_Stock]]+Inventory_Data[[#This Row],[Units_Received]]-Inventory_Data[[#This Row],[Units_Sold]]</f>
        <v>478</v>
      </c>
      <c r="J1499">
        <v>0</v>
      </c>
      <c r="K1499">
        <v>6</v>
      </c>
      <c r="L1499" t="s">
        <v>29</v>
      </c>
      <c r="M1499" s="3">
        <v>8.01</v>
      </c>
      <c r="N1499" s="3">
        <v>12.37</v>
      </c>
      <c r="O1499" s="10" t="str">
        <f>TEXT(Inventory_Data[[#This Row],[Date]],"mmm")</f>
        <v>Oct</v>
      </c>
    </row>
    <row r="1500" spans="1:15" x14ac:dyDescent="0.2">
      <c r="A1500" s="21">
        <v>45932</v>
      </c>
      <c r="B1500" s="5" t="s">
        <v>78</v>
      </c>
      <c r="C1500" t="s">
        <v>79</v>
      </c>
      <c r="D1500" t="s">
        <v>27</v>
      </c>
      <c r="E1500" t="s">
        <v>35</v>
      </c>
      <c r="F1500">
        <v>292</v>
      </c>
      <c r="G1500">
        <v>162</v>
      </c>
      <c r="H1500">
        <v>180</v>
      </c>
      <c r="I1500">
        <f>Inventory_Data[[#This Row],[Opening_Stock]]+Inventory_Data[[#This Row],[Units_Received]]-Inventory_Data[[#This Row],[Units_Sold]]</f>
        <v>274</v>
      </c>
      <c r="J1500">
        <v>0</v>
      </c>
      <c r="K1500">
        <v>2</v>
      </c>
      <c r="L1500" t="s">
        <v>29</v>
      </c>
      <c r="M1500" s="3">
        <v>12.88</v>
      </c>
      <c r="N1500" s="3">
        <v>17.489999999999998</v>
      </c>
      <c r="O1500" s="10" t="str">
        <f>TEXT(Inventory_Data[[#This Row],[Date]],"mmm")</f>
        <v>Oct</v>
      </c>
    </row>
    <row r="1501" spans="1:15" x14ac:dyDescent="0.2">
      <c r="A1501" s="21">
        <v>45932</v>
      </c>
      <c r="B1501" s="5" t="s">
        <v>81</v>
      </c>
      <c r="C1501" t="s">
        <v>82</v>
      </c>
      <c r="D1501" t="s">
        <v>52</v>
      </c>
      <c r="E1501" t="s">
        <v>17</v>
      </c>
      <c r="F1501">
        <v>17</v>
      </c>
      <c r="G1501">
        <v>25</v>
      </c>
      <c r="H1501">
        <v>10</v>
      </c>
      <c r="I1501">
        <f>Inventory_Data[[#This Row],[Opening_Stock]]+Inventory_Data[[#This Row],[Units_Received]]-Inventory_Data[[#This Row],[Units_Sold]]</f>
        <v>32</v>
      </c>
      <c r="J1501">
        <v>0</v>
      </c>
      <c r="K1501">
        <v>8</v>
      </c>
      <c r="L1501" t="s">
        <v>83</v>
      </c>
      <c r="M1501" s="3">
        <v>143.82</v>
      </c>
      <c r="N1501" s="3">
        <v>185.74</v>
      </c>
      <c r="O1501" s="10" t="str">
        <f>TEXT(Inventory_Data[[#This Row],[Date]],"mmm")</f>
        <v>Oct</v>
      </c>
    </row>
    <row r="1502" spans="1:15" x14ac:dyDescent="0.2">
      <c r="A1502" s="21">
        <v>45933</v>
      </c>
      <c r="B1502" s="5" t="s">
        <v>122</v>
      </c>
      <c r="C1502" t="s">
        <v>123</v>
      </c>
      <c r="D1502" t="s">
        <v>27</v>
      </c>
      <c r="E1502" t="s">
        <v>35</v>
      </c>
      <c r="F1502">
        <v>257</v>
      </c>
      <c r="G1502">
        <v>207</v>
      </c>
      <c r="H1502">
        <v>145</v>
      </c>
      <c r="I1502">
        <f>Inventory_Data[[#This Row],[Opening_Stock]]+Inventory_Data[[#This Row],[Units_Received]]-Inventory_Data[[#This Row],[Units_Sold]]</f>
        <v>319</v>
      </c>
      <c r="J1502">
        <v>0</v>
      </c>
      <c r="K1502">
        <v>7</v>
      </c>
      <c r="L1502" t="s">
        <v>29</v>
      </c>
      <c r="M1502" s="3">
        <v>8.58</v>
      </c>
      <c r="N1502" s="3">
        <v>11.33</v>
      </c>
      <c r="O1502" s="10" t="str">
        <f>TEXT(Inventory_Data[[#This Row],[Date]],"mmm")</f>
        <v>Oct</v>
      </c>
    </row>
    <row r="1503" spans="1:15" x14ac:dyDescent="0.2">
      <c r="A1503" s="21">
        <v>45934</v>
      </c>
      <c r="B1503" s="5" t="s">
        <v>128</v>
      </c>
      <c r="C1503" t="s">
        <v>129</v>
      </c>
      <c r="D1503" t="s">
        <v>48</v>
      </c>
      <c r="E1503" t="s">
        <v>17</v>
      </c>
      <c r="F1503">
        <v>102</v>
      </c>
      <c r="G1503">
        <v>68</v>
      </c>
      <c r="H1503">
        <v>85</v>
      </c>
      <c r="I1503">
        <f>Inventory_Data[[#This Row],[Opening_Stock]]+Inventory_Data[[#This Row],[Units_Received]]-Inventory_Data[[#This Row],[Units_Sold]]</f>
        <v>85</v>
      </c>
      <c r="J1503">
        <v>0</v>
      </c>
      <c r="K1503">
        <v>14</v>
      </c>
      <c r="L1503" t="s">
        <v>63</v>
      </c>
      <c r="M1503" s="3">
        <v>85.66</v>
      </c>
      <c r="N1503" s="3">
        <v>115.51</v>
      </c>
      <c r="O1503" s="10" t="str">
        <f>TEXT(Inventory_Data[[#This Row],[Date]],"mmm")</f>
        <v>Oct</v>
      </c>
    </row>
    <row r="1504" spans="1:15" x14ac:dyDescent="0.2">
      <c r="A1504" s="21">
        <v>45934</v>
      </c>
      <c r="B1504" s="5" t="s">
        <v>170</v>
      </c>
      <c r="C1504" t="s">
        <v>171</v>
      </c>
      <c r="D1504" t="s">
        <v>48</v>
      </c>
      <c r="E1504" t="s">
        <v>17</v>
      </c>
      <c r="F1504">
        <v>68</v>
      </c>
      <c r="G1504">
        <v>135</v>
      </c>
      <c r="H1504">
        <v>20</v>
      </c>
      <c r="I1504">
        <f>Inventory_Data[[#This Row],[Opening_Stock]]+Inventory_Data[[#This Row],[Units_Received]]-Inventory_Data[[#This Row],[Units_Sold]]</f>
        <v>183</v>
      </c>
      <c r="J1504">
        <v>0</v>
      </c>
      <c r="K1504">
        <v>2</v>
      </c>
      <c r="L1504" t="s">
        <v>77</v>
      </c>
      <c r="M1504" s="3">
        <v>89.85</v>
      </c>
      <c r="N1504" s="3">
        <v>106.02</v>
      </c>
      <c r="O1504" s="10" t="str">
        <f>TEXT(Inventory_Data[[#This Row],[Date]],"mmm")</f>
        <v>Oct</v>
      </c>
    </row>
    <row r="1505" spans="1:15" x14ac:dyDescent="0.2">
      <c r="A1505" s="21">
        <v>45934</v>
      </c>
      <c r="B1505" s="5" t="s">
        <v>164</v>
      </c>
      <c r="C1505" t="s">
        <v>165</v>
      </c>
      <c r="D1505" t="s">
        <v>48</v>
      </c>
      <c r="E1505" t="s">
        <v>17</v>
      </c>
      <c r="F1505">
        <v>172</v>
      </c>
      <c r="G1505">
        <v>124</v>
      </c>
      <c r="H1505">
        <v>37</v>
      </c>
      <c r="I1505">
        <f>Inventory_Data[[#This Row],[Opening_Stock]]+Inventory_Data[[#This Row],[Units_Received]]-Inventory_Data[[#This Row],[Units_Sold]]</f>
        <v>259</v>
      </c>
      <c r="J1505">
        <v>0</v>
      </c>
      <c r="K1505">
        <v>11</v>
      </c>
      <c r="L1505" t="s">
        <v>77</v>
      </c>
      <c r="M1505" s="3">
        <v>55.91</v>
      </c>
      <c r="N1505" s="3">
        <v>65.38</v>
      </c>
      <c r="O1505" s="10" t="str">
        <f>TEXT(Inventory_Data[[#This Row],[Date]],"mmm")</f>
        <v>Oct</v>
      </c>
    </row>
    <row r="1506" spans="1:15" x14ac:dyDescent="0.2">
      <c r="A1506" s="21">
        <v>45934</v>
      </c>
      <c r="B1506" s="5" t="s">
        <v>50</v>
      </c>
      <c r="C1506" t="s">
        <v>51</v>
      </c>
      <c r="D1506" t="s">
        <v>52</v>
      </c>
      <c r="E1506" t="s">
        <v>17</v>
      </c>
      <c r="F1506">
        <v>52</v>
      </c>
      <c r="G1506">
        <v>14</v>
      </c>
      <c r="H1506">
        <v>11</v>
      </c>
      <c r="I1506">
        <f>Inventory_Data[[#This Row],[Opening_Stock]]+Inventory_Data[[#This Row],[Units_Received]]-Inventory_Data[[#This Row],[Units_Sold]]</f>
        <v>55</v>
      </c>
      <c r="J1506">
        <v>0</v>
      </c>
      <c r="K1506">
        <v>8</v>
      </c>
      <c r="L1506" t="s">
        <v>53</v>
      </c>
      <c r="M1506" s="3">
        <v>316.43</v>
      </c>
      <c r="N1506" s="3">
        <v>372.92</v>
      </c>
      <c r="O1506" s="10" t="str">
        <f>TEXT(Inventory_Data[[#This Row],[Date]],"mmm")</f>
        <v>Oct</v>
      </c>
    </row>
    <row r="1507" spans="1:15" x14ac:dyDescent="0.2">
      <c r="A1507" s="21">
        <v>45934</v>
      </c>
      <c r="B1507" s="5" t="s">
        <v>67</v>
      </c>
      <c r="C1507" t="s">
        <v>68</v>
      </c>
      <c r="D1507" t="s">
        <v>52</v>
      </c>
      <c r="E1507" t="s">
        <v>21</v>
      </c>
      <c r="F1507">
        <v>30</v>
      </c>
      <c r="G1507">
        <v>15</v>
      </c>
      <c r="H1507">
        <v>4</v>
      </c>
      <c r="I1507">
        <f>Inventory_Data[[#This Row],[Opening_Stock]]+Inventory_Data[[#This Row],[Units_Received]]-Inventory_Data[[#This Row],[Units_Sold]]</f>
        <v>41</v>
      </c>
      <c r="J1507">
        <v>0</v>
      </c>
      <c r="K1507">
        <v>8</v>
      </c>
      <c r="L1507" t="s">
        <v>53</v>
      </c>
      <c r="M1507" s="3">
        <v>179.81</v>
      </c>
      <c r="N1507" s="3">
        <v>242.57</v>
      </c>
      <c r="O1507" s="10" t="str">
        <f>TEXT(Inventory_Data[[#This Row],[Date]],"mmm")</f>
        <v>Oct</v>
      </c>
    </row>
    <row r="1508" spans="1:15" x14ac:dyDescent="0.2">
      <c r="A1508" s="21">
        <v>45934</v>
      </c>
      <c r="B1508" s="5" t="s">
        <v>176</v>
      </c>
      <c r="C1508" t="s">
        <v>177</v>
      </c>
      <c r="D1508" t="s">
        <v>34</v>
      </c>
      <c r="E1508" t="s">
        <v>21</v>
      </c>
      <c r="F1508">
        <v>78</v>
      </c>
      <c r="G1508">
        <v>99</v>
      </c>
      <c r="H1508">
        <v>134</v>
      </c>
      <c r="I1508">
        <f>Inventory_Data[[#This Row],[Opening_Stock]]+Inventory_Data[[#This Row],[Units_Received]]-Inventory_Data[[#This Row],[Units_Sold]]</f>
        <v>43</v>
      </c>
      <c r="J1508">
        <v>0</v>
      </c>
      <c r="K1508">
        <v>6</v>
      </c>
      <c r="L1508" t="s">
        <v>36</v>
      </c>
      <c r="M1508" s="3">
        <v>16.309999999999999</v>
      </c>
      <c r="N1508" s="3">
        <v>22.39</v>
      </c>
      <c r="O1508" s="10" t="str">
        <f>TEXT(Inventory_Data[[#This Row],[Date]],"mmm")</f>
        <v>Oct</v>
      </c>
    </row>
    <row r="1509" spans="1:15" x14ac:dyDescent="0.2">
      <c r="A1509" s="21">
        <v>45934</v>
      </c>
      <c r="B1509" s="5" t="s">
        <v>59</v>
      </c>
      <c r="C1509" t="s">
        <v>60</v>
      </c>
      <c r="D1509" t="s">
        <v>34</v>
      </c>
      <c r="E1509" t="s">
        <v>35</v>
      </c>
      <c r="F1509">
        <v>365</v>
      </c>
      <c r="G1509">
        <v>169</v>
      </c>
      <c r="H1509">
        <v>109</v>
      </c>
      <c r="I1509">
        <f>Inventory_Data[[#This Row],[Opening_Stock]]+Inventory_Data[[#This Row],[Units_Received]]-Inventory_Data[[#This Row],[Units_Sold]]</f>
        <v>425</v>
      </c>
      <c r="J1509">
        <v>0</v>
      </c>
      <c r="K1509">
        <v>2</v>
      </c>
      <c r="L1509" t="s">
        <v>39</v>
      </c>
      <c r="M1509" s="3">
        <v>26.81</v>
      </c>
      <c r="N1509" s="3">
        <v>41.47</v>
      </c>
      <c r="O1509" s="10" t="str">
        <f>TEXT(Inventory_Data[[#This Row],[Date]],"mmm")</f>
        <v>Oct</v>
      </c>
    </row>
    <row r="1510" spans="1:15" x14ac:dyDescent="0.2">
      <c r="A1510" s="21">
        <v>45935</v>
      </c>
      <c r="B1510" s="5" t="s">
        <v>166</v>
      </c>
      <c r="C1510" t="s">
        <v>167</v>
      </c>
      <c r="D1510" t="s">
        <v>16</v>
      </c>
      <c r="E1510" t="s">
        <v>17</v>
      </c>
      <c r="F1510">
        <v>30</v>
      </c>
      <c r="G1510">
        <v>17</v>
      </c>
      <c r="H1510">
        <v>47</v>
      </c>
      <c r="I1510">
        <f>Inventory_Data[[#This Row],[Opening_Stock]]+Inventory_Data[[#This Row],[Units_Received]]-Inventory_Data[[#This Row],[Units_Sold]]</f>
        <v>0</v>
      </c>
      <c r="J1510">
        <v>1</v>
      </c>
      <c r="K1510">
        <v>7</v>
      </c>
      <c r="L1510" t="s">
        <v>24</v>
      </c>
      <c r="M1510" s="3">
        <v>169.86</v>
      </c>
      <c r="N1510" s="3">
        <v>213.48</v>
      </c>
      <c r="O1510" s="10" t="str">
        <f>TEXT(Inventory_Data[[#This Row],[Date]],"mmm")</f>
        <v>Oct</v>
      </c>
    </row>
    <row r="1511" spans="1:15" x14ac:dyDescent="0.2">
      <c r="A1511" s="21">
        <v>45935</v>
      </c>
      <c r="B1511" s="5" t="s">
        <v>164</v>
      </c>
      <c r="C1511" t="s">
        <v>165</v>
      </c>
      <c r="D1511" t="s">
        <v>48</v>
      </c>
      <c r="E1511" t="s">
        <v>21</v>
      </c>
      <c r="F1511">
        <v>155</v>
      </c>
      <c r="G1511">
        <v>127</v>
      </c>
      <c r="H1511">
        <v>62</v>
      </c>
      <c r="I1511">
        <f>Inventory_Data[[#This Row],[Opening_Stock]]+Inventory_Data[[#This Row],[Units_Received]]-Inventory_Data[[#This Row],[Units_Sold]]</f>
        <v>220</v>
      </c>
      <c r="J1511">
        <v>0</v>
      </c>
      <c r="K1511">
        <v>8</v>
      </c>
      <c r="L1511" t="s">
        <v>63</v>
      </c>
      <c r="M1511" s="3">
        <v>59.36</v>
      </c>
      <c r="N1511" s="3">
        <v>74.88</v>
      </c>
      <c r="O1511" s="10" t="str">
        <f>TEXT(Inventory_Data[[#This Row],[Date]],"mmm")</f>
        <v>Oct</v>
      </c>
    </row>
    <row r="1512" spans="1:15" x14ac:dyDescent="0.2">
      <c r="A1512" s="21">
        <v>45935</v>
      </c>
      <c r="B1512" s="5" t="s">
        <v>54</v>
      </c>
      <c r="C1512" t="s">
        <v>55</v>
      </c>
      <c r="D1512" t="s">
        <v>52</v>
      </c>
      <c r="E1512" t="s">
        <v>17</v>
      </c>
      <c r="F1512">
        <v>17</v>
      </c>
      <c r="G1512">
        <v>21</v>
      </c>
      <c r="H1512">
        <v>10</v>
      </c>
      <c r="I1512">
        <f>Inventory_Data[[#This Row],[Opening_Stock]]+Inventory_Data[[#This Row],[Units_Received]]-Inventory_Data[[#This Row],[Units_Sold]]</f>
        <v>28</v>
      </c>
      <c r="J1512">
        <v>0</v>
      </c>
      <c r="K1512">
        <v>14</v>
      </c>
      <c r="L1512" t="s">
        <v>56</v>
      </c>
      <c r="M1512" s="3">
        <v>279.77999999999997</v>
      </c>
      <c r="N1512" s="3">
        <v>372.47</v>
      </c>
      <c r="O1512" s="10" t="str">
        <f>TEXT(Inventory_Data[[#This Row],[Date]],"mmm")</f>
        <v>Oct</v>
      </c>
    </row>
    <row r="1513" spans="1:15" x14ac:dyDescent="0.2">
      <c r="A1513" s="21">
        <v>45936</v>
      </c>
      <c r="B1513" s="5" t="s">
        <v>166</v>
      </c>
      <c r="C1513" t="s">
        <v>167</v>
      </c>
      <c r="D1513" t="s">
        <v>16</v>
      </c>
      <c r="E1513" t="s">
        <v>35</v>
      </c>
      <c r="F1513">
        <v>63</v>
      </c>
      <c r="G1513">
        <v>14</v>
      </c>
      <c r="H1513">
        <v>31</v>
      </c>
      <c r="I1513">
        <f>Inventory_Data[[#This Row],[Opening_Stock]]+Inventory_Data[[#This Row],[Units_Received]]-Inventory_Data[[#This Row],[Units_Sold]]</f>
        <v>46</v>
      </c>
      <c r="J1513">
        <v>0</v>
      </c>
      <c r="K1513">
        <v>5</v>
      </c>
      <c r="L1513" t="s">
        <v>45</v>
      </c>
      <c r="M1513" s="3">
        <v>147.21</v>
      </c>
      <c r="N1513" s="3">
        <v>186.26</v>
      </c>
      <c r="O1513" s="10" t="str">
        <f>TEXT(Inventory_Data[[#This Row],[Date]],"mmm")</f>
        <v>Oct</v>
      </c>
    </row>
    <row r="1514" spans="1:15" x14ac:dyDescent="0.2">
      <c r="A1514" s="21">
        <v>45936</v>
      </c>
      <c r="B1514" s="5" t="s">
        <v>172</v>
      </c>
      <c r="C1514" t="s">
        <v>173</v>
      </c>
      <c r="D1514" t="s">
        <v>27</v>
      </c>
      <c r="E1514" t="s">
        <v>17</v>
      </c>
      <c r="F1514">
        <v>480</v>
      </c>
      <c r="G1514">
        <v>182</v>
      </c>
      <c r="H1514">
        <v>125</v>
      </c>
      <c r="I1514">
        <f>Inventory_Data[[#This Row],[Opening_Stock]]+Inventory_Data[[#This Row],[Units_Received]]-Inventory_Data[[#This Row],[Units_Sold]]</f>
        <v>537</v>
      </c>
      <c r="J1514">
        <v>0</v>
      </c>
      <c r="K1514">
        <v>7</v>
      </c>
      <c r="L1514" t="s">
        <v>66</v>
      </c>
      <c r="M1514" s="3">
        <v>3.03</v>
      </c>
      <c r="N1514" s="3">
        <v>3.64</v>
      </c>
      <c r="O1514" s="10" t="str">
        <f>TEXT(Inventory_Data[[#This Row],[Date]],"mmm")</f>
        <v>Oct</v>
      </c>
    </row>
    <row r="1515" spans="1:15" x14ac:dyDescent="0.2">
      <c r="A1515" s="21">
        <v>45937</v>
      </c>
      <c r="B1515" s="5" t="s">
        <v>71</v>
      </c>
      <c r="C1515" t="s">
        <v>72</v>
      </c>
      <c r="D1515" t="s">
        <v>16</v>
      </c>
      <c r="E1515" t="s">
        <v>28</v>
      </c>
      <c r="F1515">
        <v>145</v>
      </c>
      <c r="G1515">
        <v>30</v>
      </c>
      <c r="H1515">
        <v>80</v>
      </c>
      <c r="I1515">
        <f>Inventory_Data[[#This Row],[Opening_Stock]]+Inventory_Data[[#This Row],[Units_Received]]-Inventory_Data[[#This Row],[Units_Sold]]</f>
        <v>95</v>
      </c>
      <c r="J1515">
        <v>0</v>
      </c>
      <c r="K1515">
        <v>3</v>
      </c>
      <c r="L1515" t="s">
        <v>45</v>
      </c>
      <c r="M1515" s="3">
        <v>83.35</v>
      </c>
      <c r="N1515" s="3">
        <v>120.29</v>
      </c>
      <c r="O1515" s="10" t="str">
        <f>TEXT(Inventory_Data[[#This Row],[Date]],"mmm")</f>
        <v>Oct</v>
      </c>
    </row>
    <row r="1516" spans="1:15" x14ac:dyDescent="0.2">
      <c r="A1516" s="21">
        <v>45937</v>
      </c>
      <c r="B1516" s="5" t="s">
        <v>14</v>
      </c>
      <c r="C1516" t="s">
        <v>15</v>
      </c>
      <c r="D1516" t="s">
        <v>16</v>
      </c>
      <c r="E1516" t="s">
        <v>35</v>
      </c>
      <c r="F1516">
        <v>57</v>
      </c>
      <c r="G1516">
        <v>38</v>
      </c>
      <c r="H1516">
        <v>9</v>
      </c>
      <c r="I1516">
        <f>Inventory_Data[[#This Row],[Opening_Stock]]+Inventory_Data[[#This Row],[Units_Received]]-Inventory_Data[[#This Row],[Units_Sold]]</f>
        <v>86</v>
      </c>
      <c r="J1516">
        <v>0</v>
      </c>
      <c r="K1516">
        <v>2</v>
      </c>
      <c r="L1516" t="s">
        <v>24</v>
      </c>
      <c r="M1516" s="3">
        <v>53.06</v>
      </c>
      <c r="N1516" s="3">
        <v>75.12</v>
      </c>
      <c r="O1516" s="10" t="str">
        <f>TEXT(Inventory_Data[[#This Row],[Date]],"mmm")</f>
        <v>Oct</v>
      </c>
    </row>
    <row r="1517" spans="1:15" x14ac:dyDescent="0.2">
      <c r="A1517" s="21">
        <v>45937</v>
      </c>
      <c r="B1517" s="5" t="s">
        <v>108</v>
      </c>
      <c r="C1517" t="s">
        <v>109</v>
      </c>
      <c r="D1517" t="s">
        <v>16</v>
      </c>
      <c r="E1517" t="s">
        <v>28</v>
      </c>
      <c r="F1517">
        <v>166</v>
      </c>
      <c r="G1517">
        <v>75</v>
      </c>
      <c r="H1517">
        <v>34</v>
      </c>
      <c r="I1517">
        <f>Inventory_Data[[#This Row],[Opening_Stock]]+Inventory_Data[[#This Row],[Units_Received]]-Inventory_Data[[#This Row],[Units_Sold]]</f>
        <v>207</v>
      </c>
      <c r="J1517">
        <v>0</v>
      </c>
      <c r="K1517">
        <v>6</v>
      </c>
      <c r="L1517" t="s">
        <v>45</v>
      </c>
      <c r="M1517" s="3">
        <v>18.100000000000001</v>
      </c>
      <c r="N1517" s="3">
        <v>27.8</v>
      </c>
      <c r="O1517" s="10" t="str">
        <f>TEXT(Inventory_Data[[#This Row],[Date]],"mmm")</f>
        <v>Oct</v>
      </c>
    </row>
    <row r="1518" spans="1:15" x14ac:dyDescent="0.2">
      <c r="A1518" s="21">
        <v>45937</v>
      </c>
      <c r="B1518" s="5" t="s">
        <v>116</v>
      </c>
      <c r="C1518" t="s">
        <v>117</v>
      </c>
      <c r="D1518" t="s">
        <v>52</v>
      </c>
      <c r="E1518" t="s">
        <v>21</v>
      </c>
      <c r="F1518">
        <v>45</v>
      </c>
      <c r="G1518">
        <v>14</v>
      </c>
      <c r="H1518">
        <v>6</v>
      </c>
      <c r="I1518">
        <f>Inventory_Data[[#This Row],[Opening_Stock]]+Inventory_Data[[#This Row],[Units_Received]]-Inventory_Data[[#This Row],[Units_Sold]]</f>
        <v>53</v>
      </c>
      <c r="J1518">
        <v>0</v>
      </c>
      <c r="K1518">
        <v>11</v>
      </c>
      <c r="L1518" t="s">
        <v>53</v>
      </c>
      <c r="M1518" s="3">
        <v>199.78</v>
      </c>
      <c r="N1518" s="3">
        <v>251.97</v>
      </c>
      <c r="O1518" s="10" t="str">
        <f>TEXT(Inventory_Data[[#This Row],[Date]],"mmm")</f>
        <v>Oct</v>
      </c>
    </row>
    <row r="1519" spans="1:15" x14ac:dyDescent="0.2">
      <c r="A1519" s="21">
        <v>45937</v>
      </c>
      <c r="B1519" s="5" t="s">
        <v>88</v>
      </c>
      <c r="C1519" t="s">
        <v>89</v>
      </c>
      <c r="D1519" t="s">
        <v>34</v>
      </c>
      <c r="E1519" t="s">
        <v>17</v>
      </c>
      <c r="F1519">
        <v>85</v>
      </c>
      <c r="G1519">
        <v>168</v>
      </c>
      <c r="H1519">
        <v>31</v>
      </c>
      <c r="I1519">
        <f>Inventory_Data[[#This Row],[Opening_Stock]]+Inventory_Data[[#This Row],[Units_Received]]-Inventory_Data[[#This Row],[Units_Sold]]</f>
        <v>222</v>
      </c>
      <c r="J1519">
        <v>0</v>
      </c>
      <c r="K1519">
        <v>9</v>
      </c>
      <c r="L1519" t="s">
        <v>39</v>
      </c>
      <c r="M1519" s="3">
        <v>26.75</v>
      </c>
      <c r="N1519" s="3">
        <v>31.88</v>
      </c>
      <c r="O1519" s="10" t="str">
        <f>TEXT(Inventory_Data[[#This Row],[Date]],"mmm")</f>
        <v>Oct</v>
      </c>
    </row>
    <row r="1520" spans="1:15" x14ac:dyDescent="0.2">
      <c r="A1520" s="21">
        <v>45937</v>
      </c>
      <c r="B1520" s="5" t="s">
        <v>118</v>
      </c>
      <c r="C1520" t="s">
        <v>119</v>
      </c>
      <c r="D1520" t="s">
        <v>34</v>
      </c>
      <c r="E1520" t="s">
        <v>35</v>
      </c>
      <c r="F1520">
        <v>178</v>
      </c>
      <c r="G1520">
        <v>219</v>
      </c>
      <c r="H1520">
        <v>128</v>
      </c>
      <c r="I1520">
        <f>Inventory_Data[[#This Row],[Opening_Stock]]+Inventory_Data[[#This Row],[Units_Received]]-Inventory_Data[[#This Row],[Units_Sold]]</f>
        <v>269</v>
      </c>
      <c r="J1520">
        <v>0</v>
      </c>
      <c r="K1520">
        <v>11</v>
      </c>
      <c r="L1520" t="s">
        <v>42</v>
      </c>
      <c r="M1520" s="3">
        <v>24.16</v>
      </c>
      <c r="N1520" s="3">
        <v>30.61</v>
      </c>
      <c r="O1520" s="10" t="str">
        <f>TEXT(Inventory_Data[[#This Row],[Date]],"mmm")</f>
        <v>Oct</v>
      </c>
    </row>
    <row r="1521" spans="1:15" x14ac:dyDescent="0.2">
      <c r="A1521" s="21">
        <v>45937</v>
      </c>
      <c r="B1521" s="5" t="s">
        <v>43</v>
      </c>
      <c r="C1521" t="s">
        <v>44</v>
      </c>
      <c r="D1521" t="s">
        <v>34</v>
      </c>
      <c r="E1521" t="s">
        <v>17</v>
      </c>
      <c r="F1521">
        <v>331</v>
      </c>
      <c r="G1521">
        <v>42</v>
      </c>
      <c r="H1521">
        <v>34</v>
      </c>
      <c r="I1521">
        <f>Inventory_Data[[#This Row],[Opening_Stock]]+Inventory_Data[[#This Row],[Units_Received]]-Inventory_Data[[#This Row],[Units_Sold]]</f>
        <v>339</v>
      </c>
      <c r="J1521">
        <v>0</v>
      </c>
      <c r="K1521">
        <v>3</v>
      </c>
      <c r="L1521" t="s">
        <v>42</v>
      </c>
      <c r="M1521" s="3">
        <v>27.1</v>
      </c>
      <c r="N1521" s="3">
        <v>40.04</v>
      </c>
      <c r="O1521" s="10" t="str">
        <f>TEXT(Inventory_Data[[#This Row],[Date]],"mmm")</f>
        <v>Oct</v>
      </c>
    </row>
    <row r="1522" spans="1:15" x14ac:dyDescent="0.2">
      <c r="A1522" s="21">
        <v>45938</v>
      </c>
      <c r="B1522" s="5" t="s">
        <v>184</v>
      </c>
      <c r="C1522" t="s">
        <v>185</v>
      </c>
      <c r="D1522" t="s">
        <v>16</v>
      </c>
      <c r="E1522" t="s">
        <v>21</v>
      </c>
      <c r="F1522">
        <v>43</v>
      </c>
      <c r="G1522">
        <v>48</v>
      </c>
      <c r="H1522">
        <v>72</v>
      </c>
      <c r="I1522">
        <f>Inventory_Data[[#This Row],[Opening_Stock]]+Inventory_Data[[#This Row],[Units_Received]]-Inventory_Data[[#This Row],[Units_Sold]]</f>
        <v>19</v>
      </c>
      <c r="J1522">
        <v>0</v>
      </c>
      <c r="K1522">
        <v>14</v>
      </c>
      <c r="L1522" t="s">
        <v>45</v>
      </c>
      <c r="M1522" s="3">
        <v>41.35</v>
      </c>
      <c r="N1522" s="3">
        <v>47.99</v>
      </c>
      <c r="O1522" s="10" t="str">
        <f>TEXT(Inventory_Data[[#This Row],[Date]],"mmm")</f>
        <v>Oct</v>
      </c>
    </row>
    <row r="1523" spans="1:15" x14ac:dyDescent="0.2">
      <c r="A1523" s="21">
        <v>45938</v>
      </c>
      <c r="B1523" s="5" t="s">
        <v>96</v>
      </c>
      <c r="C1523" t="s">
        <v>97</v>
      </c>
      <c r="D1523" t="s">
        <v>48</v>
      </c>
      <c r="E1523" t="s">
        <v>21</v>
      </c>
      <c r="F1523">
        <v>222</v>
      </c>
      <c r="G1523">
        <v>72</v>
      </c>
      <c r="H1523">
        <v>59</v>
      </c>
      <c r="I1523">
        <f>Inventory_Data[[#This Row],[Opening_Stock]]+Inventory_Data[[#This Row],[Units_Received]]-Inventory_Data[[#This Row],[Units_Sold]]</f>
        <v>235</v>
      </c>
      <c r="J1523">
        <v>0</v>
      </c>
      <c r="K1523">
        <v>9</v>
      </c>
      <c r="L1523" t="s">
        <v>77</v>
      </c>
      <c r="M1523" s="3">
        <v>65.63</v>
      </c>
      <c r="N1523" s="3">
        <v>87.36</v>
      </c>
      <c r="O1523" s="10" t="str">
        <f>TEXT(Inventory_Data[[#This Row],[Date]],"mmm")</f>
        <v>Oct</v>
      </c>
    </row>
    <row r="1524" spans="1:15" x14ac:dyDescent="0.2">
      <c r="A1524" s="21">
        <v>45938</v>
      </c>
      <c r="B1524" s="5" t="s">
        <v>50</v>
      </c>
      <c r="C1524" t="s">
        <v>51</v>
      </c>
      <c r="D1524" t="s">
        <v>52</v>
      </c>
      <c r="E1524" t="s">
        <v>17</v>
      </c>
      <c r="F1524">
        <v>17</v>
      </c>
      <c r="G1524">
        <v>20</v>
      </c>
      <c r="H1524">
        <v>14</v>
      </c>
      <c r="I1524">
        <f>Inventory_Data[[#This Row],[Opening_Stock]]+Inventory_Data[[#This Row],[Units_Received]]-Inventory_Data[[#This Row],[Units_Sold]]</f>
        <v>23</v>
      </c>
      <c r="J1524">
        <v>0</v>
      </c>
      <c r="K1524">
        <v>11</v>
      </c>
      <c r="L1524" t="s">
        <v>83</v>
      </c>
      <c r="M1524" s="3">
        <v>163.94</v>
      </c>
      <c r="N1524" s="3">
        <v>202.05</v>
      </c>
      <c r="O1524" s="10" t="str">
        <f>TEXT(Inventory_Data[[#This Row],[Date]],"mmm")</f>
        <v>Oct</v>
      </c>
    </row>
    <row r="1525" spans="1:15" x14ac:dyDescent="0.2">
      <c r="A1525" s="21">
        <v>45938</v>
      </c>
      <c r="B1525" s="5" t="s">
        <v>126</v>
      </c>
      <c r="C1525" t="s">
        <v>127</v>
      </c>
      <c r="D1525" t="s">
        <v>34</v>
      </c>
      <c r="E1525" t="s">
        <v>35</v>
      </c>
      <c r="F1525">
        <v>273</v>
      </c>
      <c r="G1525">
        <v>113</v>
      </c>
      <c r="H1525">
        <v>103</v>
      </c>
      <c r="I1525">
        <f>Inventory_Data[[#This Row],[Opening_Stock]]+Inventory_Data[[#This Row],[Units_Received]]-Inventory_Data[[#This Row],[Units_Sold]]</f>
        <v>283</v>
      </c>
      <c r="J1525">
        <v>0</v>
      </c>
      <c r="K1525">
        <v>13</v>
      </c>
      <c r="L1525" t="s">
        <v>42</v>
      </c>
      <c r="M1525" s="3">
        <v>2.12</v>
      </c>
      <c r="N1525" s="3">
        <v>2.86</v>
      </c>
      <c r="O1525" s="10" t="str">
        <f>TEXT(Inventory_Data[[#This Row],[Date]],"mmm")</f>
        <v>Oct</v>
      </c>
    </row>
    <row r="1526" spans="1:15" x14ac:dyDescent="0.2">
      <c r="A1526" s="21">
        <v>45939</v>
      </c>
      <c r="B1526" s="5" t="s">
        <v>162</v>
      </c>
      <c r="C1526" t="s">
        <v>163</v>
      </c>
      <c r="D1526" t="s">
        <v>16</v>
      </c>
      <c r="E1526" t="s">
        <v>28</v>
      </c>
      <c r="F1526">
        <v>34</v>
      </c>
      <c r="G1526">
        <v>12</v>
      </c>
      <c r="H1526">
        <v>46</v>
      </c>
      <c r="I1526">
        <f>Inventory_Data[[#This Row],[Opening_Stock]]+Inventory_Data[[#This Row],[Units_Received]]-Inventory_Data[[#This Row],[Units_Sold]]</f>
        <v>0</v>
      </c>
      <c r="J1526">
        <v>1</v>
      </c>
      <c r="K1526">
        <v>2</v>
      </c>
      <c r="L1526" t="s">
        <v>18</v>
      </c>
      <c r="M1526" s="3">
        <v>121.21</v>
      </c>
      <c r="N1526" s="3">
        <v>175.66</v>
      </c>
      <c r="O1526" s="10" t="str">
        <f>TEXT(Inventory_Data[[#This Row],[Date]],"mmm")</f>
        <v>Oct</v>
      </c>
    </row>
    <row r="1527" spans="1:15" x14ac:dyDescent="0.2">
      <c r="A1527" s="21">
        <v>45939</v>
      </c>
      <c r="B1527" s="5" t="s">
        <v>19</v>
      </c>
      <c r="C1527" t="s">
        <v>20</v>
      </c>
      <c r="D1527" t="s">
        <v>16</v>
      </c>
      <c r="E1527" t="s">
        <v>21</v>
      </c>
      <c r="F1527">
        <v>176</v>
      </c>
      <c r="G1527">
        <v>21</v>
      </c>
      <c r="H1527">
        <v>21</v>
      </c>
      <c r="I1527">
        <f>Inventory_Data[[#This Row],[Opening_Stock]]+Inventory_Data[[#This Row],[Units_Received]]-Inventory_Data[[#This Row],[Units_Sold]]</f>
        <v>176</v>
      </c>
      <c r="J1527">
        <v>0</v>
      </c>
      <c r="K1527">
        <v>5</v>
      </c>
      <c r="L1527" t="s">
        <v>24</v>
      </c>
      <c r="M1527" s="3">
        <v>36.76</v>
      </c>
      <c r="N1527" s="3">
        <v>52.4</v>
      </c>
      <c r="O1527" s="10" t="str">
        <f>TEXT(Inventory_Data[[#This Row],[Date]],"mmm")</f>
        <v>Oct</v>
      </c>
    </row>
    <row r="1528" spans="1:15" x14ac:dyDescent="0.2">
      <c r="A1528" s="21">
        <v>45939</v>
      </c>
      <c r="B1528" s="5" t="s">
        <v>132</v>
      </c>
      <c r="C1528" t="s">
        <v>133</v>
      </c>
      <c r="D1528" t="s">
        <v>16</v>
      </c>
      <c r="E1528" t="s">
        <v>35</v>
      </c>
      <c r="F1528">
        <v>85</v>
      </c>
      <c r="G1528">
        <v>34</v>
      </c>
      <c r="H1528">
        <v>77</v>
      </c>
      <c r="I1528">
        <f>Inventory_Data[[#This Row],[Opening_Stock]]+Inventory_Data[[#This Row],[Units_Received]]-Inventory_Data[[#This Row],[Units_Sold]]</f>
        <v>42</v>
      </c>
      <c r="J1528">
        <v>0</v>
      </c>
      <c r="K1528">
        <v>6</v>
      </c>
      <c r="L1528" t="s">
        <v>18</v>
      </c>
      <c r="M1528" s="3">
        <v>142.05000000000001</v>
      </c>
      <c r="N1528" s="3">
        <v>167.76</v>
      </c>
      <c r="O1528" s="10" t="str">
        <f>TEXT(Inventory_Data[[#This Row],[Date]],"mmm")</f>
        <v>Oct</v>
      </c>
    </row>
    <row r="1529" spans="1:15" x14ac:dyDescent="0.2">
      <c r="A1529" s="21">
        <v>45939</v>
      </c>
      <c r="B1529" s="5" t="s">
        <v>170</v>
      </c>
      <c r="C1529" t="s">
        <v>171</v>
      </c>
      <c r="D1529" t="s">
        <v>48</v>
      </c>
      <c r="E1529" t="s">
        <v>35</v>
      </c>
      <c r="F1529">
        <v>178</v>
      </c>
      <c r="G1529">
        <v>144</v>
      </c>
      <c r="H1529">
        <v>82</v>
      </c>
      <c r="I1529">
        <f>Inventory_Data[[#This Row],[Opening_Stock]]+Inventory_Data[[#This Row],[Units_Received]]-Inventory_Data[[#This Row],[Units_Sold]]</f>
        <v>240</v>
      </c>
      <c r="J1529">
        <v>0</v>
      </c>
      <c r="K1529">
        <v>5</v>
      </c>
      <c r="L1529" t="s">
        <v>77</v>
      </c>
      <c r="M1529" s="3">
        <v>61.23</v>
      </c>
      <c r="N1529" s="3">
        <v>87.51</v>
      </c>
      <c r="O1529" s="10" t="str">
        <f>TEXT(Inventory_Data[[#This Row],[Date]],"mmm")</f>
        <v>Oct</v>
      </c>
    </row>
    <row r="1530" spans="1:15" x14ac:dyDescent="0.2">
      <c r="A1530" s="21">
        <v>45939</v>
      </c>
      <c r="B1530" s="5" t="s">
        <v>61</v>
      </c>
      <c r="C1530" t="s">
        <v>62</v>
      </c>
      <c r="D1530" t="s">
        <v>48</v>
      </c>
      <c r="E1530" t="s">
        <v>28</v>
      </c>
      <c r="F1530">
        <v>173</v>
      </c>
      <c r="G1530">
        <v>76</v>
      </c>
      <c r="H1530">
        <v>101</v>
      </c>
      <c r="I1530">
        <f>Inventory_Data[[#This Row],[Opening_Stock]]+Inventory_Data[[#This Row],[Units_Received]]-Inventory_Data[[#This Row],[Units_Sold]]</f>
        <v>148</v>
      </c>
      <c r="J1530">
        <v>0</v>
      </c>
      <c r="K1530">
        <v>2</v>
      </c>
      <c r="L1530" t="s">
        <v>63</v>
      </c>
      <c r="M1530" s="3">
        <v>56.48</v>
      </c>
      <c r="N1530" s="3">
        <v>72.06</v>
      </c>
      <c r="O1530" s="10" t="str">
        <f>TEXT(Inventory_Data[[#This Row],[Date]],"mmm")</f>
        <v>Oct</v>
      </c>
    </row>
    <row r="1531" spans="1:15" x14ac:dyDescent="0.2">
      <c r="A1531" s="21">
        <v>45939</v>
      </c>
      <c r="B1531" s="5" t="s">
        <v>188</v>
      </c>
      <c r="C1531" t="s">
        <v>189</v>
      </c>
      <c r="D1531" t="s">
        <v>27</v>
      </c>
      <c r="E1531" t="s">
        <v>35</v>
      </c>
      <c r="F1531">
        <v>295</v>
      </c>
      <c r="G1531">
        <v>151</v>
      </c>
      <c r="H1531">
        <v>66</v>
      </c>
      <c r="I1531">
        <f>Inventory_Data[[#This Row],[Opening_Stock]]+Inventory_Data[[#This Row],[Units_Received]]-Inventory_Data[[#This Row],[Units_Sold]]</f>
        <v>380</v>
      </c>
      <c r="J1531">
        <v>0</v>
      </c>
      <c r="K1531">
        <v>4</v>
      </c>
      <c r="L1531" t="s">
        <v>29</v>
      </c>
      <c r="M1531" s="3">
        <v>4.96</v>
      </c>
      <c r="N1531" s="3">
        <v>7.13</v>
      </c>
      <c r="O1531" s="10" t="str">
        <f>TEXT(Inventory_Data[[#This Row],[Date]],"mmm")</f>
        <v>Oct</v>
      </c>
    </row>
    <row r="1532" spans="1:15" x14ac:dyDescent="0.2">
      <c r="A1532" s="21">
        <v>45939</v>
      </c>
      <c r="B1532" s="5" t="s">
        <v>57</v>
      </c>
      <c r="C1532" t="s">
        <v>58</v>
      </c>
      <c r="D1532" t="s">
        <v>52</v>
      </c>
      <c r="E1532" t="s">
        <v>28</v>
      </c>
      <c r="F1532">
        <v>26</v>
      </c>
      <c r="G1532">
        <v>23</v>
      </c>
      <c r="H1532">
        <v>1</v>
      </c>
      <c r="I1532">
        <f>Inventory_Data[[#This Row],[Opening_Stock]]+Inventory_Data[[#This Row],[Units_Received]]-Inventory_Data[[#This Row],[Units_Sold]]</f>
        <v>48</v>
      </c>
      <c r="J1532">
        <v>0</v>
      </c>
      <c r="K1532">
        <v>4</v>
      </c>
      <c r="L1532" t="s">
        <v>83</v>
      </c>
      <c r="M1532" s="3">
        <v>25.44</v>
      </c>
      <c r="N1532" s="3">
        <v>34.31</v>
      </c>
      <c r="O1532" s="10" t="str">
        <f>TEXT(Inventory_Data[[#This Row],[Date]],"mmm")</f>
        <v>Oct</v>
      </c>
    </row>
    <row r="1533" spans="1:15" x14ac:dyDescent="0.2">
      <c r="A1533" s="21">
        <v>45940</v>
      </c>
      <c r="B1533" s="5" t="s">
        <v>166</v>
      </c>
      <c r="C1533" t="s">
        <v>167</v>
      </c>
      <c r="D1533" t="s">
        <v>16</v>
      </c>
      <c r="E1533" t="s">
        <v>28</v>
      </c>
      <c r="F1533">
        <v>40</v>
      </c>
      <c r="G1533">
        <v>60</v>
      </c>
      <c r="H1533">
        <v>42</v>
      </c>
      <c r="I1533">
        <f>Inventory_Data[[#This Row],[Opening_Stock]]+Inventory_Data[[#This Row],[Units_Received]]-Inventory_Data[[#This Row],[Units_Sold]]</f>
        <v>58</v>
      </c>
      <c r="J1533">
        <v>0</v>
      </c>
      <c r="K1533">
        <v>5</v>
      </c>
      <c r="L1533" t="s">
        <v>45</v>
      </c>
      <c r="M1533" s="3">
        <v>176.7</v>
      </c>
      <c r="N1533" s="3">
        <v>248.41</v>
      </c>
      <c r="O1533" s="10" t="str">
        <f>TEXT(Inventory_Data[[#This Row],[Date]],"mmm")</f>
        <v>Oct</v>
      </c>
    </row>
    <row r="1534" spans="1:15" x14ac:dyDescent="0.2">
      <c r="A1534" s="21">
        <v>45940</v>
      </c>
      <c r="B1534" s="5" t="s">
        <v>92</v>
      </c>
      <c r="C1534" t="s">
        <v>93</v>
      </c>
      <c r="D1534" t="s">
        <v>27</v>
      </c>
      <c r="E1534" t="s">
        <v>35</v>
      </c>
      <c r="F1534">
        <v>446</v>
      </c>
      <c r="G1534">
        <v>121</v>
      </c>
      <c r="H1534">
        <v>85</v>
      </c>
      <c r="I1534">
        <f>Inventory_Data[[#This Row],[Opening_Stock]]+Inventory_Data[[#This Row],[Units_Received]]-Inventory_Data[[#This Row],[Units_Sold]]</f>
        <v>482</v>
      </c>
      <c r="J1534">
        <v>0</v>
      </c>
      <c r="K1534">
        <v>2</v>
      </c>
      <c r="L1534" t="s">
        <v>80</v>
      </c>
      <c r="M1534" s="3">
        <v>14.58</v>
      </c>
      <c r="N1534" s="3">
        <v>19.54</v>
      </c>
      <c r="O1534" s="10" t="str">
        <f>TEXT(Inventory_Data[[#This Row],[Date]],"mmm")</f>
        <v>Oct</v>
      </c>
    </row>
    <row r="1535" spans="1:15" x14ac:dyDescent="0.2">
      <c r="A1535" s="21">
        <v>45940</v>
      </c>
      <c r="B1535" s="5" t="s">
        <v>188</v>
      </c>
      <c r="C1535" t="s">
        <v>189</v>
      </c>
      <c r="D1535" t="s">
        <v>27</v>
      </c>
      <c r="E1535" t="s">
        <v>28</v>
      </c>
      <c r="F1535">
        <v>165</v>
      </c>
      <c r="G1535">
        <v>216</v>
      </c>
      <c r="H1535">
        <v>36</v>
      </c>
      <c r="I1535">
        <f>Inventory_Data[[#This Row],[Opening_Stock]]+Inventory_Data[[#This Row],[Units_Received]]-Inventory_Data[[#This Row],[Units_Sold]]</f>
        <v>345</v>
      </c>
      <c r="J1535">
        <v>0</v>
      </c>
      <c r="K1535">
        <v>2</v>
      </c>
      <c r="L1535" t="s">
        <v>29</v>
      </c>
      <c r="M1535" s="3">
        <v>3.88</v>
      </c>
      <c r="N1535" s="3">
        <v>5.17</v>
      </c>
      <c r="O1535" s="10" t="str">
        <f>TEXT(Inventory_Data[[#This Row],[Date]],"mmm")</f>
        <v>Oct</v>
      </c>
    </row>
    <row r="1536" spans="1:15" x14ac:dyDescent="0.2">
      <c r="A1536" s="21">
        <v>45940</v>
      </c>
      <c r="B1536" s="5" t="s">
        <v>188</v>
      </c>
      <c r="C1536" t="s">
        <v>189</v>
      </c>
      <c r="D1536" t="s">
        <v>27</v>
      </c>
      <c r="E1536" t="s">
        <v>17</v>
      </c>
      <c r="F1536">
        <v>167</v>
      </c>
      <c r="G1536">
        <v>250</v>
      </c>
      <c r="H1536">
        <v>132</v>
      </c>
      <c r="I1536">
        <f>Inventory_Data[[#This Row],[Opening_Stock]]+Inventory_Data[[#This Row],[Units_Received]]-Inventory_Data[[#This Row],[Units_Sold]]</f>
        <v>285</v>
      </c>
      <c r="J1536">
        <v>0</v>
      </c>
      <c r="K1536">
        <v>5</v>
      </c>
      <c r="L1536" t="s">
        <v>80</v>
      </c>
      <c r="M1536" s="3">
        <v>3.14</v>
      </c>
      <c r="N1536" s="3">
        <v>4.33</v>
      </c>
      <c r="O1536" s="10" t="str">
        <f>TEXT(Inventory_Data[[#This Row],[Date]],"mmm")</f>
        <v>Oct</v>
      </c>
    </row>
    <row r="1537" spans="1:15" x14ac:dyDescent="0.2">
      <c r="A1537" s="21">
        <v>45940</v>
      </c>
      <c r="B1537" s="5" t="s">
        <v>176</v>
      </c>
      <c r="C1537" t="s">
        <v>177</v>
      </c>
      <c r="D1537" t="s">
        <v>34</v>
      </c>
      <c r="E1537" t="s">
        <v>17</v>
      </c>
      <c r="F1537">
        <v>163</v>
      </c>
      <c r="G1537">
        <v>44</v>
      </c>
      <c r="H1537">
        <v>110</v>
      </c>
      <c r="I1537">
        <f>Inventory_Data[[#This Row],[Opening_Stock]]+Inventory_Data[[#This Row],[Units_Received]]-Inventory_Data[[#This Row],[Units_Sold]]</f>
        <v>97</v>
      </c>
      <c r="J1537">
        <v>0</v>
      </c>
      <c r="K1537">
        <v>8</v>
      </c>
      <c r="L1537" t="s">
        <v>39</v>
      </c>
      <c r="M1537" s="3">
        <v>14.39</v>
      </c>
      <c r="N1537" s="3">
        <v>21.85</v>
      </c>
      <c r="O1537" s="10" t="str">
        <f>TEXT(Inventory_Data[[#This Row],[Date]],"mmm")</f>
        <v>Oct</v>
      </c>
    </row>
    <row r="1538" spans="1:15" x14ac:dyDescent="0.2">
      <c r="A1538" s="21">
        <v>45940</v>
      </c>
      <c r="B1538" s="5" t="s">
        <v>59</v>
      </c>
      <c r="C1538" t="s">
        <v>60</v>
      </c>
      <c r="D1538" t="s">
        <v>34</v>
      </c>
      <c r="E1538" t="s">
        <v>35</v>
      </c>
      <c r="F1538">
        <v>165</v>
      </c>
      <c r="G1538">
        <v>114</v>
      </c>
      <c r="H1538">
        <v>135</v>
      </c>
      <c r="I1538">
        <f>Inventory_Data[[#This Row],[Opening_Stock]]+Inventory_Data[[#This Row],[Units_Received]]-Inventory_Data[[#This Row],[Units_Sold]]</f>
        <v>144</v>
      </c>
      <c r="J1538">
        <v>0</v>
      </c>
      <c r="K1538">
        <v>5</v>
      </c>
      <c r="L1538" t="s">
        <v>39</v>
      </c>
      <c r="M1538" s="3">
        <v>17.899999999999999</v>
      </c>
      <c r="N1538" s="3">
        <v>21.47</v>
      </c>
      <c r="O1538" s="10" t="str">
        <f>TEXT(Inventory_Data[[#This Row],[Date]],"mmm")</f>
        <v>Oct</v>
      </c>
    </row>
    <row r="1539" spans="1:15" x14ac:dyDescent="0.2">
      <c r="A1539" s="21">
        <v>45941</v>
      </c>
      <c r="B1539" s="5" t="s">
        <v>114</v>
      </c>
      <c r="C1539" t="s">
        <v>115</v>
      </c>
      <c r="D1539" t="s">
        <v>27</v>
      </c>
      <c r="E1539" t="s">
        <v>21</v>
      </c>
      <c r="F1539">
        <v>125</v>
      </c>
      <c r="G1539">
        <v>237</v>
      </c>
      <c r="H1539">
        <v>185</v>
      </c>
      <c r="I1539">
        <f>Inventory_Data[[#This Row],[Opening_Stock]]+Inventory_Data[[#This Row],[Units_Received]]-Inventory_Data[[#This Row],[Units_Sold]]</f>
        <v>177</v>
      </c>
      <c r="J1539">
        <v>0</v>
      </c>
      <c r="K1539">
        <v>1</v>
      </c>
      <c r="L1539" t="s">
        <v>80</v>
      </c>
      <c r="M1539" s="3">
        <v>24.33</v>
      </c>
      <c r="N1539" s="3">
        <v>37.549999999999997</v>
      </c>
      <c r="O1539" s="10" t="str">
        <f>TEXT(Inventory_Data[[#This Row],[Date]],"mmm")</f>
        <v>Oct</v>
      </c>
    </row>
    <row r="1540" spans="1:15" x14ac:dyDescent="0.2">
      <c r="A1540" s="21">
        <v>45941</v>
      </c>
      <c r="B1540" s="5" t="s">
        <v>78</v>
      </c>
      <c r="C1540" t="s">
        <v>79</v>
      </c>
      <c r="D1540" t="s">
        <v>27</v>
      </c>
      <c r="E1540" t="s">
        <v>35</v>
      </c>
      <c r="F1540">
        <v>467</v>
      </c>
      <c r="G1540">
        <v>98</v>
      </c>
      <c r="H1540">
        <v>176</v>
      </c>
      <c r="I1540">
        <f>Inventory_Data[[#This Row],[Opening_Stock]]+Inventory_Data[[#This Row],[Units_Received]]-Inventory_Data[[#This Row],[Units_Sold]]</f>
        <v>389</v>
      </c>
      <c r="J1540">
        <v>0</v>
      </c>
      <c r="K1540">
        <v>3</v>
      </c>
      <c r="L1540" t="s">
        <v>66</v>
      </c>
      <c r="M1540" s="3">
        <v>18.239999999999998</v>
      </c>
      <c r="N1540" s="3">
        <v>24.87</v>
      </c>
      <c r="O1540" s="10" t="str">
        <f>TEXT(Inventory_Data[[#This Row],[Date]],"mmm")</f>
        <v>Oct</v>
      </c>
    </row>
    <row r="1541" spans="1:15" x14ac:dyDescent="0.2">
      <c r="A1541" s="21">
        <v>45941</v>
      </c>
      <c r="B1541" s="5" t="s">
        <v>134</v>
      </c>
      <c r="C1541" t="s">
        <v>135</v>
      </c>
      <c r="D1541" t="s">
        <v>27</v>
      </c>
      <c r="E1541" t="s">
        <v>28</v>
      </c>
      <c r="F1541">
        <v>109</v>
      </c>
      <c r="G1541">
        <v>117</v>
      </c>
      <c r="H1541">
        <v>103</v>
      </c>
      <c r="I1541">
        <f>Inventory_Data[[#This Row],[Opening_Stock]]+Inventory_Data[[#This Row],[Units_Received]]-Inventory_Data[[#This Row],[Units_Sold]]</f>
        <v>123</v>
      </c>
      <c r="J1541">
        <v>0</v>
      </c>
      <c r="K1541">
        <v>1</v>
      </c>
      <c r="L1541" t="s">
        <v>29</v>
      </c>
      <c r="M1541" s="3">
        <v>2.97</v>
      </c>
      <c r="N1541" s="3">
        <v>4.29</v>
      </c>
      <c r="O1541" s="10" t="str">
        <f>TEXT(Inventory_Data[[#This Row],[Date]],"mmm")</f>
        <v>Oct</v>
      </c>
    </row>
    <row r="1542" spans="1:15" x14ac:dyDescent="0.2">
      <c r="A1542" s="21">
        <v>45941</v>
      </c>
      <c r="B1542" s="5" t="s">
        <v>81</v>
      </c>
      <c r="C1542" t="s">
        <v>82</v>
      </c>
      <c r="D1542" t="s">
        <v>52</v>
      </c>
      <c r="E1542" t="s">
        <v>17</v>
      </c>
      <c r="F1542">
        <v>58</v>
      </c>
      <c r="G1542">
        <v>11</v>
      </c>
      <c r="H1542">
        <v>7</v>
      </c>
      <c r="I1542">
        <f>Inventory_Data[[#This Row],[Opening_Stock]]+Inventory_Data[[#This Row],[Units_Received]]-Inventory_Data[[#This Row],[Units_Sold]]</f>
        <v>62</v>
      </c>
      <c r="J1542">
        <v>0</v>
      </c>
      <c r="K1542">
        <v>4</v>
      </c>
      <c r="L1542" t="s">
        <v>53</v>
      </c>
      <c r="M1542" s="3">
        <v>202.67</v>
      </c>
      <c r="N1542" s="3">
        <v>290.57</v>
      </c>
      <c r="O1542" s="10" t="str">
        <f>TEXT(Inventory_Data[[#This Row],[Date]],"mmm")</f>
        <v>Oct</v>
      </c>
    </row>
    <row r="1543" spans="1:15" x14ac:dyDescent="0.2">
      <c r="A1543" s="21">
        <v>45941</v>
      </c>
      <c r="B1543" s="5" t="s">
        <v>180</v>
      </c>
      <c r="C1543" t="s">
        <v>181</v>
      </c>
      <c r="D1543" t="s">
        <v>34</v>
      </c>
      <c r="E1543" t="s">
        <v>17</v>
      </c>
      <c r="F1543">
        <v>215</v>
      </c>
      <c r="G1543">
        <v>76</v>
      </c>
      <c r="H1543">
        <v>162</v>
      </c>
      <c r="I1543">
        <f>Inventory_Data[[#This Row],[Opening_Stock]]+Inventory_Data[[#This Row],[Units_Received]]-Inventory_Data[[#This Row],[Units_Sold]]</f>
        <v>129</v>
      </c>
      <c r="J1543">
        <v>0</v>
      </c>
      <c r="K1543">
        <v>13</v>
      </c>
      <c r="L1543" t="s">
        <v>42</v>
      </c>
      <c r="M1543" s="3">
        <v>29.76</v>
      </c>
      <c r="N1543" s="3">
        <v>35.090000000000003</v>
      </c>
      <c r="O1543" s="10" t="str">
        <f>TEXT(Inventory_Data[[#This Row],[Date]],"mmm")</f>
        <v>Oct</v>
      </c>
    </row>
    <row r="1544" spans="1:15" x14ac:dyDescent="0.2">
      <c r="A1544" s="21">
        <v>45941</v>
      </c>
      <c r="B1544" s="5" t="s">
        <v>196</v>
      </c>
      <c r="C1544" t="s">
        <v>197</v>
      </c>
      <c r="D1544" t="s">
        <v>34</v>
      </c>
      <c r="E1544" t="s">
        <v>35</v>
      </c>
      <c r="F1544">
        <v>105</v>
      </c>
      <c r="G1544">
        <v>82</v>
      </c>
      <c r="H1544">
        <v>102</v>
      </c>
      <c r="I1544">
        <f>Inventory_Data[[#This Row],[Opening_Stock]]+Inventory_Data[[#This Row],[Units_Received]]-Inventory_Data[[#This Row],[Units_Sold]]</f>
        <v>85</v>
      </c>
      <c r="J1544">
        <v>0</v>
      </c>
      <c r="K1544">
        <v>10</v>
      </c>
      <c r="L1544" t="s">
        <v>42</v>
      </c>
      <c r="M1544" s="3">
        <v>29.28</v>
      </c>
      <c r="N1544" s="3">
        <v>43.43</v>
      </c>
      <c r="O1544" s="10" t="str">
        <f>TEXT(Inventory_Data[[#This Row],[Date]],"mmm")</f>
        <v>Oct</v>
      </c>
    </row>
    <row r="1545" spans="1:15" x14ac:dyDescent="0.2">
      <c r="A1545" s="21">
        <v>45942</v>
      </c>
      <c r="B1545" s="5" t="s">
        <v>178</v>
      </c>
      <c r="C1545" t="s">
        <v>179</v>
      </c>
      <c r="D1545" t="s">
        <v>16</v>
      </c>
      <c r="E1545" t="s">
        <v>17</v>
      </c>
      <c r="F1545">
        <v>94</v>
      </c>
      <c r="G1545">
        <v>25</v>
      </c>
      <c r="H1545">
        <v>22</v>
      </c>
      <c r="I1545">
        <f>Inventory_Data[[#This Row],[Opening_Stock]]+Inventory_Data[[#This Row],[Units_Received]]-Inventory_Data[[#This Row],[Units_Sold]]</f>
        <v>97</v>
      </c>
      <c r="J1545">
        <v>0</v>
      </c>
      <c r="K1545">
        <v>4</v>
      </c>
      <c r="L1545" t="s">
        <v>18</v>
      </c>
      <c r="M1545" s="3">
        <v>20.87</v>
      </c>
      <c r="N1545" s="3">
        <v>28.87</v>
      </c>
      <c r="O1545" s="10" t="str">
        <f>TEXT(Inventory_Data[[#This Row],[Date]],"mmm")</f>
        <v>Oct</v>
      </c>
    </row>
    <row r="1546" spans="1:15" x14ac:dyDescent="0.2">
      <c r="A1546" s="21">
        <v>45942</v>
      </c>
      <c r="B1546" s="5" t="s">
        <v>112</v>
      </c>
      <c r="C1546" t="s">
        <v>113</v>
      </c>
      <c r="D1546" t="s">
        <v>16</v>
      </c>
      <c r="E1546" t="s">
        <v>35</v>
      </c>
      <c r="F1546">
        <v>159</v>
      </c>
      <c r="G1546">
        <v>41</v>
      </c>
      <c r="H1546">
        <v>60</v>
      </c>
      <c r="I1546">
        <f>Inventory_Data[[#This Row],[Opening_Stock]]+Inventory_Data[[#This Row],[Units_Received]]-Inventory_Data[[#This Row],[Units_Sold]]</f>
        <v>140</v>
      </c>
      <c r="J1546">
        <v>0</v>
      </c>
      <c r="K1546">
        <v>9</v>
      </c>
      <c r="L1546" t="s">
        <v>45</v>
      </c>
      <c r="M1546" s="3">
        <v>150.57</v>
      </c>
      <c r="N1546" s="3">
        <v>190.58</v>
      </c>
      <c r="O1546" s="10" t="str">
        <f>TEXT(Inventory_Data[[#This Row],[Date]],"mmm")</f>
        <v>Oct</v>
      </c>
    </row>
    <row r="1547" spans="1:15" x14ac:dyDescent="0.2">
      <c r="A1547" s="21">
        <v>45942</v>
      </c>
      <c r="B1547" s="5" t="s">
        <v>120</v>
      </c>
      <c r="C1547" t="s">
        <v>121</v>
      </c>
      <c r="D1547" t="s">
        <v>16</v>
      </c>
      <c r="E1547" t="s">
        <v>35</v>
      </c>
      <c r="F1547">
        <v>150</v>
      </c>
      <c r="G1547">
        <v>32</v>
      </c>
      <c r="H1547">
        <v>72</v>
      </c>
      <c r="I1547">
        <f>Inventory_Data[[#This Row],[Opening_Stock]]+Inventory_Data[[#This Row],[Units_Received]]-Inventory_Data[[#This Row],[Units_Sold]]</f>
        <v>110</v>
      </c>
      <c r="J1547">
        <v>0</v>
      </c>
      <c r="K1547">
        <v>6</v>
      </c>
      <c r="L1547" t="s">
        <v>24</v>
      </c>
      <c r="M1547" s="3">
        <v>185.88</v>
      </c>
      <c r="N1547" s="3">
        <v>228.27</v>
      </c>
      <c r="O1547" s="10" t="str">
        <f>TEXT(Inventory_Data[[#This Row],[Date]],"mmm")</f>
        <v>Oct</v>
      </c>
    </row>
    <row r="1548" spans="1:15" x14ac:dyDescent="0.2">
      <c r="A1548" s="21">
        <v>45942</v>
      </c>
      <c r="B1548" s="5" t="s">
        <v>188</v>
      </c>
      <c r="C1548" t="s">
        <v>189</v>
      </c>
      <c r="D1548" t="s">
        <v>27</v>
      </c>
      <c r="E1548" t="s">
        <v>21</v>
      </c>
      <c r="F1548">
        <v>245</v>
      </c>
      <c r="G1548">
        <v>239</v>
      </c>
      <c r="H1548">
        <v>177</v>
      </c>
      <c r="I1548">
        <f>Inventory_Data[[#This Row],[Opening_Stock]]+Inventory_Data[[#This Row],[Units_Received]]-Inventory_Data[[#This Row],[Units_Sold]]</f>
        <v>307</v>
      </c>
      <c r="J1548">
        <v>0</v>
      </c>
      <c r="K1548">
        <v>1</v>
      </c>
      <c r="L1548" t="s">
        <v>29</v>
      </c>
      <c r="M1548" s="3">
        <v>5.45</v>
      </c>
      <c r="N1548" s="3">
        <v>6.84</v>
      </c>
      <c r="O1548" s="10" t="str">
        <f>TEXT(Inventory_Data[[#This Row],[Date]],"mmm")</f>
        <v>Oct</v>
      </c>
    </row>
    <row r="1549" spans="1:15" x14ac:dyDescent="0.2">
      <c r="A1549" s="21">
        <v>45942</v>
      </c>
      <c r="B1549" s="5" t="s">
        <v>50</v>
      </c>
      <c r="C1549" t="s">
        <v>51</v>
      </c>
      <c r="D1549" t="s">
        <v>52</v>
      </c>
      <c r="E1549" t="s">
        <v>21</v>
      </c>
      <c r="F1549">
        <v>28</v>
      </c>
      <c r="G1549">
        <v>25</v>
      </c>
      <c r="H1549">
        <v>6</v>
      </c>
      <c r="I1549">
        <f>Inventory_Data[[#This Row],[Opening_Stock]]+Inventory_Data[[#This Row],[Units_Received]]-Inventory_Data[[#This Row],[Units_Sold]]</f>
        <v>47</v>
      </c>
      <c r="J1549">
        <v>0</v>
      </c>
      <c r="K1549">
        <v>13</v>
      </c>
      <c r="L1549" t="s">
        <v>53</v>
      </c>
      <c r="M1549" s="3">
        <v>300.64</v>
      </c>
      <c r="N1549" s="3">
        <v>459.64</v>
      </c>
      <c r="O1549" s="10" t="str">
        <f>TEXT(Inventory_Data[[#This Row],[Date]],"mmm")</f>
        <v>Oct</v>
      </c>
    </row>
    <row r="1550" spans="1:15" x14ac:dyDescent="0.2">
      <c r="A1550" s="21">
        <v>45942</v>
      </c>
      <c r="B1550" s="5" t="s">
        <v>140</v>
      </c>
      <c r="C1550" t="s">
        <v>141</v>
      </c>
      <c r="D1550" t="s">
        <v>52</v>
      </c>
      <c r="E1550" t="s">
        <v>35</v>
      </c>
      <c r="F1550">
        <v>73</v>
      </c>
      <c r="G1550">
        <v>23</v>
      </c>
      <c r="H1550">
        <v>16</v>
      </c>
      <c r="I1550">
        <f>Inventory_Data[[#This Row],[Opening_Stock]]+Inventory_Data[[#This Row],[Units_Received]]-Inventory_Data[[#This Row],[Units_Sold]]</f>
        <v>80</v>
      </c>
      <c r="J1550">
        <v>0</v>
      </c>
      <c r="K1550">
        <v>3</v>
      </c>
      <c r="L1550" t="s">
        <v>56</v>
      </c>
      <c r="M1550" s="3">
        <v>168.89</v>
      </c>
      <c r="N1550" s="3">
        <v>258.33</v>
      </c>
      <c r="O1550" s="10" t="str">
        <f>TEXT(Inventory_Data[[#This Row],[Date]],"mmm")</f>
        <v>Oct</v>
      </c>
    </row>
    <row r="1551" spans="1:15" x14ac:dyDescent="0.2">
      <c r="A1551" s="21">
        <v>45942</v>
      </c>
      <c r="B1551" s="5" t="s">
        <v>140</v>
      </c>
      <c r="C1551" t="s">
        <v>141</v>
      </c>
      <c r="D1551" t="s">
        <v>52</v>
      </c>
      <c r="E1551" t="s">
        <v>17</v>
      </c>
      <c r="F1551">
        <v>44</v>
      </c>
      <c r="G1551">
        <v>24</v>
      </c>
      <c r="H1551">
        <v>10</v>
      </c>
      <c r="I1551">
        <f>Inventory_Data[[#This Row],[Opening_Stock]]+Inventory_Data[[#This Row],[Units_Received]]-Inventory_Data[[#This Row],[Units_Sold]]</f>
        <v>58</v>
      </c>
      <c r="J1551">
        <v>0</v>
      </c>
      <c r="K1551">
        <v>4</v>
      </c>
      <c r="L1551" t="s">
        <v>56</v>
      </c>
      <c r="M1551" s="3">
        <v>229.93</v>
      </c>
      <c r="N1551" s="3">
        <v>333.36</v>
      </c>
      <c r="O1551" s="10" t="str">
        <f>TEXT(Inventory_Data[[#This Row],[Date]],"mmm")</f>
        <v>Oct</v>
      </c>
    </row>
    <row r="1552" spans="1:15" x14ac:dyDescent="0.2">
      <c r="A1552" s="21">
        <v>45942</v>
      </c>
      <c r="B1552" s="5" t="s">
        <v>67</v>
      </c>
      <c r="C1552" t="s">
        <v>68</v>
      </c>
      <c r="D1552" t="s">
        <v>52</v>
      </c>
      <c r="E1552" t="s">
        <v>17</v>
      </c>
      <c r="F1552">
        <v>69</v>
      </c>
      <c r="G1552">
        <v>2</v>
      </c>
      <c r="H1552">
        <v>17</v>
      </c>
      <c r="I1552">
        <f>Inventory_Data[[#This Row],[Opening_Stock]]+Inventory_Data[[#This Row],[Units_Received]]-Inventory_Data[[#This Row],[Units_Sold]]</f>
        <v>54</v>
      </c>
      <c r="J1552">
        <v>0</v>
      </c>
      <c r="K1552">
        <v>10</v>
      </c>
      <c r="L1552" t="s">
        <v>83</v>
      </c>
      <c r="M1552" s="3">
        <v>144.49</v>
      </c>
      <c r="N1552" s="3">
        <v>200.33</v>
      </c>
      <c r="O1552" s="10" t="str">
        <f>TEXT(Inventory_Data[[#This Row],[Date]],"mmm")</f>
        <v>Oct</v>
      </c>
    </row>
    <row r="1553" spans="1:15" x14ac:dyDescent="0.2">
      <c r="A1553" s="21">
        <v>45942</v>
      </c>
      <c r="B1553" s="5" t="s">
        <v>59</v>
      </c>
      <c r="C1553" t="s">
        <v>60</v>
      </c>
      <c r="D1553" t="s">
        <v>34</v>
      </c>
      <c r="E1553" t="s">
        <v>21</v>
      </c>
      <c r="F1553">
        <v>97</v>
      </c>
      <c r="G1553">
        <v>216</v>
      </c>
      <c r="H1553">
        <v>151</v>
      </c>
      <c r="I1553">
        <f>Inventory_Data[[#This Row],[Opening_Stock]]+Inventory_Data[[#This Row],[Units_Received]]-Inventory_Data[[#This Row],[Units_Sold]]</f>
        <v>162</v>
      </c>
      <c r="J1553">
        <v>0</v>
      </c>
      <c r="K1553">
        <v>12</v>
      </c>
      <c r="L1553" t="s">
        <v>36</v>
      </c>
      <c r="M1553" s="3">
        <v>21.83</v>
      </c>
      <c r="N1553" s="3">
        <v>26.19</v>
      </c>
      <c r="O1553" s="10" t="str">
        <f>TEXT(Inventory_Data[[#This Row],[Date]],"mmm")</f>
        <v>Oct</v>
      </c>
    </row>
    <row r="1554" spans="1:15" x14ac:dyDescent="0.2">
      <c r="A1554" s="21">
        <v>45943</v>
      </c>
      <c r="B1554" s="5" t="s">
        <v>73</v>
      </c>
      <c r="C1554" t="s">
        <v>74</v>
      </c>
      <c r="D1554" t="s">
        <v>16</v>
      </c>
      <c r="E1554" t="s">
        <v>17</v>
      </c>
      <c r="F1554">
        <v>74</v>
      </c>
      <c r="G1554">
        <v>61</v>
      </c>
      <c r="H1554">
        <v>48</v>
      </c>
      <c r="I1554">
        <f>Inventory_Data[[#This Row],[Opening_Stock]]+Inventory_Data[[#This Row],[Units_Received]]-Inventory_Data[[#This Row],[Units_Sold]]</f>
        <v>87</v>
      </c>
      <c r="J1554">
        <v>0</v>
      </c>
      <c r="K1554">
        <v>14</v>
      </c>
      <c r="L1554" t="s">
        <v>18</v>
      </c>
      <c r="M1554" s="3">
        <v>193.28</v>
      </c>
      <c r="N1554" s="3">
        <v>258.77999999999997</v>
      </c>
      <c r="O1554" s="10" t="str">
        <f>TEXT(Inventory_Data[[#This Row],[Date]],"mmm")</f>
        <v>Oct</v>
      </c>
    </row>
    <row r="1555" spans="1:15" x14ac:dyDescent="0.2">
      <c r="A1555" s="21">
        <v>45943</v>
      </c>
      <c r="B1555" s="5" t="s">
        <v>14</v>
      </c>
      <c r="C1555" t="s">
        <v>15</v>
      </c>
      <c r="D1555" t="s">
        <v>16</v>
      </c>
      <c r="E1555" t="s">
        <v>17</v>
      </c>
      <c r="F1555">
        <v>119</v>
      </c>
      <c r="G1555">
        <v>16</v>
      </c>
      <c r="H1555">
        <v>50</v>
      </c>
      <c r="I1555">
        <f>Inventory_Data[[#This Row],[Opening_Stock]]+Inventory_Data[[#This Row],[Units_Received]]-Inventory_Data[[#This Row],[Units_Sold]]</f>
        <v>85</v>
      </c>
      <c r="J1555">
        <v>0</v>
      </c>
      <c r="K1555">
        <v>5</v>
      </c>
      <c r="L1555" t="s">
        <v>18</v>
      </c>
      <c r="M1555" s="3">
        <v>180.04</v>
      </c>
      <c r="N1555" s="3">
        <v>267.89999999999998</v>
      </c>
      <c r="O1555" s="10" t="str">
        <f>TEXT(Inventory_Data[[#This Row],[Date]],"mmm")</f>
        <v>Oct</v>
      </c>
    </row>
    <row r="1556" spans="1:15" x14ac:dyDescent="0.2">
      <c r="A1556" s="21">
        <v>45943</v>
      </c>
      <c r="B1556" s="5" t="s">
        <v>75</v>
      </c>
      <c r="C1556" t="s">
        <v>76</v>
      </c>
      <c r="D1556" t="s">
        <v>48</v>
      </c>
      <c r="E1556" t="s">
        <v>17</v>
      </c>
      <c r="F1556">
        <v>111</v>
      </c>
      <c r="G1556">
        <v>148</v>
      </c>
      <c r="H1556">
        <v>96</v>
      </c>
      <c r="I1556">
        <f>Inventory_Data[[#This Row],[Opening_Stock]]+Inventory_Data[[#This Row],[Units_Received]]-Inventory_Data[[#This Row],[Units_Sold]]</f>
        <v>163</v>
      </c>
      <c r="J1556">
        <v>0</v>
      </c>
      <c r="K1556">
        <v>12</v>
      </c>
      <c r="L1556" t="s">
        <v>63</v>
      </c>
      <c r="M1556" s="3">
        <v>76.040000000000006</v>
      </c>
      <c r="N1556" s="3">
        <v>117.16</v>
      </c>
      <c r="O1556" s="10" t="str">
        <f>TEXT(Inventory_Data[[#This Row],[Date]],"mmm")</f>
        <v>Oct</v>
      </c>
    </row>
    <row r="1557" spans="1:15" x14ac:dyDescent="0.2">
      <c r="A1557" s="21">
        <v>45943</v>
      </c>
      <c r="B1557" s="5" t="s">
        <v>92</v>
      </c>
      <c r="C1557" t="s">
        <v>93</v>
      </c>
      <c r="D1557" t="s">
        <v>27</v>
      </c>
      <c r="E1557" t="s">
        <v>35</v>
      </c>
      <c r="F1557">
        <v>350</v>
      </c>
      <c r="G1557">
        <v>139</v>
      </c>
      <c r="H1557">
        <v>51</v>
      </c>
      <c r="I1557">
        <f>Inventory_Data[[#This Row],[Opening_Stock]]+Inventory_Data[[#This Row],[Units_Received]]-Inventory_Data[[#This Row],[Units_Sold]]</f>
        <v>438</v>
      </c>
      <c r="J1557">
        <v>0</v>
      </c>
      <c r="K1557">
        <v>4</v>
      </c>
      <c r="L1557" t="s">
        <v>80</v>
      </c>
      <c r="M1557" s="3">
        <v>10.84</v>
      </c>
      <c r="N1557" s="3">
        <v>12.58</v>
      </c>
      <c r="O1557" s="10" t="str">
        <f>TEXT(Inventory_Data[[#This Row],[Date]],"mmm")</f>
        <v>Oct</v>
      </c>
    </row>
    <row r="1558" spans="1:15" x14ac:dyDescent="0.2">
      <c r="A1558" s="21">
        <v>45943</v>
      </c>
      <c r="B1558" s="5" t="s">
        <v>134</v>
      </c>
      <c r="C1558" t="s">
        <v>135</v>
      </c>
      <c r="D1558" t="s">
        <v>27</v>
      </c>
      <c r="E1558" t="s">
        <v>28</v>
      </c>
      <c r="F1558">
        <v>326</v>
      </c>
      <c r="G1558">
        <v>99</v>
      </c>
      <c r="H1558">
        <v>214</v>
      </c>
      <c r="I1558">
        <f>Inventory_Data[[#This Row],[Opening_Stock]]+Inventory_Data[[#This Row],[Units_Received]]-Inventory_Data[[#This Row],[Units_Sold]]</f>
        <v>211</v>
      </c>
      <c r="J1558">
        <v>0</v>
      </c>
      <c r="K1558">
        <v>1</v>
      </c>
      <c r="L1558" t="s">
        <v>29</v>
      </c>
      <c r="M1558" s="3">
        <v>24.1</v>
      </c>
      <c r="N1558" s="3">
        <v>30.8</v>
      </c>
      <c r="O1558" s="10" t="str">
        <f>TEXT(Inventory_Data[[#This Row],[Date]],"mmm")</f>
        <v>Oct</v>
      </c>
    </row>
    <row r="1559" spans="1:15" x14ac:dyDescent="0.2">
      <c r="A1559" s="21">
        <v>45943</v>
      </c>
      <c r="B1559" s="5" t="s">
        <v>50</v>
      </c>
      <c r="C1559" t="s">
        <v>51</v>
      </c>
      <c r="D1559" t="s">
        <v>52</v>
      </c>
      <c r="E1559" t="s">
        <v>35</v>
      </c>
      <c r="F1559">
        <v>66</v>
      </c>
      <c r="G1559">
        <v>6</v>
      </c>
      <c r="H1559">
        <v>7</v>
      </c>
      <c r="I1559">
        <f>Inventory_Data[[#This Row],[Opening_Stock]]+Inventory_Data[[#This Row],[Units_Received]]-Inventory_Data[[#This Row],[Units_Sold]]</f>
        <v>65</v>
      </c>
      <c r="J1559">
        <v>0</v>
      </c>
      <c r="K1559">
        <v>10</v>
      </c>
      <c r="L1559" t="s">
        <v>83</v>
      </c>
      <c r="M1559" s="3">
        <v>52.99</v>
      </c>
      <c r="N1559" s="3">
        <v>72.790000000000006</v>
      </c>
      <c r="O1559" s="10" t="str">
        <f>TEXT(Inventory_Data[[#This Row],[Date]],"mmm")</f>
        <v>Oct</v>
      </c>
    </row>
    <row r="1560" spans="1:15" x14ac:dyDescent="0.2">
      <c r="A1560" s="21">
        <v>45943</v>
      </c>
      <c r="B1560" s="5" t="s">
        <v>158</v>
      </c>
      <c r="C1560" t="s">
        <v>159</v>
      </c>
      <c r="D1560" t="s">
        <v>52</v>
      </c>
      <c r="E1560" t="s">
        <v>17</v>
      </c>
      <c r="F1560">
        <v>68</v>
      </c>
      <c r="G1560">
        <v>15</v>
      </c>
      <c r="H1560">
        <v>9</v>
      </c>
      <c r="I1560">
        <f>Inventory_Data[[#This Row],[Opening_Stock]]+Inventory_Data[[#This Row],[Units_Received]]-Inventory_Data[[#This Row],[Units_Sold]]</f>
        <v>74</v>
      </c>
      <c r="J1560">
        <v>0</v>
      </c>
      <c r="K1560">
        <v>5</v>
      </c>
      <c r="L1560" t="s">
        <v>53</v>
      </c>
      <c r="M1560" s="3">
        <v>45.96</v>
      </c>
      <c r="N1560" s="3">
        <v>68.98</v>
      </c>
      <c r="O1560" s="10" t="str">
        <f>TEXT(Inventory_Data[[#This Row],[Date]],"mmm")</f>
        <v>Oct</v>
      </c>
    </row>
    <row r="1561" spans="1:15" x14ac:dyDescent="0.2">
      <c r="A1561" s="21">
        <v>45944</v>
      </c>
      <c r="B1561" s="5" t="s">
        <v>184</v>
      </c>
      <c r="C1561" t="s">
        <v>185</v>
      </c>
      <c r="D1561" t="s">
        <v>16</v>
      </c>
      <c r="E1561" t="s">
        <v>17</v>
      </c>
      <c r="F1561">
        <v>168</v>
      </c>
      <c r="G1561">
        <v>25</v>
      </c>
      <c r="H1561">
        <v>24</v>
      </c>
      <c r="I1561">
        <f>Inventory_Data[[#This Row],[Opening_Stock]]+Inventory_Data[[#This Row],[Units_Received]]-Inventory_Data[[#This Row],[Units_Sold]]</f>
        <v>169</v>
      </c>
      <c r="J1561">
        <v>0</v>
      </c>
      <c r="K1561">
        <v>12</v>
      </c>
      <c r="L1561" t="s">
        <v>18</v>
      </c>
      <c r="M1561" s="3">
        <v>90.41</v>
      </c>
      <c r="N1561" s="3">
        <v>119</v>
      </c>
      <c r="O1561" s="10" t="str">
        <f>TEXT(Inventory_Data[[#This Row],[Date]],"mmm")</f>
        <v>Oct</v>
      </c>
    </row>
    <row r="1562" spans="1:15" x14ac:dyDescent="0.2">
      <c r="A1562" s="21">
        <v>45944</v>
      </c>
      <c r="B1562" s="5" t="s">
        <v>61</v>
      </c>
      <c r="C1562" t="s">
        <v>62</v>
      </c>
      <c r="D1562" t="s">
        <v>48</v>
      </c>
      <c r="E1562" t="s">
        <v>21</v>
      </c>
      <c r="F1562">
        <v>112</v>
      </c>
      <c r="G1562">
        <v>71</v>
      </c>
      <c r="H1562">
        <v>137</v>
      </c>
      <c r="I1562">
        <f>Inventory_Data[[#This Row],[Opening_Stock]]+Inventory_Data[[#This Row],[Units_Received]]-Inventory_Data[[#This Row],[Units_Sold]]</f>
        <v>46</v>
      </c>
      <c r="J1562">
        <v>0</v>
      </c>
      <c r="K1562">
        <v>13</v>
      </c>
      <c r="L1562" t="s">
        <v>77</v>
      </c>
      <c r="M1562" s="3">
        <v>45.09</v>
      </c>
      <c r="N1562" s="3">
        <v>52.63</v>
      </c>
      <c r="O1562" s="10" t="str">
        <f>TEXT(Inventory_Data[[#This Row],[Date]],"mmm")</f>
        <v>Oct</v>
      </c>
    </row>
    <row r="1563" spans="1:15" x14ac:dyDescent="0.2">
      <c r="A1563" s="21">
        <v>45944</v>
      </c>
      <c r="B1563" s="5" t="s">
        <v>124</v>
      </c>
      <c r="C1563" t="s">
        <v>125</v>
      </c>
      <c r="D1563" t="s">
        <v>52</v>
      </c>
      <c r="E1563" t="s">
        <v>17</v>
      </c>
      <c r="F1563">
        <v>34</v>
      </c>
      <c r="G1563">
        <v>17</v>
      </c>
      <c r="H1563">
        <v>18</v>
      </c>
      <c r="I1563">
        <f>Inventory_Data[[#This Row],[Opening_Stock]]+Inventory_Data[[#This Row],[Units_Received]]-Inventory_Data[[#This Row],[Units_Sold]]</f>
        <v>33</v>
      </c>
      <c r="J1563">
        <v>0</v>
      </c>
      <c r="K1563">
        <v>8</v>
      </c>
      <c r="L1563" t="s">
        <v>83</v>
      </c>
      <c r="M1563" s="3">
        <v>229.39</v>
      </c>
      <c r="N1563" s="3">
        <v>274.62</v>
      </c>
      <c r="O1563" s="10" t="str">
        <f>TEXT(Inventory_Data[[#This Row],[Date]],"mmm")</f>
        <v>Oct</v>
      </c>
    </row>
    <row r="1564" spans="1:15" x14ac:dyDescent="0.2">
      <c r="A1564" s="21">
        <v>45945</v>
      </c>
      <c r="B1564" s="5" t="s">
        <v>120</v>
      </c>
      <c r="C1564" t="s">
        <v>121</v>
      </c>
      <c r="D1564" t="s">
        <v>16</v>
      </c>
      <c r="E1564" t="s">
        <v>28</v>
      </c>
      <c r="F1564">
        <v>36</v>
      </c>
      <c r="G1564">
        <v>77</v>
      </c>
      <c r="H1564">
        <v>7</v>
      </c>
      <c r="I1564">
        <f>Inventory_Data[[#This Row],[Opening_Stock]]+Inventory_Data[[#This Row],[Units_Received]]-Inventory_Data[[#This Row],[Units_Sold]]</f>
        <v>106</v>
      </c>
      <c r="J1564">
        <v>0</v>
      </c>
      <c r="K1564">
        <v>8</v>
      </c>
      <c r="L1564" t="s">
        <v>45</v>
      </c>
      <c r="M1564" s="3">
        <v>208.86</v>
      </c>
      <c r="N1564" s="3">
        <v>274.35000000000002</v>
      </c>
      <c r="O1564" s="10" t="str">
        <f>TEXT(Inventory_Data[[#This Row],[Date]],"mmm")</f>
        <v>Oct</v>
      </c>
    </row>
    <row r="1565" spans="1:15" x14ac:dyDescent="0.2">
      <c r="A1565" s="21">
        <v>45945</v>
      </c>
      <c r="B1565" s="5" t="s">
        <v>94</v>
      </c>
      <c r="C1565" t="s">
        <v>95</v>
      </c>
      <c r="D1565" t="s">
        <v>16</v>
      </c>
      <c r="E1565" t="s">
        <v>21</v>
      </c>
      <c r="F1565">
        <v>162</v>
      </c>
      <c r="G1565">
        <v>16</v>
      </c>
      <c r="H1565">
        <v>44</v>
      </c>
      <c r="I1565">
        <f>Inventory_Data[[#This Row],[Opening_Stock]]+Inventory_Data[[#This Row],[Units_Received]]-Inventory_Data[[#This Row],[Units_Sold]]</f>
        <v>134</v>
      </c>
      <c r="J1565">
        <v>0</v>
      </c>
      <c r="K1565">
        <v>13</v>
      </c>
      <c r="L1565" t="s">
        <v>18</v>
      </c>
      <c r="M1565" s="3">
        <v>153.66</v>
      </c>
      <c r="N1565" s="3">
        <v>195.21</v>
      </c>
      <c r="O1565" s="10" t="str">
        <f>TEXT(Inventory_Data[[#This Row],[Date]],"mmm")</f>
        <v>Oct</v>
      </c>
    </row>
    <row r="1566" spans="1:15" x14ac:dyDescent="0.2">
      <c r="A1566" s="21">
        <v>45945</v>
      </c>
      <c r="B1566" s="5" t="s">
        <v>94</v>
      </c>
      <c r="C1566" t="s">
        <v>95</v>
      </c>
      <c r="D1566" t="s">
        <v>16</v>
      </c>
      <c r="E1566" t="s">
        <v>21</v>
      </c>
      <c r="F1566">
        <v>125</v>
      </c>
      <c r="G1566">
        <v>84</v>
      </c>
      <c r="H1566">
        <v>78</v>
      </c>
      <c r="I1566">
        <f>Inventory_Data[[#This Row],[Opening_Stock]]+Inventory_Data[[#This Row],[Units_Received]]-Inventory_Data[[#This Row],[Units_Sold]]</f>
        <v>131</v>
      </c>
      <c r="J1566">
        <v>0</v>
      </c>
      <c r="K1566">
        <v>14</v>
      </c>
      <c r="L1566" t="s">
        <v>18</v>
      </c>
      <c r="M1566" s="3">
        <v>179.33</v>
      </c>
      <c r="N1566" s="3">
        <v>263.02</v>
      </c>
      <c r="O1566" s="10" t="str">
        <f>TEXT(Inventory_Data[[#This Row],[Date]],"mmm")</f>
        <v>Oct</v>
      </c>
    </row>
    <row r="1567" spans="1:15" x14ac:dyDescent="0.2">
      <c r="A1567" s="21">
        <v>45945</v>
      </c>
      <c r="B1567" s="5" t="s">
        <v>148</v>
      </c>
      <c r="C1567" t="s">
        <v>149</v>
      </c>
      <c r="D1567" t="s">
        <v>27</v>
      </c>
      <c r="E1567" t="s">
        <v>35</v>
      </c>
      <c r="F1567">
        <v>89</v>
      </c>
      <c r="G1567">
        <v>119</v>
      </c>
      <c r="H1567">
        <v>208</v>
      </c>
      <c r="I1567">
        <f>Inventory_Data[[#This Row],[Opening_Stock]]+Inventory_Data[[#This Row],[Units_Received]]-Inventory_Data[[#This Row],[Units_Sold]]</f>
        <v>0</v>
      </c>
      <c r="J1567">
        <v>1</v>
      </c>
      <c r="K1567">
        <v>6</v>
      </c>
      <c r="L1567" t="s">
        <v>66</v>
      </c>
      <c r="M1567" s="3">
        <v>7.15</v>
      </c>
      <c r="N1567" s="3">
        <v>10.89</v>
      </c>
      <c r="O1567" s="10" t="str">
        <f>TEXT(Inventory_Data[[#This Row],[Date]],"mmm")</f>
        <v>Oct</v>
      </c>
    </row>
    <row r="1568" spans="1:15" x14ac:dyDescent="0.2">
      <c r="A1568" s="21">
        <v>45945</v>
      </c>
      <c r="B1568" s="5" t="s">
        <v>67</v>
      </c>
      <c r="C1568" t="s">
        <v>68</v>
      </c>
      <c r="D1568" t="s">
        <v>52</v>
      </c>
      <c r="E1568" t="s">
        <v>21</v>
      </c>
      <c r="F1568">
        <v>10</v>
      </c>
      <c r="G1568">
        <v>5</v>
      </c>
      <c r="H1568">
        <v>12</v>
      </c>
      <c r="I1568">
        <f>Inventory_Data[[#This Row],[Opening_Stock]]+Inventory_Data[[#This Row],[Units_Received]]-Inventory_Data[[#This Row],[Units_Sold]]</f>
        <v>3</v>
      </c>
      <c r="J1568">
        <v>0</v>
      </c>
      <c r="K1568">
        <v>13</v>
      </c>
      <c r="L1568" t="s">
        <v>53</v>
      </c>
      <c r="M1568" s="3">
        <v>169.07</v>
      </c>
      <c r="N1568" s="3">
        <v>231.85</v>
      </c>
      <c r="O1568" s="10" t="str">
        <f>TEXT(Inventory_Data[[#This Row],[Date]],"mmm")</f>
        <v>Oct</v>
      </c>
    </row>
    <row r="1569" spans="1:15" x14ac:dyDescent="0.2">
      <c r="A1569" s="21">
        <v>45945</v>
      </c>
      <c r="B1569" s="5" t="s">
        <v>67</v>
      </c>
      <c r="C1569" t="s">
        <v>68</v>
      </c>
      <c r="D1569" t="s">
        <v>52</v>
      </c>
      <c r="E1569" t="s">
        <v>28</v>
      </c>
      <c r="F1569">
        <v>45</v>
      </c>
      <c r="G1569">
        <v>2</v>
      </c>
      <c r="H1569">
        <v>20</v>
      </c>
      <c r="I1569">
        <f>Inventory_Data[[#This Row],[Opening_Stock]]+Inventory_Data[[#This Row],[Units_Received]]-Inventory_Data[[#This Row],[Units_Sold]]</f>
        <v>27</v>
      </c>
      <c r="J1569">
        <v>0</v>
      </c>
      <c r="K1569">
        <v>14</v>
      </c>
      <c r="L1569" t="s">
        <v>53</v>
      </c>
      <c r="M1569" s="3">
        <v>348.92</v>
      </c>
      <c r="N1569" s="3">
        <v>506.04</v>
      </c>
      <c r="O1569" s="10" t="str">
        <f>TEXT(Inventory_Data[[#This Row],[Date]],"mmm")</f>
        <v>Oct</v>
      </c>
    </row>
    <row r="1570" spans="1:15" x14ac:dyDescent="0.2">
      <c r="A1570" s="21">
        <v>45945</v>
      </c>
      <c r="B1570" s="5" t="s">
        <v>174</v>
      </c>
      <c r="C1570" t="s">
        <v>175</v>
      </c>
      <c r="D1570" t="s">
        <v>52</v>
      </c>
      <c r="E1570" t="s">
        <v>28</v>
      </c>
      <c r="F1570">
        <v>11</v>
      </c>
      <c r="G1570">
        <v>7</v>
      </c>
      <c r="H1570">
        <v>15</v>
      </c>
      <c r="I1570">
        <f>Inventory_Data[[#This Row],[Opening_Stock]]+Inventory_Data[[#This Row],[Units_Received]]-Inventory_Data[[#This Row],[Units_Sold]]</f>
        <v>3</v>
      </c>
      <c r="J1570">
        <v>0</v>
      </c>
      <c r="K1570">
        <v>4</v>
      </c>
      <c r="L1570" t="s">
        <v>83</v>
      </c>
      <c r="M1570" s="3">
        <v>220.64</v>
      </c>
      <c r="N1570" s="3">
        <v>315.29000000000002</v>
      </c>
      <c r="O1570" s="10" t="str">
        <f>TEXT(Inventory_Data[[#This Row],[Date]],"mmm")</f>
        <v>Oct</v>
      </c>
    </row>
    <row r="1571" spans="1:15" x14ac:dyDescent="0.2">
      <c r="A1571" s="21">
        <v>45945</v>
      </c>
      <c r="B1571" s="5" t="s">
        <v>102</v>
      </c>
      <c r="C1571" t="s">
        <v>103</v>
      </c>
      <c r="D1571" t="s">
        <v>52</v>
      </c>
      <c r="E1571" t="s">
        <v>17</v>
      </c>
      <c r="F1571">
        <v>67</v>
      </c>
      <c r="G1571">
        <v>6</v>
      </c>
      <c r="H1571">
        <v>16</v>
      </c>
      <c r="I1571">
        <f>Inventory_Data[[#This Row],[Opening_Stock]]+Inventory_Data[[#This Row],[Units_Received]]-Inventory_Data[[#This Row],[Units_Sold]]</f>
        <v>57</v>
      </c>
      <c r="J1571">
        <v>0</v>
      </c>
      <c r="K1571">
        <v>14</v>
      </c>
      <c r="L1571" t="s">
        <v>56</v>
      </c>
      <c r="M1571" s="3">
        <v>138.82</v>
      </c>
      <c r="N1571" s="3">
        <v>197.26</v>
      </c>
      <c r="O1571" s="10" t="str">
        <f>TEXT(Inventory_Data[[#This Row],[Date]],"mmm")</f>
        <v>Oct</v>
      </c>
    </row>
    <row r="1572" spans="1:15" x14ac:dyDescent="0.2">
      <c r="A1572" s="21">
        <v>45945</v>
      </c>
      <c r="B1572" s="5" t="s">
        <v>59</v>
      </c>
      <c r="C1572" t="s">
        <v>60</v>
      </c>
      <c r="D1572" t="s">
        <v>34</v>
      </c>
      <c r="E1572" t="s">
        <v>21</v>
      </c>
      <c r="F1572">
        <v>85</v>
      </c>
      <c r="G1572">
        <v>111</v>
      </c>
      <c r="H1572">
        <v>97</v>
      </c>
      <c r="I1572">
        <f>Inventory_Data[[#This Row],[Opening_Stock]]+Inventory_Data[[#This Row],[Units_Received]]-Inventory_Data[[#This Row],[Units_Sold]]</f>
        <v>99</v>
      </c>
      <c r="J1572">
        <v>0</v>
      </c>
      <c r="K1572">
        <v>4</v>
      </c>
      <c r="L1572" t="s">
        <v>39</v>
      </c>
      <c r="M1572" s="3">
        <v>26.67</v>
      </c>
      <c r="N1572" s="3">
        <v>33.03</v>
      </c>
      <c r="O1572" s="10" t="str">
        <f>TEXT(Inventory_Data[[#This Row],[Date]],"mmm")</f>
        <v>Oct</v>
      </c>
    </row>
    <row r="1573" spans="1:15" x14ac:dyDescent="0.2">
      <c r="A1573" s="21">
        <v>45945</v>
      </c>
      <c r="B1573" s="5" t="s">
        <v>196</v>
      </c>
      <c r="C1573" t="s">
        <v>197</v>
      </c>
      <c r="D1573" t="s">
        <v>34</v>
      </c>
      <c r="E1573" t="s">
        <v>17</v>
      </c>
      <c r="F1573">
        <v>99</v>
      </c>
      <c r="G1573">
        <v>156</v>
      </c>
      <c r="H1573">
        <v>47</v>
      </c>
      <c r="I1573">
        <f>Inventory_Data[[#This Row],[Opening_Stock]]+Inventory_Data[[#This Row],[Units_Received]]-Inventory_Data[[#This Row],[Units_Sold]]</f>
        <v>208</v>
      </c>
      <c r="J1573">
        <v>0</v>
      </c>
      <c r="K1573">
        <v>5</v>
      </c>
      <c r="L1573" t="s">
        <v>39</v>
      </c>
      <c r="M1573" s="3">
        <v>17.03</v>
      </c>
      <c r="N1573" s="3">
        <v>19.75</v>
      </c>
      <c r="O1573" s="10" t="str">
        <f>TEXT(Inventory_Data[[#This Row],[Date]],"mmm")</f>
        <v>Oct</v>
      </c>
    </row>
    <row r="1574" spans="1:15" x14ac:dyDescent="0.2">
      <c r="A1574" s="21">
        <v>45946</v>
      </c>
      <c r="B1574" s="5" t="s">
        <v>152</v>
      </c>
      <c r="C1574" t="s">
        <v>153</v>
      </c>
      <c r="D1574" t="s">
        <v>16</v>
      </c>
      <c r="E1574" t="s">
        <v>17</v>
      </c>
      <c r="F1574">
        <v>97</v>
      </c>
      <c r="G1574">
        <v>57</v>
      </c>
      <c r="H1574">
        <v>27</v>
      </c>
      <c r="I1574">
        <f>Inventory_Data[[#This Row],[Opening_Stock]]+Inventory_Data[[#This Row],[Units_Received]]-Inventory_Data[[#This Row],[Units_Sold]]</f>
        <v>127</v>
      </c>
      <c r="J1574">
        <v>0</v>
      </c>
      <c r="K1574">
        <v>5</v>
      </c>
      <c r="L1574" t="s">
        <v>45</v>
      </c>
      <c r="M1574" s="3">
        <v>17.93</v>
      </c>
      <c r="N1574" s="3">
        <v>24.93</v>
      </c>
      <c r="O1574" s="10" t="str">
        <f>TEXT(Inventory_Data[[#This Row],[Date]],"mmm")</f>
        <v>Oct</v>
      </c>
    </row>
    <row r="1575" spans="1:15" x14ac:dyDescent="0.2">
      <c r="A1575" s="21">
        <v>45946</v>
      </c>
      <c r="B1575" s="5" t="s">
        <v>128</v>
      </c>
      <c r="C1575" t="s">
        <v>129</v>
      </c>
      <c r="D1575" t="s">
        <v>48</v>
      </c>
      <c r="E1575" t="s">
        <v>21</v>
      </c>
      <c r="F1575">
        <v>188</v>
      </c>
      <c r="G1575">
        <v>103</v>
      </c>
      <c r="H1575">
        <v>125</v>
      </c>
      <c r="I1575">
        <f>Inventory_Data[[#This Row],[Opening_Stock]]+Inventory_Data[[#This Row],[Units_Received]]-Inventory_Data[[#This Row],[Units_Sold]]</f>
        <v>166</v>
      </c>
      <c r="J1575">
        <v>0</v>
      </c>
      <c r="K1575">
        <v>7</v>
      </c>
      <c r="L1575" t="s">
        <v>49</v>
      </c>
      <c r="M1575" s="3">
        <v>22.21</v>
      </c>
      <c r="N1575" s="3">
        <v>29.86</v>
      </c>
      <c r="O1575" s="10" t="str">
        <f>TEXT(Inventory_Data[[#This Row],[Date]],"mmm")</f>
        <v>Oct</v>
      </c>
    </row>
    <row r="1576" spans="1:15" x14ac:dyDescent="0.2">
      <c r="A1576" s="21">
        <v>45946</v>
      </c>
      <c r="B1576" s="5" t="s">
        <v>61</v>
      </c>
      <c r="C1576" t="s">
        <v>62</v>
      </c>
      <c r="D1576" t="s">
        <v>48</v>
      </c>
      <c r="E1576" t="s">
        <v>17</v>
      </c>
      <c r="F1576">
        <v>117</v>
      </c>
      <c r="G1576">
        <v>99</v>
      </c>
      <c r="H1576">
        <v>111</v>
      </c>
      <c r="I1576">
        <f>Inventory_Data[[#This Row],[Opening_Stock]]+Inventory_Data[[#This Row],[Units_Received]]-Inventory_Data[[#This Row],[Units_Sold]]</f>
        <v>105</v>
      </c>
      <c r="J1576">
        <v>0</v>
      </c>
      <c r="K1576">
        <v>11</v>
      </c>
      <c r="L1576" t="s">
        <v>49</v>
      </c>
      <c r="M1576" s="3">
        <v>87.86</v>
      </c>
      <c r="N1576" s="3">
        <v>103.13</v>
      </c>
      <c r="O1576" s="10" t="str">
        <f>TEXT(Inventory_Data[[#This Row],[Date]],"mmm")</f>
        <v>Oct</v>
      </c>
    </row>
    <row r="1577" spans="1:15" x14ac:dyDescent="0.2">
      <c r="A1577" s="21">
        <v>45946</v>
      </c>
      <c r="B1577" s="5" t="s">
        <v>92</v>
      </c>
      <c r="C1577" t="s">
        <v>93</v>
      </c>
      <c r="D1577" t="s">
        <v>27</v>
      </c>
      <c r="E1577" t="s">
        <v>17</v>
      </c>
      <c r="F1577">
        <v>354</v>
      </c>
      <c r="G1577">
        <v>220</v>
      </c>
      <c r="H1577">
        <v>122</v>
      </c>
      <c r="I1577">
        <f>Inventory_Data[[#This Row],[Opening_Stock]]+Inventory_Data[[#This Row],[Units_Received]]-Inventory_Data[[#This Row],[Units_Sold]]</f>
        <v>452</v>
      </c>
      <c r="J1577">
        <v>0</v>
      </c>
      <c r="K1577">
        <v>5</v>
      </c>
      <c r="L1577" t="s">
        <v>66</v>
      </c>
      <c r="M1577" s="3">
        <v>20.53</v>
      </c>
      <c r="N1577" s="3">
        <v>26.39</v>
      </c>
      <c r="O1577" s="10" t="str">
        <f>TEXT(Inventory_Data[[#This Row],[Date]],"mmm")</f>
        <v>Oct</v>
      </c>
    </row>
    <row r="1578" spans="1:15" x14ac:dyDescent="0.2">
      <c r="A1578" s="21">
        <v>45946</v>
      </c>
      <c r="B1578" s="5" t="s">
        <v>25</v>
      </c>
      <c r="C1578" t="s">
        <v>26</v>
      </c>
      <c r="D1578" t="s">
        <v>27</v>
      </c>
      <c r="E1578" t="s">
        <v>35</v>
      </c>
      <c r="F1578">
        <v>414</v>
      </c>
      <c r="G1578">
        <v>47</v>
      </c>
      <c r="H1578">
        <v>173</v>
      </c>
      <c r="I1578">
        <f>Inventory_Data[[#This Row],[Opening_Stock]]+Inventory_Data[[#This Row],[Units_Received]]-Inventory_Data[[#This Row],[Units_Sold]]</f>
        <v>288</v>
      </c>
      <c r="J1578">
        <v>0</v>
      </c>
      <c r="K1578">
        <v>4</v>
      </c>
      <c r="L1578" t="s">
        <v>66</v>
      </c>
      <c r="M1578" s="3">
        <v>4.5999999999999996</v>
      </c>
      <c r="N1578" s="3">
        <v>6.89</v>
      </c>
      <c r="O1578" s="10" t="str">
        <f>TEXT(Inventory_Data[[#This Row],[Date]],"mmm")</f>
        <v>Oct</v>
      </c>
    </row>
    <row r="1579" spans="1:15" x14ac:dyDescent="0.2">
      <c r="A1579" s="21">
        <v>45946</v>
      </c>
      <c r="B1579" s="5" t="s">
        <v>186</v>
      </c>
      <c r="C1579" t="s">
        <v>187</v>
      </c>
      <c r="D1579" t="s">
        <v>27</v>
      </c>
      <c r="E1579" t="s">
        <v>35</v>
      </c>
      <c r="F1579">
        <v>372</v>
      </c>
      <c r="G1579">
        <v>93</v>
      </c>
      <c r="H1579">
        <v>122</v>
      </c>
      <c r="I1579">
        <f>Inventory_Data[[#This Row],[Opening_Stock]]+Inventory_Data[[#This Row],[Units_Received]]-Inventory_Data[[#This Row],[Units_Sold]]</f>
        <v>343</v>
      </c>
      <c r="J1579">
        <v>0</v>
      </c>
      <c r="K1579">
        <v>5</v>
      </c>
      <c r="L1579" t="s">
        <v>80</v>
      </c>
      <c r="M1579" s="3">
        <v>2.67</v>
      </c>
      <c r="N1579" s="3">
        <v>3.25</v>
      </c>
      <c r="O1579" s="10" t="str">
        <f>TEXT(Inventory_Data[[#This Row],[Date]],"mmm")</f>
        <v>Oct</v>
      </c>
    </row>
    <row r="1580" spans="1:15" x14ac:dyDescent="0.2">
      <c r="A1580" s="21">
        <v>45946</v>
      </c>
      <c r="B1580" s="5" t="s">
        <v>116</v>
      </c>
      <c r="C1580" t="s">
        <v>117</v>
      </c>
      <c r="D1580" t="s">
        <v>52</v>
      </c>
      <c r="E1580" t="s">
        <v>28</v>
      </c>
      <c r="F1580">
        <v>28</v>
      </c>
      <c r="G1580">
        <v>14</v>
      </c>
      <c r="H1580">
        <v>7</v>
      </c>
      <c r="I1580">
        <f>Inventory_Data[[#This Row],[Opening_Stock]]+Inventory_Data[[#This Row],[Units_Received]]-Inventory_Data[[#This Row],[Units_Sold]]</f>
        <v>35</v>
      </c>
      <c r="J1580">
        <v>0</v>
      </c>
      <c r="K1580">
        <v>8</v>
      </c>
      <c r="L1580" t="s">
        <v>83</v>
      </c>
      <c r="M1580" s="3">
        <v>332.6</v>
      </c>
      <c r="N1580" s="3">
        <v>501.24</v>
      </c>
      <c r="O1580" s="10" t="str">
        <f>TEXT(Inventory_Data[[#This Row],[Date]],"mmm")</f>
        <v>Oct</v>
      </c>
    </row>
    <row r="1581" spans="1:15" x14ac:dyDescent="0.2">
      <c r="A1581" s="21">
        <v>45946</v>
      </c>
      <c r="B1581" s="5" t="s">
        <v>140</v>
      </c>
      <c r="C1581" t="s">
        <v>141</v>
      </c>
      <c r="D1581" t="s">
        <v>52</v>
      </c>
      <c r="E1581" t="s">
        <v>28</v>
      </c>
      <c r="F1581">
        <v>74</v>
      </c>
      <c r="G1581">
        <v>11</v>
      </c>
      <c r="H1581">
        <v>9</v>
      </c>
      <c r="I1581">
        <f>Inventory_Data[[#This Row],[Opening_Stock]]+Inventory_Data[[#This Row],[Units_Received]]-Inventory_Data[[#This Row],[Units_Sold]]</f>
        <v>76</v>
      </c>
      <c r="J1581">
        <v>0</v>
      </c>
      <c r="K1581">
        <v>13</v>
      </c>
      <c r="L1581" t="s">
        <v>53</v>
      </c>
      <c r="M1581" s="3">
        <v>267.97000000000003</v>
      </c>
      <c r="N1581" s="3">
        <v>415.33</v>
      </c>
      <c r="O1581" s="10" t="str">
        <f>TEXT(Inventory_Data[[#This Row],[Date]],"mmm")</f>
        <v>Oct</v>
      </c>
    </row>
    <row r="1582" spans="1:15" x14ac:dyDescent="0.2">
      <c r="A1582" s="21">
        <v>45946</v>
      </c>
      <c r="B1582" s="5" t="s">
        <v>67</v>
      </c>
      <c r="C1582" t="s">
        <v>68</v>
      </c>
      <c r="D1582" t="s">
        <v>52</v>
      </c>
      <c r="E1582" t="s">
        <v>17</v>
      </c>
      <c r="F1582">
        <v>53</v>
      </c>
      <c r="G1582">
        <v>23</v>
      </c>
      <c r="H1582">
        <v>6</v>
      </c>
      <c r="I1582">
        <f>Inventory_Data[[#This Row],[Opening_Stock]]+Inventory_Data[[#This Row],[Units_Received]]-Inventory_Data[[#This Row],[Units_Sold]]</f>
        <v>70</v>
      </c>
      <c r="J1582">
        <v>0</v>
      </c>
      <c r="K1582">
        <v>4</v>
      </c>
      <c r="L1582" t="s">
        <v>56</v>
      </c>
      <c r="M1582" s="3">
        <v>134.77000000000001</v>
      </c>
      <c r="N1582" s="3">
        <v>177.54</v>
      </c>
      <c r="O1582" s="10" t="str">
        <f>TEXT(Inventory_Data[[#This Row],[Date]],"mmm")</f>
        <v>Oct</v>
      </c>
    </row>
    <row r="1583" spans="1:15" x14ac:dyDescent="0.2">
      <c r="A1583" s="21">
        <v>45946</v>
      </c>
      <c r="B1583" s="5" t="s">
        <v>32</v>
      </c>
      <c r="C1583" t="s">
        <v>33</v>
      </c>
      <c r="D1583" t="s">
        <v>34</v>
      </c>
      <c r="E1583" t="s">
        <v>17</v>
      </c>
      <c r="F1583">
        <v>208</v>
      </c>
      <c r="G1583">
        <v>185</v>
      </c>
      <c r="H1583">
        <v>62</v>
      </c>
      <c r="I1583">
        <f>Inventory_Data[[#This Row],[Opening_Stock]]+Inventory_Data[[#This Row],[Units_Received]]-Inventory_Data[[#This Row],[Units_Sold]]</f>
        <v>331</v>
      </c>
      <c r="J1583">
        <v>0</v>
      </c>
      <c r="K1583">
        <v>5</v>
      </c>
      <c r="L1583" t="s">
        <v>36</v>
      </c>
      <c r="M1583" s="3">
        <v>2.56</v>
      </c>
      <c r="N1583" s="3">
        <v>2.97</v>
      </c>
      <c r="O1583" s="10" t="str">
        <f>TEXT(Inventory_Data[[#This Row],[Date]],"mmm")</f>
        <v>Oct</v>
      </c>
    </row>
    <row r="1584" spans="1:15" x14ac:dyDescent="0.2">
      <c r="A1584" s="21">
        <v>45946</v>
      </c>
      <c r="B1584" s="5" t="s">
        <v>194</v>
      </c>
      <c r="C1584" t="s">
        <v>195</v>
      </c>
      <c r="D1584" t="s">
        <v>34</v>
      </c>
      <c r="E1584" t="s">
        <v>17</v>
      </c>
      <c r="F1584">
        <v>97</v>
      </c>
      <c r="G1584">
        <v>192</v>
      </c>
      <c r="H1584">
        <v>108</v>
      </c>
      <c r="I1584">
        <f>Inventory_Data[[#This Row],[Opening_Stock]]+Inventory_Data[[#This Row],[Units_Received]]-Inventory_Data[[#This Row],[Units_Sold]]</f>
        <v>181</v>
      </c>
      <c r="J1584">
        <v>0</v>
      </c>
      <c r="K1584">
        <v>6</v>
      </c>
      <c r="L1584" t="s">
        <v>36</v>
      </c>
      <c r="M1584" s="3">
        <v>23.65</v>
      </c>
      <c r="N1584" s="3">
        <v>35.15</v>
      </c>
      <c r="O1584" s="10" t="str">
        <f>TEXT(Inventory_Data[[#This Row],[Date]],"mmm")</f>
        <v>Oct</v>
      </c>
    </row>
    <row r="1585" spans="1:15" x14ac:dyDescent="0.2">
      <c r="A1585" s="21">
        <v>45947</v>
      </c>
      <c r="B1585" s="5" t="s">
        <v>19</v>
      </c>
      <c r="C1585" t="s">
        <v>20</v>
      </c>
      <c r="D1585" t="s">
        <v>16</v>
      </c>
      <c r="E1585" t="s">
        <v>21</v>
      </c>
      <c r="F1585">
        <v>168</v>
      </c>
      <c r="G1585">
        <v>88</v>
      </c>
      <c r="H1585">
        <v>26</v>
      </c>
      <c r="I1585">
        <f>Inventory_Data[[#This Row],[Opening_Stock]]+Inventory_Data[[#This Row],[Units_Received]]-Inventory_Data[[#This Row],[Units_Sold]]</f>
        <v>230</v>
      </c>
      <c r="J1585">
        <v>0</v>
      </c>
      <c r="K1585">
        <v>7</v>
      </c>
      <c r="L1585" t="s">
        <v>24</v>
      </c>
      <c r="M1585" s="3">
        <v>198.66</v>
      </c>
      <c r="N1585" s="3">
        <v>291.55</v>
      </c>
      <c r="O1585" s="10" t="str">
        <f>TEXT(Inventory_Data[[#This Row],[Date]],"mmm")</f>
        <v>Oct</v>
      </c>
    </row>
    <row r="1586" spans="1:15" x14ac:dyDescent="0.2">
      <c r="A1586" s="21">
        <v>45947</v>
      </c>
      <c r="B1586" s="5" t="s">
        <v>136</v>
      </c>
      <c r="C1586" t="s">
        <v>137</v>
      </c>
      <c r="D1586" t="s">
        <v>27</v>
      </c>
      <c r="E1586" t="s">
        <v>21</v>
      </c>
      <c r="F1586">
        <v>299</v>
      </c>
      <c r="G1586">
        <v>92</v>
      </c>
      <c r="H1586">
        <v>214</v>
      </c>
      <c r="I1586">
        <f>Inventory_Data[[#This Row],[Opening_Stock]]+Inventory_Data[[#This Row],[Units_Received]]-Inventory_Data[[#This Row],[Units_Sold]]</f>
        <v>177</v>
      </c>
      <c r="J1586">
        <v>0</v>
      </c>
      <c r="K1586">
        <v>4</v>
      </c>
      <c r="L1586" t="s">
        <v>29</v>
      </c>
      <c r="M1586" s="3">
        <v>13.29</v>
      </c>
      <c r="N1586" s="3">
        <v>17.440000000000001</v>
      </c>
      <c r="O1586" s="10" t="str">
        <f>TEXT(Inventory_Data[[#This Row],[Date]],"mmm")</f>
        <v>Oct</v>
      </c>
    </row>
    <row r="1587" spans="1:15" x14ac:dyDescent="0.2">
      <c r="A1587" s="21">
        <v>45948</v>
      </c>
      <c r="B1587" s="5" t="s">
        <v>128</v>
      </c>
      <c r="C1587" t="s">
        <v>129</v>
      </c>
      <c r="D1587" t="s">
        <v>48</v>
      </c>
      <c r="E1587" t="s">
        <v>17</v>
      </c>
      <c r="F1587">
        <v>116</v>
      </c>
      <c r="G1587">
        <v>51</v>
      </c>
      <c r="H1587">
        <v>56</v>
      </c>
      <c r="I1587">
        <f>Inventory_Data[[#This Row],[Opening_Stock]]+Inventory_Data[[#This Row],[Units_Received]]-Inventory_Data[[#This Row],[Units_Sold]]</f>
        <v>111</v>
      </c>
      <c r="J1587">
        <v>0</v>
      </c>
      <c r="K1587">
        <v>9</v>
      </c>
      <c r="L1587" t="s">
        <v>77</v>
      </c>
      <c r="M1587" s="3">
        <v>51.28</v>
      </c>
      <c r="N1587" s="3">
        <v>69.59</v>
      </c>
      <c r="O1587" s="10" t="str">
        <f>TEXT(Inventory_Data[[#This Row],[Date]],"mmm")</f>
        <v>Oct</v>
      </c>
    </row>
    <row r="1588" spans="1:15" x14ac:dyDescent="0.2">
      <c r="A1588" s="21">
        <v>45948</v>
      </c>
      <c r="B1588" s="5" t="s">
        <v>164</v>
      </c>
      <c r="C1588" t="s">
        <v>165</v>
      </c>
      <c r="D1588" t="s">
        <v>48</v>
      </c>
      <c r="E1588" t="s">
        <v>17</v>
      </c>
      <c r="F1588">
        <v>154</v>
      </c>
      <c r="G1588">
        <v>25</v>
      </c>
      <c r="H1588">
        <v>27</v>
      </c>
      <c r="I1588">
        <f>Inventory_Data[[#This Row],[Opening_Stock]]+Inventory_Data[[#This Row],[Units_Received]]-Inventory_Data[[#This Row],[Units_Sold]]</f>
        <v>152</v>
      </c>
      <c r="J1588">
        <v>0</v>
      </c>
      <c r="K1588">
        <v>11</v>
      </c>
      <c r="L1588" t="s">
        <v>63</v>
      </c>
      <c r="M1588" s="3">
        <v>44.25</v>
      </c>
      <c r="N1588" s="3">
        <v>56.8</v>
      </c>
      <c r="O1588" s="10" t="str">
        <f>TEXT(Inventory_Data[[#This Row],[Date]],"mmm")</f>
        <v>Oct</v>
      </c>
    </row>
    <row r="1589" spans="1:15" x14ac:dyDescent="0.2">
      <c r="A1589" s="21">
        <v>45948</v>
      </c>
      <c r="B1589" s="5" t="s">
        <v>64</v>
      </c>
      <c r="C1589" t="s">
        <v>65</v>
      </c>
      <c r="D1589" t="s">
        <v>27</v>
      </c>
      <c r="E1589" t="s">
        <v>17</v>
      </c>
      <c r="F1589">
        <v>256</v>
      </c>
      <c r="G1589">
        <v>208</v>
      </c>
      <c r="H1589">
        <v>102</v>
      </c>
      <c r="I1589">
        <f>Inventory_Data[[#This Row],[Opening_Stock]]+Inventory_Data[[#This Row],[Units_Received]]-Inventory_Data[[#This Row],[Units_Sold]]</f>
        <v>362</v>
      </c>
      <c r="J1589">
        <v>0</v>
      </c>
      <c r="K1589">
        <v>6</v>
      </c>
      <c r="L1589" t="s">
        <v>80</v>
      </c>
      <c r="M1589" s="3">
        <v>13.29</v>
      </c>
      <c r="N1589" s="3">
        <v>17.62</v>
      </c>
      <c r="O1589" s="10" t="str">
        <f>TEXT(Inventory_Data[[#This Row],[Date]],"mmm")</f>
        <v>Oct</v>
      </c>
    </row>
    <row r="1590" spans="1:15" x14ac:dyDescent="0.2">
      <c r="A1590" s="21">
        <v>45948</v>
      </c>
      <c r="B1590" s="5" t="s">
        <v>186</v>
      </c>
      <c r="C1590" t="s">
        <v>187</v>
      </c>
      <c r="D1590" t="s">
        <v>27</v>
      </c>
      <c r="E1590" t="s">
        <v>35</v>
      </c>
      <c r="F1590">
        <v>117</v>
      </c>
      <c r="G1590">
        <v>226</v>
      </c>
      <c r="H1590">
        <v>148</v>
      </c>
      <c r="I1590">
        <f>Inventory_Data[[#This Row],[Opening_Stock]]+Inventory_Data[[#This Row],[Units_Received]]-Inventory_Data[[#This Row],[Units_Sold]]</f>
        <v>195</v>
      </c>
      <c r="J1590">
        <v>0</v>
      </c>
      <c r="K1590">
        <v>4</v>
      </c>
      <c r="L1590" t="s">
        <v>66</v>
      </c>
      <c r="M1590" s="3">
        <v>24.55</v>
      </c>
      <c r="N1590" s="3">
        <v>31.67</v>
      </c>
      <c r="O1590" s="10" t="str">
        <f>TEXT(Inventory_Data[[#This Row],[Date]],"mmm")</f>
        <v>Oct</v>
      </c>
    </row>
    <row r="1591" spans="1:15" x14ac:dyDescent="0.2">
      <c r="A1591" s="21">
        <v>45949</v>
      </c>
      <c r="B1591" s="5" t="s">
        <v>86</v>
      </c>
      <c r="C1591" t="s">
        <v>87</v>
      </c>
      <c r="D1591" t="s">
        <v>48</v>
      </c>
      <c r="E1591" t="s">
        <v>17</v>
      </c>
      <c r="F1591">
        <v>175</v>
      </c>
      <c r="G1591">
        <v>23</v>
      </c>
      <c r="H1591">
        <v>111</v>
      </c>
      <c r="I1591">
        <f>Inventory_Data[[#This Row],[Opening_Stock]]+Inventory_Data[[#This Row],[Units_Received]]-Inventory_Data[[#This Row],[Units_Sold]]</f>
        <v>87</v>
      </c>
      <c r="J1591">
        <v>0</v>
      </c>
      <c r="K1591">
        <v>13</v>
      </c>
      <c r="L1591" t="s">
        <v>63</v>
      </c>
      <c r="M1591" s="3">
        <v>79.010000000000005</v>
      </c>
      <c r="N1591" s="3">
        <v>96.3</v>
      </c>
      <c r="O1591" s="10" t="str">
        <f>TEXT(Inventory_Data[[#This Row],[Date]],"mmm")</f>
        <v>Oct</v>
      </c>
    </row>
    <row r="1592" spans="1:15" x14ac:dyDescent="0.2">
      <c r="A1592" s="21">
        <v>45949</v>
      </c>
      <c r="B1592" s="5" t="s">
        <v>164</v>
      </c>
      <c r="C1592" t="s">
        <v>165</v>
      </c>
      <c r="D1592" t="s">
        <v>48</v>
      </c>
      <c r="E1592" t="s">
        <v>17</v>
      </c>
      <c r="F1592">
        <v>73</v>
      </c>
      <c r="G1592">
        <v>122</v>
      </c>
      <c r="H1592">
        <v>19</v>
      </c>
      <c r="I1592">
        <f>Inventory_Data[[#This Row],[Opening_Stock]]+Inventory_Data[[#This Row],[Units_Received]]-Inventory_Data[[#This Row],[Units_Sold]]</f>
        <v>176</v>
      </c>
      <c r="J1592">
        <v>0</v>
      </c>
      <c r="K1592">
        <v>5</v>
      </c>
      <c r="L1592" t="s">
        <v>63</v>
      </c>
      <c r="M1592" s="3">
        <v>88.44</v>
      </c>
      <c r="N1592" s="3">
        <v>134.47999999999999</v>
      </c>
      <c r="O1592" s="10" t="str">
        <f>TEXT(Inventory_Data[[#This Row],[Date]],"mmm")</f>
        <v>Oct</v>
      </c>
    </row>
    <row r="1593" spans="1:15" x14ac:dyDescent="0.2">
      <c r="A1593" s="21">
        <v>45949</v>
      </c>
      <c r="B1593" s="5" t="s">
        <v>30</v>
      </c>
      <c r="C1593" t="s">
        <v>31</v>
      </c>
      <c r="D1593" t="s">
        <v>27</v>
      </c>
      <c r="E1593" t="s">
        <v>28</v>
      </c>
      <c r="F1593">
        <v>389</v>
      </c>
      <c r="G1593">
        <v>75</v>
      </c>
      <c r="H1593">
        <v>202</v>
      </c>
      <c r="I1593">
        <f>Inventory_Data[[#This Row],[Opening_Stock]]+Inventory_Data[[#This Row],[Units_Received]]-Inventory_Data[[#This Row],[Units_Sold]]</f>
        <v>262</v>
      </c>
      <c r="J1593">
        <v>0</v>
      </c>
      <c r="K1593">
        <v>1</v>
      </c>
      <c r="L1593" t="s">
        <v>29</v>
      </c>
      <c r="M1593" s="3">
        <v>13.84</v>
      </c>
      <c r="N1593" s="3">
        <v>18.760000000000002</v>
      </c>
      <c r="O1593" s="10" t="str">
        <f>TEXT(Inventory_Data[[#This Row],[Date]],"mmm")</f>
        <v>Oct</v>
      </c>
    </row>
    <row r="1594" spans="1:15" x14ac:dyDescent="0.2">
      <c r="A1594" s="21">
        <v>45949</v>
      </c>
      <c r="B1594" s="5" t="s">
        <v>88</v>
      </c>
      <c r="C1594" t="s">
        <v>89</v>
      </c>
      <c r="D1594" t="s">
        <v>34</v>
      </c>
      <c r="E1594" t="s">
        <v>35</v>
      </c>
      <c r="F1594">
        <v>134</v>
      </c>
      <c r="G1594">
        <v>171</v>
      </c>
      <c r="H1594">
        <v>80</v>
      </c>
      <c r="I1594">
        <f>Inventory_Data[[#This Row],[Opening_Stock]]+Inventory_Data[[#This Row],[Units_Received]]-Inventory_Data[[#This Row],[Units_Sold]]</f>
        <v>225</v>
      </c>
      <c r="J1594">
        <v>0</v>
      </c>
      <c r="K1594">
        <v>9</v>
      </c>
      <c r="L1594" t="s">
        <v>42</v>
      </c>
      <c r="M1594" s="3">
        <v>4.7300000000000004</v>
      </c>
      <c r="N1594" s="3">
        <v>6.53</v>
      </c>
      <c r="O1594" s="10" t="str">
        <f>TEXT(Inventory_Data[[#This Row],[Date]],"mmm")</f>
        <v>Oct</v>
      </c>
    </row>
    <row r="1595" spans="1:15" x14ac:dyDescent="0.2">
      <c r="A1595" s="21">
        <v>45950</v>
      </c>
      <c r="B1595" s="5" t="s">
        <v>184</v>
      </c>
      <c r="C1595" t="s">
        <v>185</v>
      </c>
      <c r="D1595" t="s">
        <v>16</v>
      </c>
      <c r="E1595" t="s">
        <v>17</v>
      </c>
      <c r="F1595">
        <v>108</v>
      </c>
      <c r="G1595">
        <v>68</v>
      </c>
      <c r="H1595">
        <v>41</v>
      </c>
      <c r="I1595">
        <f>Inventory_Data[[#This Row],[Opening_Stock]]+Inventory_Data[[#This Row],[Units_Received]]-Inventory_Data[[#This Row],[Units_Sold]]</f>
        <v>135</v>
      </c>
      <c r="J1595">
        <v>0</v>
      </c>
      <c r="K1595">
        <v>10</v>
      </c>
      <c r="L1595" t="s">
        <v>45</v>
      </c>
      <c r="M1595" s="3">
        <v>184.75</v>
      </c>
      <c r="N1595" s="3">
        <v>224.1</v>
      </c>
      <c r="O1595" s="10" t="str">
        <f>TEXT(Inventory_Data[[#This Row],[Date]],"mmm")</f>
        <v>Oct</v>
      </c>
    </row>
    <row r="1596" spans="1:15" x14ac:dyDescent="0.2">
      <c r="A1596" s="21">
        <v>45950</v>
      </c>
      <c r="B1596" s="5" t="s">
        <v>130</v>
      </c>
      <c r="C1596" t="s">
        <v>131</v>
      </c>
      <c r="D1596" t="s">
        <v>48</v>
      </c>
      <c r="E1596" t="s">
        <v>28</v>
      </c>
      <c r="F1596">
        <v>164</v>
      </c>
      <c r="G1596">
        <v>132</v>
      </c>
      <c r="H1596">
        <v>116</v>
      </c>
      <c r="I1596">
        <f>Inventory_Data[[#This Row],[Opening_Stock]]+Inventory_Data[[#This Row],[Units_Received]]-Inventory_Data[[#This Row],[Units_Sold]]</f>
        <v>180</v>
      </c>
      <c r="J1596">
        <v>0</v>
      </c>
      <c r="K1596">
        <v>8</v>
      </c>
      <c r="L1596" t="s">
        <v>77</v>
      </c>
      <c r="M1596" s="3">
        <v>17.55</v>
      </c>
      <c r="N1596" s="3">
        <v>24.37</v>
      </c>
      <c r="O1596" s="10" t="str">
        <f>TEXT(Inventory_Data[[#This Row],[Date]],"mmm")</f>
        <v>Oct</v>
      </c>
    </row>
    <row r="1597" spans="1:15" x14ac:dyDescent="0.2">
      <c r="A1597" s="21">
        <v>45950</v>
      </c>
      <c r="B1597" s="5" t="s">
        <v>130</v>
      </c>
      <c r="C1597" t="s">
        <v>131</v>
      </c>
      <c r="D1597" t="s">
        <v>48</v>
      </c>
      <c r="E1597" t="s">
        <v>21</v>
      </c>
      <c r="F1597">
        <v>89</v>
      </c>
      <c r="G1597">
        <v>60</v>
      </c>
      <c r="H1597">
        <v>23</v>
      </c>
      <c r="I1597">
        <f>Inventory_Data[[#This Row],[Opening_Stock]]+Inventory_Data[[#This Row],[Units_Received]]-Inventory_Data[[#This Row],[Units_Sold]]</f>
        <v>126</v>
      </c>
      <c r="J1597">
        <v>0</v>
      </c>
      <c r="K1597">
        <v>6</v>
      </c>
      <c r="L1597" t="s">
        <v>49</v>
      </c>
      <c r="M1597" s="3">
        <v>16.57</v>
      </c>
      <c r="N1597" s="3">
        <v>22.03</v>
      </c>
      <c r="O1597" s="10" t="str">
        <f>TEXT(Inventory_Data[[#This Row],[Date]],"mmm")</f>
        <v>Oct</v>
      </c>
    </row>
    <row r="1598" spans="1:15" x14ac:dyDescent="0.2">
      <c r="A1598" s="21">
        <v>45950</v>
      </c>
      <c r="B1598" s="5" t="s">
        <v>61</v>
      </c>
      <c r="C1598" t="s">
        <v>62</v>
      </c>
      <c r="D1598" t="s">
        <v>48</v>
      </c>
      <c r="E1598" t="s">
        <v>21</v>
      </c>
      <c r="F1598">
        <v>228</v>
      </c>
      <c r="G1598">
        <v>139</v>
      </c>
      <c r="H1598">
        <v>114</v>
      </c>
      <c r="I1598">
        <f>Inventory_Data[[#This Row],[Opening_Stock]]+Inventory_Data[[#This Row],[Units_Received]]-Inventory_Data[[#This Row],[Units_Sold]]</f>
        <v>253</v>
      </c>
      <c r="J1598">
        <v>0</v>
      </c>
      <c r="K1598">
        <v>3</v>
      </c>
      <c r="L1598" t="s">
        <v>63</v>
      </c>
      <c r="M1598" s="3">
        <v>45.81</v>
      </c>
      <c r="N1598" s="3">
        <v>58.38</v>
      </c>
      <c r="O1598" s="10" t="str">
        <f>TEXT(Inventory_Data[[#This Row],[Date]],"mmm")</f>
        <v>Oct</v>
      </c>
    </row>
    <row r="1599" spans="1:15" x14ac:dyDescent="0.2">
      <c r="A1599" s="21">
        <v>45950</v>
      </c>
      <c r="B1599" s="5" t="s">
        <v>90</v>
      </c>
      <c r="C1599" t="s">
        <v>91</v>
      </c>
      <c r="D1599" t="s">
        <v>48</v>
      </c>
      <c r="E1599" t="s">
        <v>35</v>
      </c>
      <c r="F1599">
        <v>231</v>
      </c>
      <c r="G1599">
        <v>24</v>
      </c>
      <c r="H1599">
        <v>109</v>
      </c>
      <c r="I1599">
        <f>Inventory_Data[[#This Row],[Opening_Stock]]+Inventory_Data[[#This Row],[Units_Received]]-Inventory_Data[[#This Row],[Units_Sold]]</f>
        <v>146</v>
      </c>
      <c r="J1599">
        <v>0</v>
      </c>
      <c r="K1599">
        <v>7</v>
      </c>
      <c r="L1599" t="s">
        <v>77</v>
      </c>
      <c r="M1599" s="3">
        <v>59.76</v>
      </c>
      <c r="N1599" s="3">
        <v>69.92</v>
      </c>
      <c r="O1599" s="10" t="str">
        <f>TEXT(Inventory_Data[[#This Row],[Date]],"mmm")</f>
        <v>Oct</v>
      </c>
    </row>
    <row r="1600" spans="1:15" x14ac:dyDescent="0.2">
      <c r="A1600" s="21">
        <v>45950</v>
      </c>
      <c r="B1600" s="5" t="s">
        <v>114</v>
      </c>
      <c r="C1600" t="s">
        <v>115</v>
      </c>
      <c r="D1600" t="s">
        <v>27</v>
      </c>
      <c r="E1600" t="s">
        <v>21</v>
      </c>
      <c r="F1600">
        <v>200</v>
      </c>
      <c r="G1600">
        <v>180</v>
      </c>
      <c r="H1600">
        <v>84</v>
      </c>
      <c r="I1600">
        <f>Inventory_Data[[#This Row],[Opening_Stock]]+Inventory_Data[[#This Row],[Units_Received]]-Inventory_Data[[#This Row],[Units_Sold]]</f>
        <v>296</v>
      </c>
      <c r="J1600">
        <v>0</v>
      </c>
      <c r="K1600">
        <v>4</v>
      </c>
      <c r="L1600" t="s">
        <v>29</v>
      </c>
      <c r="M1600" s="3">
        <v>10.27</v>
      </c>
      <c r="N1600" s="3">
        <v>12.15</v>
      </c>
      <c r="O1600" s="10" t="str">
        <f>TEXT(Inventory_Data[[#This Row],[Date]],"mmm")</f>
        <v>Oct</v>
      </c>
    </row>
    <row r="1601" spans="1:15" x14ac:dyDescent="0.2">
      <c r="A1601" s="21">
        <v>45950</v>
      </c>
      <c r="B1601" s="5" t="s">
        <v>136</v>
      </c>
      <c r="C1601" t="s">
        <v>137</v>
      </c>
      <c r="D1601" t="s">
        <v>27</v>
      </c>
      <c r="E1601" t="s">
        <v>28</v>
      </c>
      <c r="F1601">
        <v>210</v>
      </c>
      <c r="G1601">
        <v>199</v>
      </c>
      <c r="H1601">
        <v>167</v>
      </c>
      <c r="I1601">
        <f>Inventory_Data[[#This Row],[Opening_Stock]]+Inventory_Data[[#This Row],[Units_Received]]-Inventory_Data[[#This Row],[Units_Sold]]</f>
        <v>242</v>
      </c>
      <c r="J1601">
        <v>0</v>
      </c>
      <c r="K1601">
        <v>2</v>
      </c>
      <c r="L1601" t="s">
        <v>80</v>
      </c>
      <c r="M1601" s="3">
        <v>11.44</v>
      </c>
      <c r="N1601" s="3">
        <v>14.21</v>
      </c>
      <c r="O1601" s="10" t="str">
        <f>TEXT(Inventory_Data[[#This Row],[Date]],"mmm")</f>
        <v>Oct</v>
      </c>
    </row>
    <row r="1602" spans="1:15" x14ac:dyDescent="0.2">
      <c r="A1602" s="21">
        <v>45950</v>
      </c>
      <c r="B1602" s="5" t="s">
        <v>158</v>
      </c>
      <c r="C1602" t="s">
        <v>159</v>
      </c>
      <c r="D1602" t="s">
        <v>52</v>
      </c>
      <c r="E1602" t="s">
        <v>35</v>
      </c>
      <c r="F1602">
        <v>57</v>
      </c>
      <c r="G1602">
        <v>22</v>
      </c>
      <c r="H1602">
        <v>3</v>
      </c>
      <c r="I1602">
        <f>Inventory_Data[[#This Row],[Opening_Stock]]+Inventory_Data[[#This Row],[Units_Received]]-Inventory_Data[[#This Row],[Units_Sold]]</f>
        <v>76</v>
      </c>
      <c r="J1602">
        <v>0</v>
      </c>
      <c r="K1602">
        <v>11</v>
      </c>
      <c r="L1602" t="s">
        <v>53</v>
      </c>
      <c r="M1602" s="3">
        <v>300.13</v>
      </c>
      <c r="N1602" s="3">
        <v>352.82</v>
      </c>
      <c r="O1602" s="10" t="str">
        <f>TEXT(Inventory_Data[[#This Row],[Date]],"mmm")</f>
        <v>Oct</v>
      </c>
    </row>
    <row r="1603" spans="1:15" x14ac:dyDescent="0.2">
      <c r="A1603" s="21">
        <v>45950</v>
      </c>
      <c r="B1603" s="5" t="s">
        <v>174</v>
      </c>
      <c r="C1603" t="s">
        <v>175</v>
      </c>
      <c r="D1603" t="s">
        <v>52</v>
      </c>
      <c r="E1603" t="s">
        <v>35</v>
      </c>
      <c r="F1603">
        <v>72</v>
      </c>
      <c r="G1603">
        <v>16</v>
      </c>
      <c r="H1603">
        <v>1</v>
      </c>
      <c r="I1603">
        <f>Inventory_Data[[#This Row],[Opening_Stock]]+Inventory_Data[[#This Row],[Units_Received]]-Inventory_Data[[#This Row],[Units_Sold]]</f>
        <v>87</v>
      </c>
      <c r="J1603">
        <v>0</v>
      </c>
      <c r="K1603">
        <v>4</v>
      </c>
      <c r="L1603" t="s">
        <v>56</v>
      </c>
      <c r="M1603" s="3">
        <v>221.85</v>
      </c>
      <c r="N1603" s="3">
        <v>316.52</v>
      </c>
      <c r="O1603" s="10" t="str">
        <f>TEXT(Inventory_Data[[#This Row],[Date]],"mmm")</f>
        <v>Oct</v>
      </c>
    </row>
    <row r="1604" spans="1:15" x14ac:dyDescent="0.2">
      <c r="A1604" s="21">
        <v>45950</v>
      </c>
      <c r="B1604" s="5" t="s">
        <v>176</v>
      </c>
      <c r="C1604" t="s">
        <v>177</v>
      </c>
      <c r="D1604" t="s">
        <v>34</v>
      </c>
      <c r="E1604" t="s">
        <v>21</v>
      </c>
      <c r="F1604">
        <v>231</v>
      </c>
      <c r="G1604">
        <v>43</v>
      </c>
      <c r="H1604">
        <v>166</v>
      </c>
      <c r="I1604">
        <f>Inventory_Data[[#This Row],[Opening_Stock]]+Inventory_Data[[#This Row],[Units_Received]]-Inventory_Data[[#This Row],[Units_Sold]]</f>
        <v>108</v>
      </c>
      <c r="J1604">
        <v>0</v>
      </c>
      <c r="K1604">
        <v>8</v>
      </c>
      <c r="L1604" t="s">
        <v>39</v>
      </c>
      <c r="M1604" s="3">
        <v>10.8</v>
      </c>
      <c r="N1604" s="3">
        <v>14.1</v>
      </c>
      <c r="O1604" s="10" t="str">
        <f>TEXT(Inventory_Data[[#This Row],[Date]],"mmm")</f>
        <v>Oct</v>
      </c>
    </row>
    <row r="1605" spans="1:15" x14ac:dyDescent="0.2">
      <c r="A1605" s="21">
        <v>45951</v>
      </c>
      <c r="B1605" s="5" t="s">
        <v>71</v>
      </c>
      <c r="C1605" t="s">
        <v>72</v>
      </c>
      <c r="D1605" t="s">
        <v>16</v>
      </c>
      <c r="E1605" t="s">
        <v>28</v>
      </c>
      <c r="F1605">
        <v>150</v>
      </c>
      <c r="G1605">
        <v>64</v>
      </c>
      <c r="H1605">
        <v>18</v>
      </c>
      <c r="I1605">
        <f>Inventory_Data[[#This Row],[Opening_Stock]]+Inventory_Data[[#This Row],[Units_Received]]-Inventory_Data[[#This Row],[Units_Sold]]</f>
        <v>196</v>
      </c>
      <c r="J1605">
        <v>0</v>
      </c>
      <c r="K1605">
        <v>11</v>
      </c>
      <c r="L1605" t="s">
        <v>45</v>
      </c>
      <c r="M1605" s="3">
        <v>169.5</v>
      </c>
      <c r="N1605" s="3">
        <v>260.56</v>
      </c>
      <c r="O1605" s="10" t="str">
        <f>TEXT(Inventory_Data[[#This Row],[Date]],"mmm")</f>
        <v>Oct</v>
      </c>
    </row>
    <row r="1606" spans="1:15" x14ac:dyDescent="0.2">
      <c r="A1606" s="21">
        <v>45951</v>
      </c>
      <c r="B1606" s="5" t="s">
        <v>14</v>
      </c>
      <c r="C1606" t="s">
        <v>15</v>
      </c>
      <c r="D1606" t="s">
        <v>16</v>
      </c>
      <c r="E1606" t="s">
        <v>28</v>
      </c>
      <c r="F1606">
        <v>40</v>
      </c>
      <c r="G1606">
        <v>89</v>
      </c>
      <c r="H1606">
        <v>60</v>
      </c>
      <c r="I1606">
        <f>Inventory_Data[[#This Row],[Opening_Stock]]+Inventory_Data[[#This Row],[Units_Received]]-Inventory_Data[[#This Row],[Units_Sold]]</f>
        <v>69</v>
      </c>
      <c r="J1606">
        <v>0</v>
      </c>
      <c r="K1606">
        <v>8</v>
      </c>
      <c r="L1606" t="s">
        <v>45</v>
      </c>
      <c r="M1606" s="3">
        <v>25.35</v>
      </c>
      <c r="N1606" s="3">
        <v>34.700000000000003</v>
      </c>
      <c r="O1606" s="10" t="str">
        <f>TEXT(Inventory_Data[[#This Row],[Date]],"mmm")</f>
        <v>Oct</v>
      </c>
    </row>
    <row r="1607" spans="1:15" x14ac:dyDescent="0.2">
      <c r="A1607" s="21">
        <v>45951</v>
      </c>
      <c r="B1607" s="5" t="s">
        <v>61</v>
      </c>
      <c r="C1607" t="s">
        <v>62</v>
      </c>
      <c r="D1607" t="s">
        <v>48</v>
      </c>
      <c r="E1607" t="s">
        <v>21</v>
      </c>
      <c r="F1607">
        <v>250</v>
      </c>
      <c r="G1607">
        <v>59</v>
      </c>
      <c r="H1607">
        <v>35</v>
      </c>
      <c r="I1607">
        <f>Inventory_Data[[#This Row],[Opening_Stock]]+Inventory_Data[[#This Row],[Units_Received]]-Inventory_Data[[#This Row],[Units_Sold]]</f>
        <v>274</v>
      </c>
      <c r="J1607">
        <v>0</v>
      </c>
      <c r="K1607">
        <v>12</v>
      </c>
      <c r="L1607" t="s">
        <v>77</v>
      </c>
      <c r="M1607" s="3">
        <v>45.34</v>
      </c>
      <c r="N1607" s="3">
        <v>61.54</v>
      </c>
      <c r="O1607" s="10" t="str">
        <f>TEXT(Inventory_Data[[#This Row],[Date]],"mmm")</f>
        <v>Oct</v>
      </c>
    </row>
    <row r="1608" spans="1:15" x14ac:dyDescent="0.2">
      <c r="A1608" s="21">
        <v>45951</v>
      </c>
      <c r="B1608" s="5" t="s">
        <v>124</v>
      </c>
      <c r="C1608" t="s">
        <v>125</v>
      </c>
      <c r="D1608" t="s">
        <v>52</v>
      </c>
      <c r="E1608" t="s">
        <v>17</v>
      </c>
      <c r="F1608">
        <v>43</v>
      </c>
      <c r="G1608">
        <v>12</v>
      </c>
      <c r="H1608">
        <v>10</v>
      </c>
      <c r="I1608">
        <f>Inventory_Data[[#This Row],[Opening_Stock]]+Inventory_Data[[#This Row],[Units_Received]]-Inventory_Data[[#This Row],[Units_Sold]]</f>
        <v>45</v>
      </c>
      <c r="J1608">
        <v>0</v>
      </c>
      <c r="K1608">
        <v>7</v>
      </c>
      <c r="L1608" t="s">
        <v>53</v>
      </c>
      <c r="M1608" s="3">
        <v>94.96</v>
      </c>
      <c r="N1608" s="3">
        <v>140.01</v>
      </c>
      <c r="O1608" s="10" t="str">
        <f>TEXT(Inventory_Data[[#This Row],[Date]],"mmm")</f>
        <v>Oct</v>
      </c>
    </row>
    <row r="1609" spans="1:15" x14ac:dyDescent="0.2">
      <c r="A1609" s="21">
        <v>45951</v>
      </c>
      <c r="B1609" s="5" t="s">
        <v>142</v>
      </c>
      <c r="C1609" t="s">
        <v>143</v>
      </c>
      <c r="D1609" t="s">
        <v>52</v>
      </c>
      <c r="E1609" t="s">
        <v>28</v>
      </c>
      <c r="F1609">
        <v>35</v>
      </c>
      <c r="G1609">
        <v>13</v>
      </c>
      <c r="H1609">
        <v>5</v>
      </c>
      <c r="I1609">
        <f>Inventory_Data[[#This Row],[Opening_Stock]]+Inventory_Data[[#This Row],[Units_Received]]-Inventory_Data[[#This Row],[Units_Sold]]</f>
        <v>43</v>
      </c>
      <c r="J1609">
        <v>0</v>
      </c>
      <c r="K1609">
        <v>3</v>
      </c>
      <c r="L1609" t="s">
        <v>83</v>
      </c>
      <c r="M1609" s="3">
        <v>196.15</v>
      </c>
      <c r="N1609" s="3">
        <v>244.88</v>
      </c>
      <c r="O1609" s="10" t="str">
        <f>TEXT(Inventory_Data[[#This Row],[Date]],"mmm")</f>
        <v>Oct</v>
      </c>
    </row>
    <row r="1610" spans="1:15" x14ac:dyDescent="0.2">
      <c r="A1610" s="21">
        <v>45951</v>
      </c>
      <c r="B1610" s="5" t="s">
        <v>67</v>
      </c>
      <c r="C1610" t="s">
        <v>68</v>
      </c>
      <c r="D1610" t="s">
        <v>52</v>
      </c>
      <c r="E1610" t="s">
        <v>21</v>
      </c>
      <c r="F1610">
        <v>31</v>
      </c>
      <c r="G1610">
        <v>23</v>
      </c>
      <c r="H1610">
        <v>11</v>
      </c>
      <c r="I1610">
        <f>Inventory_Data[[#This Row],[Opening_Stock]]+Inventory_Data[[#This Row],[Units_Received]]-Inventory_Data[[#This Row],[Units_Sold]]</f>
        <v>43</v>
      </c>
      <c r="J1610">
        <v>0</v>
      </c>
      <c r="K1610">
        <v>4</v>
      </c>
      <c r="L1610" t="s">
        <v>83</v>
      </c>
      <c r="M1610" s="3">
        <v>250.07</v>
      </c>
      <c r="N1610" s="3">
        <v>301.02999999999997</v>
      </c>
      <c r="O1610" s="10" t="str">
        <f>TEXT(Inventory_Data[[#This Row],[Date]],"mmm")</f>
        <v>Oct</v>
      </c>
    </row>
    <row r="1611" spans="1:15" x14ac:dyDescent="0.2">
      <c r="A1611" s="21">
        <v>45952</v>
      </c>
      <c r="B1611" s="5" t="s">
        <v>162</v>
      </c>
      <c r="C1611" t="s">
        <v>163</v>
      </c>
      <c r="D1611" t="s">
        <v>16</v>
      </c>
      <c r="E1611" t="s">
        <v>17</v>
      </c>
      <c r="F1611">
        <v>173</v>
      </c>
      <c r="G1611">
        <v>57</v>
      </c>
      <c r="H1611">
        <v>44</v>
      </c>
      <c r="I1611">
        <f>Inventory_Data[[#This Row],[Opening_Stock]]+Inventory_Data[[#This Row],[Units_Received]]-Inventory_Data[[#This Row],[Units_Sold]]</f>
        <v>186</v>
      </c>
      <c r="J1611">
        <v>0</v>
      </c>
      <c r="K1611">
        <v>2</v>
      </c>
      <c r="L1611" t="s">
        <v>18</v>
      </c>
      <c r="M1611" s="3">
        <v>216.11</v>
      </c>
      <c r="N1611" s="3">
        <v>301.58</v>
      </c>
      <c r="O1611" s="10" t="str">
        <f>TEXT(Inventory_Data[[#This Row],[Date]],"mmm")</f>
        <v>Oct</v>
      </c>
    </row>
    <row r="1612" spans="1:15" x14ac:dyDescent="0.2">
      <c r="A1612" s="21">
        <v>45952</v>
      </c>
      <c r="B1612" s="5" t="s">
        <v>22</v>
      </c>
      <c r="C1612" t="s">
        <v>23</v>
      </c>
      <c r="D1612" t="s">
        <v>16</v>
      </c>
      <c r="E1612" t="s">
        <v>21</v>
      </c>
      <c r="F1612">
        <v>65</v>
      </c>
      <c r="G1612">
        <v>45</v>
      </c>
      <c r="H1612">
        <v>62</v>
      </c>
      <c r="I1612">
        <f>Inventory_Data[[#This Row],[Opening_Stock]]+Inventory_Data[[#This Row],[Units_Received]]-Inventory_Data[[#This Row],[Units_Sold]]</f>
        <v>48</v>
      </c>
      <c r="J1612">
        <v>0</v>
      </c>
      <c r="K1612">
        <v>13</v>
      </c>
      <c r="L1612" t="s">
        <v>24</v>
      </c>
      <c r="M1612" s="3">
        <v>29.58</v>
      </c>
      <c r="N1612" s="3">
        <v>38.11</v>
      </c>
      <c r="O1612" s="10" t="str">
        <f>TEXT(Inventory_Data[[#This Row],[Date]],"mmm")</f>
        <v>Oct</v>
      </c>
    </row>
    <row r="1613" spans="1:15" x14ac:dyDescent="0.2">
      <c r="A1613" s="21">
        <v>45952</v>
      </c>
      <c r="B1613" s="5" t="s">
        <v>108</v>
      </c>
      <c r="C1613" t="s">
        <v>109</v>
      </c>
      <c r="D1613" t="s">
        <v>16</v>
      </c>
      <c r="E1613" t="s">
        <v>35</v>
      </c>
      <c r="F1613">
        <v>175</v>
      </c>
      <c r="G1613">
        <v>53</v>
      </c>
      <c r="H1613">
        <v>45</v>
      </c>
      <c r="I1613">
        <f>Inventory_Data[[#This Row],[Opening_Stock]]+Inventory_Data[[#This Row],[Units_Received]]-Inventory_Data[[#This Row],[Units_Sold]]</f>
        <v>183</v>
      </c>
      <c r="J1613">
        <v>0</v>
      </c>
      <c r="K1613">
        <v>8</v>
      </c>
      <c r="L1613" t="s">
        <v>45</v>
      </c>
      <c r="M1613" s="3">
        <v>80.37</v>
      </c>
      <c r="N1613" s="3">
        <v>111.14</v>
      </c>
      <c r="O1613" s="10" t="str">
        <f>TEXT(Inventory_Data[[#This Row],[Date]],"mmm")</f>
        <v>Oct</v>
      </c>
    </row>
    <row r="1614" spans="1:15" x14ac:dyDescent="0.2">
      <c r="A1614" s="21">
        <v>45952</v>
      </c>
      <c r="B1614" s="5" t="s">
        <v>90</v>
      </c>
      <c r="C1614" t="s">
        <v>91</v>
      </c>
      <c r="D1614" t="s">
        <v>48</v>
      </c>
      <c r="E1614" t="s">
        <v>35</v>
      </c>
      <c r="F1614">
        <v>256</v>
      </c>
      <c r="G1614">
        <v>139</v>
      </c>
      <c r="H1614">
        <v>83</v>
      </c>
      <c r="I1614">
        <f>Inventory_Data[[#This Row],[Opening_Stock]]+Inventory_Data[[#This Row],[Units_Received]]-Inventory_Data[[#This Row],[Units_Sold]]</f>
        <v>312</v>
      </c>
      <c r="J1614">
        <v>0</v>
      </c>
      <c r="K1614">
        <v>12</v>
      </c>
      <c r="L1614" t="s">
        <v>49</v>
      </c>
      <c r="M1614" s="3">
        <v>58.18</v>
      </c>
      <c r="N1614" s="3">
        <v>75.599999999999994</v>
      </c>
      <c r="O1614" s="10" t="str">
        <f>TEXT(Inventory_Data[[#This Row],[Date]],"mmm")</f>
        <v>Oct</v>
      </c>
    </row>
    <row r="1615" spans="1:15" x14ac:dyDescent="0.2">
      <c r="A1615" s="21">
        <v>45952</v>
      </c>
      <c r="B1615" s="5" t="s">
        <v>50</v>
      </c>
      <c r="C1615" t="s">
        <v>51</v>
      </c>
      <c r="D1615" t="s">
        <v>52</v>
      </c>
      <c r="E1615" t="s">
        <v>17</v>
      </c>
      <c r="F1615">
        <v>62</v>
      </c>
      <c r="G1615">
        <v>6</v>
      </c>
      <c r="H1615">
        <v>1</v>
      </c>
      <c r="I1615">
        <f>Inventory_Data[[#This Row],[Opening_Stock]]+Inventory_Data[[#This Row],[Units_Received]]-Inventory_Data[[#This Row],[Units_Sold]]</f>
        <v>67</v>
      </c>
      <c r="J1615">
        <v>0</v>
      </c>
      <c r="K1615">
        <v>9</v>
      </c>
      <c r="L1615" t="s">
        <v>56</v>
      </c>
      <c r="M1615" s="3">
        <v>335.18</v>
      </c>
      <c r="N1615" s="3">
        <v>449.62</v>
      </c>
      <c r="O1615" s="10" t="str">
        <f>TEXT(Inventory_Data[[#This Row],[Date]],"mmm")</f>
        <v>Oct</v>
      </c>
    </row>
    <row r="1616" spans="1:15" x14ac:dyDescent="0.2">
      <c r="A1616" s="21">
        <v>45952</v>
      </c>
      <c r="B1616" s="5" t="s">
        <v>150</v>
      </c>
      <c r="C1616" t="s">
        <v>151</v>
      </c>
      <c r="D1616" t="s">
        <v>52</v>
      </c>
      <c r="E1616" t="s">
        <v>28</v>
      </c>
      <c r="F1616">
        <v>49</v>
      </c>
      <c r="G1616">
        <v>8</v>
      </c>
      <c r="H1616">
        <v>2</v>
      </c>
      <c r="I1616">
        <f>Inventory_Data[[#This Row],[Opening_Stock]]+Inventory_Data[[#This Row],[Units_Received]]-Inventory_Data[[#This Row],[Units_Sold]]</f>
        <v>55</v>
      </c>
      <c r="J1616">
        <v>0</v>
      </c>
      <c r="K1616">
        <v>6</v>
      </c>
      <c r="L1616" t="s">
        <v>53</v>
      </c>
      <c r="M1616" s="3">
        <v>217.21</v>
      </c>
      <c r="N1616" s="3">
        <v>324.36</v>
      </c>
      <c r="O1616" s="10" t="str">
        <f>TEXT(Inventory_Data[[#This Row],[Date]],"mmm")</f>
        <v>Oct</v>
      </c>
    </row>
    <row r="1617" spans="1:15" x14ac:dyDescent="0.2">
      <c r="A1617" s="21">
        <v>45953</v>
      </c>
      <c r="B1617" s="5" t="s">
        <v>128</v>
      </c>
      <c r="C1617" t="s">
        <v>129</v>
      </c>
      <c r="D1617" t="s">
        <v>48</v>
      </c>
      <c r="E1617" t="s">
        <v>21</v>
      </c>
      <c r="F1617">
        <v>276</v>
      </c>
      <c r="G1617">
        <v>90</v>
      </c>
      <c r="H1617">
        <v>119</v>
      </c>
      <c r="I1617">
        <f>Inventory_Data[[#This Row],[Opening_Stock]]+Inventory_Data[[#This Row],[Units_Received]]-Inventory_Data[[#This Row],[Units_Sold]]</f>
        <v>247</v>
      </c>
      <c r="J1617">
        <v>0</v>
      </c>
      <c r="K1617">
        <v>8</v>
      </c>
      <c r="L1617" t="s">
        <v>77</v>
      </c>
      <c r="M1617" s="3">
        <v>25.85</v>
      </c>
      <c r="N1617" s="3">
        <v>39.72</v>
      </c>
      <c r="O1617" s="10" t="str">
        <f>TEXT(Inventory_Data[[#This Row],[Date]],"mmm")</f>
        <v>Oct</v>
      </c>
    </row>
    <row r="1618" spans="1:15" x14ac:dyDescent="0.2">
      <c r="A1618" s="21">
        <v>45953</v>
      </c>
      <c r="B1618" s="5" t="s">
        <v>156</v>
      </c>
      <c r="C1618" t="s">
        <v>157</v>
      </c>
      <c r="D1618" t="s">
        <v>27</v>
      </c>
      <c r="E1618" t="s">
        <v>28</v>
      </c>
      <c r="F1618">
        <v>214</v>
      </c>
      <c r="G1618">
        <v>97</v>
      </c>
      <c r="H1618">
        <v>124</v>
      </c>
      <c r="I1618">
        <f>Inventory_Data[[#This Row],[Opening_Stock]]+Inventory_Data[[#This Row],[Units_Received]]-Inventory_Data[[#This Row],[Units_Sold]]</f>
        <v>187</v>
      </c>
      <c r="J1618">
        <v>0</v>
      </c>
      <c r="K1618">
        <v>2</v>
      </c>
      <c r="L1618" t="s">
        <v>66</v>
      </c>
      <c r="M1618" s="3">
        <v>14.15</v>
      </c>
      <c r="N1618" s="3">
        <v>21.76</v>
      </c>
      <c r="O1618" s="10" t="str">
        <f>TEXT(Inventory_Data[[#This Row],[Date]],"mmm")</f>
        <v>Oct</v>
      </c>
    </row>
    <row r="1619" spans="1:15" x14ac:dyDescent="0.2">
      <c r="A1619" s="21">
        <v>45953</v>
      </c>
      <c r="B1619" s="5" t="s">
        <v>172</v>
      </c>
      <c r="C1619" t="s">
        <v>173</v>
      </c>
      <c r="D1619" t="s">
        <v>27</v>
      </c>
      <c r="E1619" t="s">
        <v>21</v>
      </c>
      <c r="F1619">
        <v>500</v>
      </c>
      <c r="G1619">
        <v>171</v>
      </c>
      <c r="H1619">
        <v>111</v>
      </c>
      <c r="I1619">
        <f>Inventory_Data[[#This Row],[Opening_Stock]]+Inventory_Data[[#This Row],[Units_Received]]-Inventory_Data[[#This Row],[Units_Sold]]</f>
        <v>560</v>
      </c>
      <c r="J1619">
        <v>0</v>
      </c>
      <c r="K1619">
        <v>6</v>
      </c>
      <c r="L1619" t="s">
        <v>80</v>
      </c>
      <c r="M1619" s="3">
        <v>24.26</v>
      </c>
      <c r="N1619" s="3">
        <v>36.270000000000003</v>
      </c>
      <c r="O1619" s="10" t="str">
        <f>TEXT(Inventory_Data[[#This Row],[Date]],"mmm")</f>
        <v>Oct</v>
      </c>
    </row>
    <row r="1620" spans="1:15" x14ac:dyDescent="0.2">
      <c r="A1620" s="21">
        <v>45953</v>
      </c>
      <c r="B1620" s="5" t="s">
        <v>160</v>
      </c>
      <c r="C1620" t="s">
        <v>161</v>
      </c>
      <c r="D1620" t="s">
        <v>27</v>
      </c>
      <c r="E1620" t="s">
        <v>21</v>
      </c>
      <c r="F1620">
        <v>423</v>
      </c>
      <c r="G1620">
        <v>188</v>
      </c>
      <c r="H1620">
        <v>90</v>
      </c>
      <c r="I1620">
        <f>Inventory_Data[[#This Row],[Opening_Stock]]+Inventory_Data[[#This Row],[Units_Received]]-Inventory_Data[[#This Row],[Units_Sold]]</f>
        <v>521</v>
      </c>
      <c r="J1620">
        <v>0</v>
      </c>
      <c r="K1620">
        <v>1</v>
      </c>
      <c r="L1620" t="s">
        <v>29</v>
      </c>
      <c r="M1620" s="3">
        <v>9.4600000000000009</v>
      </c>
      <c r="N1620" s="3">
        <v>11.3</v>
      </c>
      <c r="O1620" s="10" t="str">
        <f>TEXT(Inventory_Data[[#This Row],[Date]],"mmm")</f>
        <v>Oct</v>
      </c>
    </row>
    <row r="1621" spans="1:15" x14ac:dyDescent="0.2">
      <c r="A1621" s="21">
        <v>45953</v>
      </c>
      <c r="B1621" s="5" t="s">
        <v>67</v>
      </c>
      <c r="C1621" t="s">
        <v>68</v>
      </c>
      <c r="D1621" t="s">
        <v>52</v>
      </c>
      <c r="E1621" t="s">
        <v>17</v>
      </c>
      <c r="F1621">
        <v>10</v>
      </c>
      <c r="G1621">
        <v>14</v>
      </c>
      <c r="H1621">
        <v>19</v>
      </c>
      <c r="I1621">
        <f>Inventory_Data[[#This Row],[Opening_Stock]]+Inventory_Data[[#This Row],[Units_Received]]-Inventory_Data[[#This Row],[Units_Sold]]</f>
        <v>5</v>
      </c>
      <c r="J1621">
        <v>0</v>
      </c>
      <c r="K1621">
        <v>9</v>
      </c>
      <c r="L1621" t="s">
        <v>83</v>
      </c>
      <c r="M1621" s="3">
        <v>59.24</v>
      </c>
      <c r="N1621" s="3">
        <v>68.97</v>
      </c>
      <c r="O1621" s="10" t="str">
        <f>TEXT(Inventory_Data[[#This Row],[Date]],"mmm")</f>
        <v>Oct</v>
      </c>
    </row>
    <row r="1622" spans="1:15" x14ac:dyDescent="0.2">
      <c r="A1622" s="21">
        <v>45953</v>
      </c>
      <c r="B1622" s="5" t="s">
        <v>118</v>
      </c>
      <c r="C1622" t="s">
        <v>119</v>
      </c>
      <c r="D1622" t="s">
        <v>34</v>
      </c>
      <c r="E1622" t="s">
        <v>35</v>
      </c>
      <c r="F1622">
        <v>81</v>
      </c>
      <c r="G1622">
        <v>134</v>
      </c>
      <c r="H1622">
        <v>102</v>
      </c>
      <c r="I1622">
        <f>Inventory_Data[[#This Row],[Opening_Stock]]+Inventory_Data[[#This Row],[Units_Received]]-Inventory_Data[[#This Row],[Units_Sold]]</f>
        <v>113</v>
      </c>
      <c r="J1622">
        <v>0</v>
      </c>
      <c r="K1622">
        <v>10</v>
      </c>
      <c r="L1622" t="s">
        <v>39</v>
      </c>
      <c r="M1622" s="3">
        <v>11.77</v>
      </c>
      <c r="N1622" s="3">
        <v>15.9</v>
      </c>
      <c r="O1622" s="10" t="str">
        <f>TEXT(Inventory_Data[[#This Row],[Date]],"mmm")</f>
        <v>Oct</v>
      </c>
    </row>
    <row r="1623" spans="1:15" x14ac:dyDescent="0.2">
      <c r="A1623" s="21">
        <v>45954</v>
      </c>
      <c r="B1623" s="5" t="s">
        <v>186</v>
      </c>
      <c r="C1623" t="s">
        <v>187</v>
      </c>
      <c r="D1623" t="s">
        <v>27</v>
      </c>
      <c r="E1623" t="s">
        <v>21</v>
      </c>
      <c r="F1623">
        <v>335</v>
      </c>
      <c r="G1623">
        <v>246</v>
      </c>
      <c r="H1623">
        <v>120</v>
      </c>
      <c r="I1623">
        <f>Inventory_Data[[#This Row],[Opening_Stock]]+Inventory_Data[[#This Row],[Units_Received]]-Inventory_Data[[#This Row],[Units_Sold]]</f>
        <v>461</v>
      </c>
      <c r="J1623">
        <v>0</v>
      </c>
      <c r="K1623">
        <v>5</v>
      </c>
      <c r="L1623" t="s">
        <v>29</v>
      </c>
      <c r="M1623" s="3">
        <v>17.7</v>
      </c>
      <c r="N1623" s="3">
        <v>26.36</v>
      </c>
      <c r="O1623" s="10" t="str">
        <f>TEXT(Inventory_Data[[#This Row],[Date]],"mmm")</f>
        <v>Oct</v>
      </c>
    </row>
    <row r="1624" spans="1:15" x14ac:dyDescent="0.2">
      <c r="A1624" s="21">
        <v>45954</v>
      </c>
      <c r="B1624" s="5" t="s">
        <v>126</v>
      </c>
      <c r="C1624" t="s">
        <v>127</v>
      </c>
      <c r="D1624" t="s">
        <v>34</v>
      </c>
      <c r="E1624" t="s">
        <v>17</v>
      </c>
      <c r="F1624">
        <v>215</v>
      </c>
      <c r="G1624">
        <v>187</v>
      </c>
      <c r="H1624">
        <v>51</v>
      </c>
      <c r="I1624">
        <f>Inventory_Data[[#This Row],[Opening_Stock]]+Inventory_Data[[#This Row],[Units_Received]]-Inventory_Data[[#This Row],[Units_Sold]]</f>
        <v>351</v>
      </c>
      <c r="J1624">
        <v>0</v>
      </c>
      <c r="K1624">
        <v>8</v>
      </c>
      <c r="L1624" t="s">
        <v>39</v>
      </c>
      <c r="M1624" s="3">
        <v>4.05</v>
      </c>
      <c r="N1624" s="3">
        <v>5.77</v>
      </c>
      <c r="O1624" s="10" t="str">
        <f>TEXT(Inventory_Data[[#This Row],[Date]],"mmm")</f>
        <v>Oct</v>
      </c>
    </row>
    <row r="1625" spans="1:15" x14ac:dyDescent="0.2">
      <c r="A1625" s="21">
        <v>45955</v>
      </c>
      <c r="B1625" s="5" t="s">
        <v>114</v>
      </c>
      <c r="C1625" t="s">
        <v>115</v>
      </c>
      <c r="D1625" t="s">
        <v>27</v>
      </c>
      <c r="E1625" t="s">
        <v>17</v>
      </c>
      <c r="F1625">
        <v>465</v>
      </c>
      <c r="G1625">
        <v>55</v>
      </c>
      <c r="H1625">
        <v>156</v>
      </c>
      <c r="I1625">
        <f>Inventory_Data[[#This Row],[Opening_Stock]]+Inventory_Data[[#This Row],[Units_Received]]-Inventory_Data[[#This Row],[Units_Sold]]</f>
        <v>364</v>
      </c>
      <c r="J1625">
        <v>0</v>
      </c>
      <c r="K1625">
        <v>1</v>
      </c>
      <c r="L1625" t="s">
        <v>29</v>
      </c>
      <c r="M1625" s="3">
        <v>22</v>
      </c>
      <c r="N1625" s="3">
        <v>31.73</v>
      </c>
      <c r="O1625" s="10" t="str">
        <f>TEXT(Inventory_Data[[#This Row],[Date]],"mmm")</f>
        <v>Oct</v>
      </c>
    </row>
    <row r="1626" spans="1:15" x14ac:dyDescent="0.2">
      <c r="A1626" s="21">
        <v>45955</v>
      </c>
      <c r="B1626" s="5" t="s">
        <v>180</v>
      </c>
      <c r="C1626" t="s">
        <v>181</v>
      </c>
      <c r="D1626" t="s">
        <v>34</v>
      </c>
      <c r="E1626" t="s">
        <v>21</v>
      </c>
      <c r="F1626">
        <v>172</v>
      </c>
      <c r="G1626">
        <v>114</v>
      </c>
      <c r="H1626">
        <v>67</v>
      </c>
      <c r="I1626">
        <f>Inventory_Data[[#This Row],[Opening_Stock]]+Inventory_Data[[#This Row],[Units_Received]]-Inventory_Data[[#This Row],[Units_Sold]]</f>
        <v>219</v>
      </c>
      <c r="J1626">
        <v>0</v>
      </c>
      <c r="K1626">
        <v>3</v>
      </c>
      <c r="L1626" t="s">
        <v>42</v>
      </c>
      <c r="M1626" s="3">
        <v>25.43</v>
      </c>
      <c r="N1626" s="3">
        <v>33.979999999999997</v>
      </c>
      <c r="O1626" s="10" t="str">
        <f>TEXT(Inventory_Data[[#This Row],[Date]],"mmm")</f>
        <v>Oct</v>
      </c>
    </row>
    <row r="1627" spans="1:15" x14ac:dyDescent="0.2">
      <c r="A1627" s="21">
        <v>45956</v>
      </c>
      <c r="B1627" s="5" t="s">
        <v>170</v>
      </c>
      <c r="C1627" t="s">
        <v>171</v>
      </c>
      <c r="D1627" t="s">
        <v>48</v>
      </c>
      <c r="E1627" t="s">
        <v>28</v>
      </c>
      <c r="F1627">
        <v>295</v>
      </c>
      <c r="G1627">
        <v>121</v>
      </c>
      <c r="H1627">
        <v>115</v>
      </c>
      <c r="I1627">
        <f>Inventory_Data[[#This Row],[Opening_Stock]]+Inventory_Data[[#This Row],[Units_Received]]-Inventory_Data[[#This Row],[Units_Sold]]</f>
        <v>301</v>
      </c>
      <c r="J1627">
        <v>0</v>
      </c>
      <c r="K1627">
        <v>14</v>
      </c>
      <c r="L1627" t="s">
        <v>49</v>
      </c>
      <c r="M1627" s="3">
        <v>49.95</v>
      </c>
      <c r="N1627" s="3">
        <v>60.62</v>
      </c>
      <c r="O1627" s="10" t="str">
        <f>TEXT(Inventory_Data[[#This Row],[Date]],"mmm")</f>
        <v>Oct</v>
      </c>
    </row>
    <row r="1628" spans="1:15" x14ac:dyDescent="0.2">
      <c r="A1628" s="21">
        <v>45956</v>
      </c>
      <c r="B1628" s="5" t="s">
        <v>158</v>
      </c>
      <c r="C1628" t="s">
        <v>159</v>
      </c>
      <c r="D1628" t="s">
        <v>52</v>
      </c>
      <c r="E1628" t="s">
        <v>35</v>
      </c>
      <c r="F1628">
        <v>41</v>
      </c>
      <c r="G1628">
        <v>15</v>
      </c>
      <c r="H1628">
        <v>20</v>
      </c>
      <c r="I1628">
        <f>Inventory_Data[[#This Row],[Opening_Stock]]+Inventory_Data[[#This Row],[Units_Received]]-Inventory_Data[[#This Row],[Units_Sold]]</f>
        <v>36</v>
      </c>
      <c r="J1628">
        <v>0</v>
      </c>
      <c r="K1628">
        <v>8</v>
      </c>
      <c r="L1628" t="s">
        <v>53</v>
      </c>
      <c r="M1628" s="3">
        <v>164.62</v>
      </c>
      <c r="N1628" s="3">
        <v>238.08</v>
      </c>
      <c r="O1628" s="10" t="str">
        <f>TEXT(Inventory_Data[[#This Row],[Date]],"mmm")</f>
        <v>Oct</v>
      </c>
    </row>
    <row r="1629" spans="1:15" x14ac:dyDescent="0.2">
      <c r="A1629" s="21">
        <v>45957</v>
      </c>
      <c r="B1629" s="5" t="s">
        <v>184</v>
      </c>
      <c r="C1629" t="s">
        <v>185</v>
      </c>
      <c r="D1629" t="s">
        <v>16</v>
      </c>
      <c r="E1629" t="s">
        <v>21</v>
      </c>
      <c r="F1629">
        <v>32</v>
      </c>
      <c r="G1629">
        <v>33</v>
      </c>
      <c r="H1629">
        <v>15</v>
      </c>
      <c r="I1629">
        <f>Inventory_Data[[#This Row],[Opening_Stock]]+Inventory_Data[[#This Row],[Units_Received]]-Inventory_Data[[#This Row],[Units_Sold]]</f>
        <v>50</v>
      </c>
      <c r="J1629">
        <v>0</v>
      </c>
      <c r="K1629">
        <v>5</v>
      </c>
      <c r="L1629" t="s">
        <v>18</v>
      </c>
      <c r="M1629" s="3">
        <v>61.07</v>
      </c>
      <c r="N1629" s="3">
        <v>75</v>
      </c>
      <c r="O1629" s="10" t="str">
        <f>TEXT(Inventory_Data[[#This Row],[Date]],"mmm")</f>
        <v>Oct</v>
      </c>
    </row>
    <row r="1630" spans="1:15" x14ac:dyDescent="0.2">
      <c r="A1630" s="21">
        <v>45957</v>
      </c>
      <c r="B1630" s="5" t="s">
        <v>86</v>
      </c>
      <c r="C1630" t="s">
        <v>87</v>
      </c>
      <c r="D1630" t="s">
        <v>48</v>
      </c>
      <c r="E1630" t="s">
        <v>17</v>
      </c>
      <c r="F1630">
        <v>73</v>
      </c>
      <c r="G1630">
        <v>54</v>
      </c>
      <c r="H1630">
        <v>127</v>
      </c>
      <c r="I1630">
        <f>Inventory_Data[[#This Row],[Opening_Stock]]+Inventory_Data[[#This Row],[Units_Received]]-Inventory_Data[[#This Row],[Units_Sold]]</f>
        <v>0</v>
      </c>
      <c r="J1630">
        <v>1</v>
      </c>
      <c r="K1630">
        <v>11</v>
      </c>
      <c r="L1630" t="s">
        <v>49</v>
      </c>
      <c r="M1630" s="3">
        <v>88.74</v>
      </c>
      <c r="N1630" s="3">
        <v>125.71</v>
      </c>
      <c r="O1630" s="10" t="str">
        <f>TEXT(Inventory_Data[[#This Row],[Date]],"mmm")</f>
        <v>Oct</v>
      </c>
    </row>
    <row r="1631" spans="1:15" x14ac:dyDescent="0.2">
      <c r="A1631" s="21">
        <v>45957</v>
      </c>
      <c r="B1631" s="5" t="s">
        <v>136</v>
      </c>
      <c r="C1631" t="s">
        <v>137</v>
      </c>
      <c r="D1631" t="s">
        <v>27</v>
      </c>
      <c r="E1631" t="s">
        <v>21</v>
      </c>
      <c r="F1631">
        <v>443</v>
      </c>
      <c r="G1631">
        <v>150</v>
      </c>
      <c r="H1631">
        <v>167</v>
      </c>
      <c r="I1631">
        <f>Inventory_Data[[#This Row],[Opening_Stock]]+Inventory_Data[[#This Row],[Units_Received]]-Inventory_Data[[#This Row],[Units_Sold]]</f>
        <v>426</v>
      </c>
      <c r="J1631">
        <v>0</v>
      </c>
      <c r="K1631">
        <v>3</v>
      </c>
      <c r="L1631" t="s">
        <v>29</v>
      </c>
      <c r="M1631" s="3">
        <v>16.82</v>
      </c>
      <c r="N1631" s="3">
        <v>23.72</v>
      </c>
      <c r="O1631" s="10" t="str">
        <f>TEXT(Inventory_Data[[#This Row],[Date]],"mmm")</f>
        <v>Oct</v>
      </c>
    </row>
    <row r="1632" spans="1:15" x14ac:dyDescent="0.2">
      <c r="A1632" s="21">
        <v>45958</v>
      </c>
      <c r="B1632" s="5" t="s">
        <v>162</v>
      </c>
      <c r="C1632" t="s">
        <v>163</v>
      </c>
      <c r="D1632" t="s">
        <v>16</v>
      </c>
      <c r="E1632" t="s">
        <v>35</v>
      </c>
      <c r="F1632">
        <v>136</v>
      </c>
      <c r="G1632">
        <v>26</v>
      </c>
      <c r="H1632">
        <v>32</v>
      </c>
      <c r="I1632">
        <f>Inventory_Data[[#This Row],[Opening_Stock]]+Inventory_Data[[#This Row],[Units_Received]]-Inventory_Data[[#This Row],[Units_Sold]]</f>
        <v>130</v>
      </c>
      <c r="J1632">
        <v>0</v>
      </c>
      <c r="K1632">
        <v>10</v>
      </c>
      <c r="L1632" t="s">
        <v>18</v>
      </c>
      <c r="M1632" s="3">
        <v>52.46</v>
      </c>
      <c r="N1632" s="3">
        <v>67.02</v>
      </c>
      <c r="O1632" s="10" t="str">
        <f>TEXT(Inventory_Data[[#This Row],[Date]],"mmm")</f>
        <v>Oct</v>
      </c>
    </row>
    <row r="1633" spans="1:15" x14ac:dyDescent="0.2">
      <c r="A1633" s="21">
        <v>45958</v>
      </c>
      <c r="B1633" s="5" t="s">
        <v>162</v>
      </c>
      <c r="C1633" t="s">
        <v>163</v>
      </c>
      <c r="D1633" t="s">
        <v>16</v>
      </c>
      <c r="E1633" t="s">
        <v>17</v>
      </c>
      <c r="F1633">
        <v>92</v>
      </c>
      <c r="G1633">
        <v>86</v>
      </c>
      <c r="H1633">
        <v>33</v>
      </c>
      <c r="I1633">
        <f>Inventory_Data[[#This Row],[Opening_Stock]]+Inventory_Data[[#This Row],[Units_Received]]-Inventory_Data[[#This Row],[Units_Sold]]</f>
        <v>145</v>
      </c>
      <c r="J1633">
        <v>0</v>
      </c>
      <c r="K1633">
        <v>4</v>
      </c>
      <c r="L1633" t="s">
        <v>24</v>
      </c>
      <c r="M1633" s="3">
        <v>68.38</v>
      </c>
      <c r="N1633" s="3">
        <v>101.57</v>
      </c>
      <c r="O1633" s="10" t="str">
        <f>TEXT(Inventory_Data[[#This Row],[Date]],"mmm")</f>
        <v>Oct</v>
      </c>
    </row>
    <row r="1634" spans="1:15" x14ac:dyDescent="0.2">
      <c r="A1634" s="21">
        <v>45958</v>
      </c>
      <c r="B1634" s="5" t="s">
        <v>73</v>
      </c>
      <c r="C1634" t="s">
        <v>74</v>
      </c>
      <c r="D1634" t="s">
        <v>16</v>
      </c>
      <c r="E1634" t="s">
        <v>17</v>
      </c>
      <c r="F1634">
        <v>119</v>
      </c>
      <c r="G1634">
        <v>72</v>
      </c>
      <c r="H1634">
        <v>53</v>
      </c>
      <c r="I1634">
        <f>Inventory_Data[[#This Row],[Opening_Stock]]+Inventory_Data[[#This Row],[Units_Received]]-Inventory_Data[[#This Row],[Units_Sold]]</f>
        <v>138</v>
      </c>
      <c r="J1634">
        <v>0</v>
      </c>
      <c r="K1634">
        <v>4</v>
      </c>
      <c r="L1634" t="s">
        <v>18</v>
      </c>
      <c r="M1634" s="3">
        <v>76.63</v>
      </c>
      <c r="N1634" s="3">
        <v>105.84</v>
      </c>
      <c r="O1634" s="10" t="str">
        <f>TEXT(Inventory_Data[[#This Row],[Date]],"mmm")</f>
        <v>Oct</v>
      </c>
    </row>
    <row r="1635" spans="1:15" x14ac:dyDescent="0.2">
      <c r="A1635" s="21">
        <v>45958</v>
      </c>
      <c r="B1635" s="5" t="s">
        <v>164</v>
      </c>
      <c r="C1635" t="s">
        <v>165</v>
      </c>
      <c r="D1635" t="s">
        <v>48</v>
      </c>
      <c r="E1635" t="s">
        <v>21</v>
      </c>
      <c r="F1635">
        <v>275</v>
      </c>
      <c r="G1635">
        <v>95</v>
      </c>
      <c r="H1635">
        <v>101</v>
      </c>
      <c r="I1635">
        <f>Inventory_Data[[#This Row],[Opening_Stock]]+Inventory_Data[[#This Row],[Units_Received]]-Inventory_Data[[#This Row],[Units_Sold]]</f>
        <v>269</v>
      </c>
      <c r="J1635">
        <v>0</v>
      </c>
      <c r="K1635">
        <v>10</v>
      </c>
      <c r="L1635" t="s">
        <v>63</v>
      </c>
      <c r="M1635" s="3">
        <v>75.930000000000007</v>
      </c>
      <c r="N1635" s="3">
        <v>97.13</v>
      </c>
      <c r="O1635" s="10" t="str">
        <f>TEXT(Inventory_Data[[#This Row],[Date]],"mmm")</f>
        <v>Oct</v>
      </c>
    </row>
    <row r="1636" spans="1:15" x14ac:dyDescent="0.2">
      <c r="A1636" s="21">
        <v>45958</v>
      </c>
      <c r="B1636" s="5" t="s">
        <v>46</v>
      </c>
      <c r="C1636" t="s">
        <v>47</v>
      </c>
      <c r="D1636" t="s">
        <v>48</v>
      </c>
      <c r="E1636" t="s">
        <v>21</v>
      </c>
      <c r="F1636">
        <v>88</v>
      </c>
      <c r="G1636">
        <v>72</v>
      </c>
      <c r="H1636">
        <v>49</v>
      </c>
      <c r="I1636">
        <f>Inventory_Data[[#This Row],[Opening_Stock]]+Inventory_Data[[#This Row],[Units_Received]]-Inventory_Data[[#This Row],[Units_Sold]]</f>
        <v>111</v>
      </c>
      <c r="J1636">
        <v>0</v>
      </c>
      <c r="K1636">
        <v>12</v>
      </c>
      <c r="L1636" t="s">
        <v>77</v>
      </c>
      <c r="M1636" s="3">
        <v>43.02</v>
      </c>
      <c r="N1636" s="3">
        <v>59.02</v>
      </c>
      <c r="O1636" s="10" t="str">
        <f>TEXT(Inventory_Data[[#This Row],[Date]],"mmm")</f>
        <v>Oct</v>
      </c>
    </row>
    <row r="1637" spans="1:15" x14ac:dyDescent="0.2">
      <c r="A1637" s="21">
        <v>45958</v>
      </c>
      <c r="B1637" s="5" t="s">
        <v>122</v>
      </c>
      <c r="C1637" t="s">
        <v>123</v>
      </c>
      <c r="D1637" t="s">
        <v>27</v>
      </c>
      <c r="E1637" t="s">
        <v>21</v>
      </c>
      <c r="F1637">
        <v>165</v>
      </c>
      <c r="G1637">
        <v>189</v>
      </c>
      <c r="H1637">
        <v>108</v>
      </c>
      <c r="I1637">
        <f>Inventory_Data[[#This Row],[Opening_Stock]]+Inventory_Data[[#This Row],[Units_Received]]-Inventory_Data[[#This Row],[Units_Sold]]</f>
        <v>246</v>
      </c>
      <c r="J1637">
        <v>0</v>
      </c>
      <c r="K1637">
        <v>6</v>
      </c>
      <c r="L1637" t="s">
        <v>29</v>
      </c>
      <c r="M1637" s="3">
        <v>14.41</v>
      </c>
      <c r="N1637" s="3">
        <v>20.77</v>
      </c>
      <c r="O1637" s="10" t="str">
        <f>TEXT(Inventory_Data[[#This Row],[Date]],"mmm")</f>
        <v>Oct</v>
      </c>
    </row>
    <row r="1638" spans="1:15" x14ac:dyDescent="0.2">
      <c r="A1638" s="21">
        <v>45958</v>
      </c>
      <c r="B1638" s="5" t="s">
        <v>186</v>
      </c>
      <c r="C1638" t="s">
        <v>187</v>
      </c>
      <c r="D1638" t="s">
        <v>27</v>
      </c>
      <c r="E1638" t="s">
        <v>21</v>
      </c>
      <c r="F1638">
        <v>102</v>
      </c>
      <c r="G1638">
        <v>238</v>
      </c>
      <c r="H1638">
        <v>92</v>
      </c>
      <c r="I1638">
        <f>Inventory_Data[[#This Row],[Opening_Stock]]+Inventory_Data[[#This Row],[Units_Received]]-Inventory_Data[[#This Row],[Units_Sold]]</f>
        <v>248</v>
      </c>
      <c r="J1638">
        <v>0</v>
      </c>
      <c r="K1638">
        <v>3</v>
      </c>
      <c r="L1638" t="s">
        <v>29</v>
      </c>
      <c r="M1638" s="3">
        <v>18.739999999999998</v>
      </c>
      <c r="N1638" s="3">
        <v>22.1</v>
      </c>
      <c r="O1638" s="10" t="str">
        <f>TEXT(Inventory_Data[[#This Row],[Date]],"mmm")</f>
        <v>Oct</v>
      </c>
    </row>
    <row r="1639" spans="1:15" x14ac:dyDescent="0.2">
      <c r="A1639" s="21">
        <v>45958</v>
      </c>
      <c r="B1639" s="5" t="s">
        <v>186</v>
      </c>
      <c r="C1639" t="s">
        <v>187</v>
      </c>
      <c r="D1639" t="s">
        <v>27</v>
      </c>
      <c r="E1639" t="s">
        <v>28</v>
      </c>
      <c r="F1639">
        <v>192</v>
      </c>
      <c r="G1639">
        <v>69</v>
      </c>
      <c r="H1639">
        <v>147</v>
      </c>
      <c r="I1639">
        <f>Inventory_Data[[#This Row],[Opening_Stock]]+Inventory_Data[[#This Row],[Units_Received]]-Inventory_Data[[#This Row],[Units_Sold]]</f>
        <v>114</v>
      </c>
      <c r="J1639">
        <v>0</v>
      </c>
      <c r="K1639">
        <v>6</v>
      </c>
      <c r="L1639" t="s">
        <v>66</v>
      </c>
      <c r="M1639" s="3">
        <v>2.4700000000000002</v>
      </c>
      <c r="N1639" s="3">
        <v>3.5</v>
      </c>
      <c r="O1639" s="10" t="str">
        <f>TEXT(Inventory_Data[[#This Row],[Date]],"mmm")</f>
        <v>Oct</v>
      </c>
    </row>
    <row r="1640" spans="1:15" x14ac:dyDescent="0.2">
      <c r="A1640" s="21">
        <v>45959</v>
      </c>
      <c r="B1640" s="5" t="s">
        <v>166</v>
      </c>
      <c r="C1640" t="s">
        <v>167</v>
      </c>
      <c r="D1640" t="s">
        <v>16</v>
      </c>
      <c r="E1640" t="s">
        <v>17</v>
      </c>
      <c r="F1640">
        <v>73</v>
      </c>
      <c r="G1640">
        <v>13</v>
      </c>
      <c r="H1640">
        <v>13</v>
      </c>
      <c r="I1640">
        <f>Inventory_Data[[#This Row],[Opening_Stock]]+Inventory_Data[[#This Row],[Units_Received]]-Inventory_Data[[#This Row],[Units_Sold]]</f>
        <v>73</v>
      </c>
      <c r="J1640">
        <v>0</v>
      </c>
      <c r="K1640">
        <v>6</v>
      </c>
      <c r="L1640" t="s">
        <v>45</v>
      </c>
      <c r="M1640" s="3">
        <v>81.97</v>
      </c>
      <c r="N1640" s="3">
        <v>108.6</v>
      </c>
      <c r="O1640" s="10" t="str">
        <f>TEXT(Inventory_Data[[#This Row],[Date]],"mmm")</f>
        <v>Oct</v>
      </c>
    </row>
    <row r="1641" spans="1:15" x14ac:dyDescent="0.2">
      <c r="A1641" s="21">
        <v>45959</v>
      </c>
      <c r="B1641" s="5" t="s">
        <v>162</v>
      </c>
      <c r="C1641" t="s">
        <v>163</v>
      </c>
      <c r="D1641" t="s">
        <v>16</v>
      </c>
      <c r="E1641" t="s">
        <v>35</v>
      </c>
      <c r="F1641">
        <v>124</v>
      </c>
      <c r="G1641">
        <v>76</v>
      </c>
      <c r="H1641">
        <v>14</v>
      </c>
      <c r="I1641">
        <f>Inventory_Data[[#This Row],[Opening_Stock]]+Inventory_Data[[#This Row],[Units_Received]]-Inventory_Data[[#This Row],[Units_Sold]]</f>
        <v>186</v>
      </c>
      <c r="J1641">
        <v>0</v>
      </c>
      <c r="K1641">
        <v>2</v>
      </c>
      <c r="L1641" t="s">
        <v>18</v>
      </c>
      <c r="M1641" s="3">
        <v>183.27</v>
      </c>
      <c r="N1641" s="3">
        <v>228.09</v>
      </c>
      <c r="O1641" s="10" t="str">
        <f>TEXT(Inventory_Data[[#This Row],[Date]],"mmm")</f>
        <v>Oct</v>
      </c>
    </row>
    <row r="1642" spans="1:15" x14ac:dyDescent="0.2">
      <c r="A1642" s="21">
        <v>45959</v>
      </c>
      <c r="B1642" s="5" t="s">
        <v>172</v>
      </c>
      <c r="C1642" t="s">
        <v>173</v>
      </c>
      <c r="D1642" t="s">
        <v>27</v>
      </c>
      <c r="E1642" t="s">
        <v>28</v>
      </c>
      <c r="F1642">
        <v>490</v>
      </c>
      <c r="G1642">
        <v>66</v>
      </c>
      <c r="H1642">
        <v>98</v>
      </c>
      <c r="I1642">
        <f>Inventory_Data[[#This Row],[Opening_Stock]]+Inventory_Data[[#This Row],[Units_Received]]-Inventory_Data[[#This Row],[Units_Sold]]</f>
        <v>458</v>
      </c>
      <c r="J1642">
        <v>0</v>
      </c>
      <c r="K1642">
        <v>7</v>
      </c>
      <c r="L1642" t="s">
        <v>66</v>
      </c>
      <c r="M1642" s="3">
        <v>19.28</v>
      </c>
      <c r="N1642" s="3">
        <v>23.19</v>
      </c>
      <c r="O1642" s="10" t="str">
        <f>TEXT(Inventory_Data[[#This Row],[Date]],"mmm")</f>
        <v>Oct</v>
      </c>
    </row>
    <row r="1643" spans="1:15" x14ac:dyDescent="0.2">
      <c r="A1643" s="21">
        <v>45959</v>
      </c>
      <c r="B1643" s="5" t="s">
        <v>114</v>
      </c>
      <c r="C1643" t="s">
        <v>115</v>
      </c>
      <c r="D1643" t="s">
        <v>27</v>
      </c>
      <c r="E1643" t="s">
        <v>21</v>
      </c>
      <c r="F1643">
        <v>95</v>
      </c>
      <c r="G1643">
        <v>61</v>
      </c>
      <c r="H1643">
        <v>76</v>
      </c>
      <c r="I1643">
        <f>Inventory_Data[[#This Row],[Opening_Stock]]+Inventory_Data[[#This Row],[Units_Received]]-Inventory_Data[[#This Row],[Units_Sold]]</f>
        <v>80</v>
      </c>
      <c r="J1643">
        <v>0</v>
      </c>
      <c r="K1643">
        <v>6</v>
      </c>
      <c r="L1643" t="s">
        <v>80</v>
      </c>
      <c r="M1643" s="3">
        <v>5.96</v>
      </c>
      <c r="N1643" s="3">
        <v>8.65</v>
      </c>
      <c r="O1643" s="10" t="str">
        <f>TEXT(Inventory_Data[[#This Row],[Date]],"mmm")</f>
        <v>Oct</v>
      </c>
    </row>
    <row r="1644" spans="1:15" x14ac:dyDescent="0.2">
      <c r="A1644" s="21">
        <v>45959</v>
      </c>
      <c r="B1644" s="5" t="s">
        <v>148</v>
      </c>
      <c r="C1644" t="s">
        <v>149</v>
      </c>
      <c r="D1644" t="s">
        <v>27</v>
      </c>
      <c r="E1644" t="s">
        <v>28</v>
      </c>
      <c r="F1644">
        <v>388</v>
      </c>
      <c r="G1644">
        <v>167</v>
      </c>
      <c r="H1644">
        <v>198</v>
      </c>
      <c r="I1644">
        <f>Inventory_Data[[#This Row],[Opening_Stock]]+Inventory_Data[[#This Row],[Units_Received]]-Inventory_Data[[#This Row],[Units_Sold]]</f>
        <v>357</v>
      </c>
      <c r="J1644">
        <v>0</v>
      </c>
      <c r="K1644">
        <v>4</v>
      </c>
      <c r="L1644" t="s">
        <v>66</v>
      </c>
      <c r="M1644" s="3">
        <v>17.07</v>
      </c>
      <c r="N1644" s="3">
        <v>19.690000000000001</v>
      </c>
      <c r="O1644" s="10" t="str">
        <f>TEXT(Inventory_Data[[#This Row],[Date]],"mmm")</f>
        <v>Oct</v>
      </c>
    </row>
    <row r="1645" spans="1:15" x14ac:dyDescent="0.2">
      <c r="A1645" s="21">
        <v>45959</v>
      </c>
      <c r="B1645" s="5" t="s">
        <v>67</v>
      </c>
      <c r="C1645" t="s">
        <v>68</v>
      </c>
      <c r="D1645" t="s">
        <v>52</v>
      </c>
      <c r="E1645" t="s">
        <v>28</v>
      </c>
      <c r="F1645">
        <v>38</v>
      </c>
      <c r="G1645">
        <v>20</v>
      </c>
      <c r="H1645">
        <v>4</v>
      </c>
      <c r="I1645">
        <f>Inventory_Data[[#This Row],[Opening_Stock]]+Inventory_Data[[#This Row],[Units_Received]]-Inventory_Data[[#This Row],[Units_Sold]]</f>
        <v>54</v>
      </c>
      <c r="J1645">
        <v>0</v>
      </c>
      <c r="K1645">
        <v>8</v>
      </c>
      <c r="L1645" t="s">
        <v>53</v>
      </c>
      <c r="M1645" s="3">
        <v>228.11</v>
      </c>
      <c r="N1645" s="3">
        <v>271.14</v>
      </c>
      <c r="O1645" s="10" t="str">
        <f>TEXT(Inventory_Data[[#This Row],[Date]],"mmm")</f>
        <v>Oct</v>
      </c>
    </row>
    <row r="1646" spans="1:15" x14ac:dyDescent="0.2">
      <c r="A1646" s="21">
        <v>45959</v>
      </c>
      <c r="B1646" s="5" t="s">
        <v>40</v>
      </c>
      <c r="C1646" t="s">
        <v>41</v>
      </c>
      <c r="D1646" t="s">
        <v>34</v>
      </c>
      <c r="E1646" t="s">
        <v>17</v>
      </c>
      <c r="F1646">
        <v>159</v>
      </c>
      <c r="G1646">
        <v>88</v>
      </c>
      <c r="H1646">
        <v>16</v>
      </c>
      <c r="I1646">
        <f>Inventory_Data[[#This Row],[Opening_Stock]]+Inventory_Data[[#This Row],[Units_Received]]-Inventory_Data[[#This Row],[Units_Sold]]</f>
        <v>231</v>
      </c>
      <c r="J1646">
        <v>0</v>
      </c>
      <c r="K1646">
        <v>14</v>
      </c>
      <c r="L1646" t="s">
        <v>36</v>
      </c>
      <c r="M1646" s="3">
        <v>6.05</v>
      </c>
      <c r="N1646" s="3">
        <v>7.24</v>
      </c>
      <c r="O1646" s="10" t="str">
        <f>TEXT(Inventory_Data[[#This Row],[Date]],"mmm")</f>
        <v>Oct</v>
      </c>
    </row>
    <row r="1647" spans="1:15" x14ac:dyDescent="0.2">
      <c r="A1647" s="21">
        <v>45960</v>
      </c>
      <c r="B1647" s="5" t="s">
        <v>106</v>
      </c>
      <c r="C1647" t="s">
        <v>107</v>
      </c>
      <c r="D1647" t="s">
        <v>16</v>
      </c>
      <c r="E1647" t="s">
        <v>17</v>
      </c>
      <c r="F1647">
        <v>121</v>
      </c>
      <c r="G1647">
        <v>90</v>
      </c>
      <c r="H1647">
        <v>48</v>
      </c>
      <c r="I1647">
        <f>Inventory_Data[[#This Row],[Opening_Stock]]+Inventory_Data[[#This Row],[Units_Received]]-Inventory_Data[[#This Row],[Units_Sold]]</f>
        <v>163</v>
      </c>
      <c r="J1647">
        <v>0</v>
      </c>
      <c r="K1647">
        <v>5</v>
      </c>
      <c r="L1647" t="s">
        <v>18</v>
      </c>
      <c r="M1647" s="3">
        <v>170.69</v>
      </c>
      <c r="N1647" s="3">
        <v>256.79000000000002</v>
      </c>
      <c r="O1647" s="10" t="str">
        <f>TEXT(Inventory_Data[[#This Row],[Date]],"mmm")</f>
        <v>Oct</v>
      </c>
    </row>
    <row r="1648" spans="1:15" x14ac:dyDescent="0.2">
      <c r="A1648" s="21">
        <v>45960</v>
      </c>
      <c r="B1648" s="5" t="s">
        <v>120</v>
      </c>
      <c r="C1648" t="s">
        <v>121</v>
      </c>
      <c r="D1648" t="s">
        <v>16</v>
      </c>
      <c r="E1648" t="s">
        <v>17</v>
      </c>
      <c r="F1648">
        <v>27</v>
      </c>
      <c r="G1648">
        <v>25</v>
      </c>
      <c r="H1648">
        <v>52</v>
      </c>
      <c r="I1648">
        <f>Inventory_Data[[#This Row],[Opening_Stock]]+Inventory_Data[[#This Row],[Units_Received]]-Inventory_Data[[#This Row],[Units_Sold]]</f>
        <v>0</v>
      </c>
      <c r="J1648">
        <v>1</v>
      </c>
      <c r="K1648">
        <v>14</v>
      </c>
      <c r="L1648" t="s">
        <v>24</v>
      </c>
      <c r="M1648" s="3">
        <v>209.12</v>
      </c>
      <c r="N1648" s="3">
        <v>260.62</v>
      </c>
      <c r="O1648" s="10" t="str">
        <f>TEXT(Inventory_Data[[#This Row],[Date]],"mmm")</f>
        <v>Oct</v>
      </c>
    </row>
    <row r="1649" spans="1:15" x14ac:dyDescent="0.2">
      <c r="A1649" s="21">
        <v>45960</v>
      </c>
      <c r="B1649" s="5" t="s">
        <v>22</v>
      </c>
      <c r="C1649" t="s">
        <v>23</v>
      </c>
      <c r="D1649" t="s">
        <v>16</v>
      </c>
      <c r="E1649" t="s">
        <v>17</v>
      </c>
      <c r="F1649">
        <v>23</v>
      </c>
      <c r="G1649">
        <v>12</v>
      </c>
      <c r="H1649">
        <v>35</v>
      </c>
      <c r="I1649">
        <f>Inventory_Data[[#This Row],[Opening_Stock]]+Inventory_Data[[#This Row],[Units_Received]]-Inventory_Data[[#This Row],[Units_Sold]]</f>
        <v>0</v>
      </c>
      <c r="J1649">
        <v>1</v>
      </c>
      <c r="K1649">
        <v>10</v>
      </c>
      <c r="L1649" t="s">
        <v>24</v>
      </c>
      <c r="M1649" s="3">
        <v>15.15</v>
      </c>
      <c r="N1649" s="3">
        <v>23.1</v>
      </c>
      <c r="O1649" s="10" t="str">
        <f>TEXT(Inventory_Data[[#This Row],[Date]],"mmm")</f>
        <v>Oct</v>
      </c>
    </row>
    <row r="1650" spans="1:15" x14ac:dyDescent="0.2">
      <c r="A1650" s="21">
        <v>45960</v>
      </c>
      <c r="B1650" s="5" t="s">
        <v>25</v>
      </c>
      <c r="C1650" t="s">
        <v>26</v>
      </c>
      <c r="D1650" t="s">
        <v>27</v>
      </c>
      <c r="E1650" t="s">
        <v>28</v>
      </c>
      <c r="F1650">
        <v>285</v>
      </c>
      <c r="G1650">
        <v>118</v>
      </c>
      <c r="H1650">
        <v>98</v>
      </c>
      <c r="I1650">
        <f>Inventory_Data[[#This Row],[Opening_Stock]]+Inventory_Data[[#This Row],[Units_Received]]-Inventory_Data[[#This Row],[Units_Sold]]</f>
        <v>305</v>
      </c>
      <c r="J1650">
        <v>0</v>
      </c>
      <c r="K1650">
        <v>6</v>
      </c>
      <c r="L1650" t="s">
        <v>66</v>
      </c>
      <c r="M1650" s="3">
        <v>10.050000000000001</v>
      </c>
      <c r="N1650" s="3">
        <v>15.02</v>
      </c>
      <c r="O1650" s="10" t="str">
        <f>TEXT(Inventory_Data[[#This Row],[Date]],"mmm")</f>
        <v>Oct</v>
      </c>
    </row>
    <row r="1651" spans="1:15" x14ac:dyDescent="0.2">
      <c r="A1651" s="21">
        <v>45960</v>
      </c>
      <c r="B1651" s="5" t="s">
        <v>156</v>
      </c>
      <c r="C1651" t="s">
        <v>157</v>
      </c>
      <c r="D1651" t="s">
        <v>27</v>
      </c>
      <c r="E1651" t="s">
        <v>17</v>
      </c>
      <c r="F1651">
        <v>113</v>
      </c>
      <c r="G1651">
        <v>144</v>
      </c>
      <c r="H1651">
        <v>191</v>
      </c>
      <c r="I1651">
        <f>Inventory_Data[[#This Row],[Opening_Stock]]+Inventory_Data[[#This Row],[Units_Received]]-Inventory_Data[[#This Row],[Units_Sold]]</f>
        <v>66</v>
      </c>
      <c r="J1651">
        <v>0</v>
      </c>
      <c r="K1651">
        <v>3</v>
      </c>
      <c r="L1651" t="s">
        <v>29</v>
      </c>
      <c r="M1651" s="3">
        <v>21.84</v>
      </c>
      <c r="N1651" s="3">
        <v>32.58</v>
      </c>
      <c r="O1651" s="10" t="str">
        <f>TEXT(Inventory_Data[[#This Row],[Date]],"mmm")</f>
        <v>Oct</v>
      </c>
    </row>
    <row r="1652" spans="1:15" x14ac:dyDescent="0.2">
      <c r="A1652" s="21">
        <v>45960</v>
      </c>
      <c r="B1652" s="5" t="s">
        <v>160</v>
      </c>
      <c r="C1652" t="s">
        <v>161</v>
      </c>
      <c r="D1652" t="s">
        <v>27</v>
      </c>
      <c r="E1652" t="s">
        <v>35</v>
      </c>
      <c r="F1652">
        <v>380</v>
      </c>
      <c r="G1652">
        <v>116</v>
      </c>
      <c r="H1652">
        <v>28</v>
      </c>
      <c r="I1652">
        <f>Inventory_Data[[#This Row],[Opening_Stock]]+Inventory_Data[[#This Row],[Units_Received]]-Inventory_Data[[#This Row],[Units_Sold]]</f>
        <v>468</v>
      </c>
      <c r="J1652">
        <v>0</v>
      </c>
      <c r="K1652">
        <v>7</v>
      </c>
      <c r="L1652" t="s">
        <v>66</v>
      </c>
      <c r="M1652" s="3">
        <v>9.2799999999999994</v>
      </c>
      <c r="N1652" s="3">
        <v>10.8</v>
      </c>
      <c r="O1652" s="10" t="str">
        <f>TEXT(Inventory_Data[[#This Row],[Date]],"mmm")</f>
        <v>Oct</v>
      </c>
    </row>
    <row r="1653" spans="1:15" x14ac:dyDescent="0.2">
      <c r="A1653" s="21">
        <v>45960</v>
      </c>
      <c r="B1653" s="5" t="s">
        <v>134</v>
      </c>
      <c r="C1653" t="s">
        <v>135</v>
      </c>
      <c r="D1653" t="s">
        <v>27</v>
      </c>
      <c r="E1653" t="s">
        <v>28</v>
      </c>
      <c r="F1653">
        <v>430</v>
      </c>
      <c r="G1653">
        <v>83</v>
      </c>
      <c r="H1653">
        <v>178</v>
      </c>
      <c r="I1653">
        <f>Inventory_Data[[#This Row],[Opening_Stock]]+Inventory_Data[[#This Row],[Units_Received]]-Inventory_Data[[#This Row],[Units_Sold]]</f>
        <v>335</v>
      </c>
      <c r="J1653">
        <v>0</v>
      </c>
      <c r="K1653">
        <v>2</v>
      </c>
      <c r="L1653" t="s">
        <v>29</v>
      </c>
      <c r="M1653" s="3">
        <v>21.01</v>
      </c>
      <c r="N1653" s="3">
        <v>28.85</v>
      </c>
      <c r="O1653" s="10" t="str">
        <f>TEXT(Inventory_Data[[#This Row],[Date]],"mmm")</f>
        <v>Oct</v>
      </c>
    </row>
    <row r="1654" spans="1:15" x14ac:dyDescent="0.2">
      <c r="A1654" s="21">
        <v>45960</v>
      </c>
      <c r="B1654" s="5" t="s">
        <v>100</v>
      </c>
      <c r="C1654" t="s">
        <v>101</v>
      </c>
      <c r="D1654" t="s">
        <v>52</v>
      </c>
      <c r="E1654" t="s">
        <v>17</v>
      </c>
      <c r="F1654">
        <v>59</v>
      </c>
      <c r="G1654">
        <v>14</v>
      </c>
      <c r="H1654">
        <v>15</v>
      </c>
      <c r="I1654">
        <f>Inventory_Data[[#This Row],[Opening_Stock]]+Inventory_Data[[#This Row],[Units_Received]]-Inventory_Data[[#This Row],[Units_Sold]]</f>
        <v>58</v>
      </c>
      <c r="J1654">
        <v>0</v>
      </c>
      <c r="K1654">
        <v>6</v>
      </c>
      <c r="L1654" t="s">
        <v>56</v>
      </c>
      <c r="M1654" s="3">
        <v>130.04</v>
      </c>
      <c r="N1654" s="3">
        <v>198.19</v>
      </c>
      <c r="O1654" s="10" t="str">
        <f>TEXT(Inventory_Data[[#This Row],[Date]],"mmm")</f>
        <v>Oct</v>
      </c>
    </row>
    <row r="1655" spans="1:15" x14ac:dyDescent="0.2">
      <c r="A1655" s="21">
        <v>45960</v>
      </c>
      <c r="B1655" s="5" t="s">
        <v>126</v>
      </c>
      <c r="C1655" t="s">
        <v>127</v>
      </c>
      <c r="D1655" t="s">
        <v>34</v>
      </c>
      <c r="E1655" t="s">
        <v>21</v>
      </c>
      <c r="F1655">
        <v>306</v>
      </c>
      <c r="G1655">
        <v>41</v>
      </c>
      <c r="H1655">
        <v>113</v>
      </c>
      <c r="I1655">
        <f>Inventory_Data[[#This Row],[Opening_Stock]]+Inventory_Data[[#This Row],[Units_Received]]-Inventory_Data[[#This Row],[Units_Sold]]</f>
        <v>234</v>
      </c>
      <c r="J1655">
        <v>0</v>
      </c>
      <c r="K1655">
        <v>6</v>
      </c>
      <c r="L1655" t="s">
        <v>36</v>
      </c>
      <c r="M1655" s="3">
        <v>23.1</v>
      </c>
      <c r="N1655" s="3">
        <v>35.22</v>
      </c>
      <c r="O1655" s="10" t="str">
        <f>TEXT(Inventory_Data[[#This Row],[Date]],"mmm")</f>
        <v>Oct</v>
      </c>
    </row>
    <row r="1656" spans="1:15" x14ac:dyDescent="0.2">
      <c r="A1656" s="21">
        <v>45960</v>
      </c>
      <c r="B1656" s="5" t="s">
        <v>196</v>
      </c>
      <c r="C1656" t="s">
        <v>197</v>
      </c>
      <c r="D1656" t="s">
        <v>34</v>
      </c>
      <c r="E1656" t="s">
        <v>28</v>
      </c>
      <c r="F1656">
        <v>276</v>
      </c>
      <c r="G1656">
        <v>183</v>
      </c>
      <c r="H1656">
        <v>168</v>
      </c>
      <c r="I1656">
        <f>Inventory_Data[[#This Row],[Opening_Stock]]+Inventory_Data[[#This Row],[Units_Received]]-Inventory_Data[[#This Row],[Units_Sold]]</f>
        <v>291</v>
      </c>
      <c r="J1656">
        <v>0</v>
      </c>
      <c r="K1656">
        <v>13</v>
      </c>
      <c r="L1656" t="s">
        <v>39</v>
      </c>
      <c r="M1656" s="3">
        <v>19.100000000000001</v>
      </c>
      <c r="N1656" s="3">
        <v>28.3</v>
      </c>
      <c r="O1656" s="10" t="str">
        <f>TEXT(Inventory_Data[[#This Row],[Date]],"mmm")</f>
        <v>Oct</v>
      </c>
    </row>
    <row r="1657" spans="1:15" x14ac:dyDescent="0.2">
      <c r="A1657" s="21">
        <v>45961</v>
      </c>
      <c r="B1657" s="5" t="s">
        <v>178</v>
      </c>
      <c r="C1657" t="s">
        <v>179</v>
      </c>
      <c r="D1657" t="s">
        <v>16</v>
      </c>
      <c r="E1657" t="s">
        <v>21</v>
      </c>
      <c r="F1657">
        <v>123</v>
      </c>
      <c r="G1657">
        <v>67</v>
      </c>
      <c r="H1657">
        <v>80</v>
      </c>
      <c r="I1657">
        <f>Inventory_Data[[#This Row],[Opening_Stock]]+Inventory_Data[[#This Row],[Units_Received]]-Inventory_Data[[#This Row],[Units_Sold]]</f>
        <v>110</v>
      </c>
      <c r="J1657">
        <v>0</v>
      </c>
      <c r="K1657">
        <v>12</v>
      </c>
      <c r="L1657" t="s">
        <v>24</v>
      </c>
      <c r="M1657" s="3">
        <v>132.94999999999999</v>
      </c>
      <c r="N1657" s="3">
        <v>156.94999999999999</v>
      </c>
      <c r="O1657" s="10" t="str">
        <f>TEXT(Inventory_Data[[#This Row],[Date]],"mmm")</f>
        <v>Oct</v>
      </c>
    </row>
    <row r="1658" spans="1:15" x14ac:dyDescent="0.2">
      <c r="A1658" s="21">
        <v>45961</v>
      </c>
      <c r="B1658" s="5" t="s">
        <v>120</v>
      </c>
      <c r="C1658" t="s">
        <v>121</v>
      </c>
      <c r="D1658" t="s">
        <v>16</v>
      </c>
      <c r="E1658" t="s">
        <v>17</v>
      </c>
      <c r="F1658">
        <v>58</v>
      </c>
      <c r="G1658">
        <v>11</v>
      </c>
      <c r="H1658">
        <v>43</v>
      </c>
      <c r="I1658">
        <f>Inventory_Data[[#This Row],[Opening_Stock]]+Inventory_Data[[#This Row],[Units_Received]]-Inventory_Data[[#This Row],[Units_Sold]]</f>
        <v>26</v>
      </c>
      <c r="J1658">
        <v>0</v>
      </c>
      <c r="K1658">
        <v>7</v>
      </c>
      <c r="L1658" t="s">
        <v>18</v>
      </c>
      <c r="M1658" s="3">
        <v>59.02</v>
      </c>
      <c r="N1658" s="3">
        <v>80.069999999999993</v>
      </c>
      <c r="O1658" s="10" t="str">
        <f>TEXT(Inventory_Data[[#This Row],[Date]],"mmm")</f>
        <v>Oct</v>
      </c>
    </row>
    <row r="1659" spans="1:15" x14ac:dyDescent="0.2">
      <c r="A1659" s="21">
        <v>45961</v>
      </c>
      <c r="B1659" s="5" t="s">
        <v>30</v>
      </c>
      <c r="C1659" t="s">
        <v>31</v>
      </c>
      <c r="D1659" t="s">
        <v>27</v>
      </c>
      <c r="E1659" t="s">
        <v>28</v>
      </c>
      <c r="F1659">
        <v>278</v>
      </c>
      <c r="G1659">
        <v>145</v>
      </c>
      <c r="H1659">
        <v>204</v>
      </c>
      <c r="I1659">
        <f>Inventory_Data[[#This Row],[Opening_Stock]]+Inventory_Data[[#This Row],[Units_Received]]-Inventory_Data[[#This Row],[Units_Sold]]</f>
        <v>219</v>
      </c>
      <c r="J1659">
        <v>0</v>
      </c>
      <c r="K1659">
        <v>2</v>
      </c>
      <c r="L1659" t="s">
        <v>80</v>
      </c>
      <c r="M1659" s="3">
        <v>21.49</v>
      </c>
      <c r="N1659" s="3">
        <v>27.42</v>
      </c>
      <c r="O1659" s="10" t="str">
        <f>TEXT(Inventory_Data[[#This Row],[Date]],"mmm")</f>
        <v>Oct</v>
      </c>
    </row>
    <row r="1660" spans="1:15" x14ac:dyDescent="0.2">
      <c r="A1660" s="21">
        <v>45961</v>
      </c>
      <c r="B1660" s="5" t="s">
        <v>98</v>
      </c>
      <c r="C1660" t="s">
        <v>99</v>
      </c>
      <c r="D1660" t="s">
        <v>27</v>
      </c>
      <c r="E1660" t="s">
        <v>17</v>
      </c>
      <c r="F1660">
        <v>92</v>
      </c>
      <c r="G1660">
        <v>103</v>
      </c>
      <c r="H1660">
        <v>195</v>
      </c>
      <c r="I1660">
        <f>Inventory_Data[[#This Row],[Opening_Stock]]+Inventory_Data[[#This Row],[Units_Received]]-Inventory_Data[[#This Row],[Units_Sold]]</f>
        <v>0</v>
      </c>
      <c r="J1660">
        <v>1</v>
      </c>
      <c r="K1660">
        <v>3</v>
      </c>
      <c r="L1660" t="s">
        <v>29</v>
      </c>
      <c r="M1660" s="3">
        <v>23.91</v>
      </c>
      <c r="N1660" s="3">
        <v>29.66</v>
      </c>
      <c r="O1660" s="10" t="str">
        <f>TEXT(Inventory_Data[[#This Row],[Date]],"mmm")</f>
        <v>Oct</v>
      </c>
    </row>
    <row r="1661" spans="1:15" x14ac:dyDescent="0.2">
      <c r="A1661" s="21">
        <v>45961</v>
      </c>
      <c r="B1661" s="5" t="s">
        <v>172</v>
      </c>
      <c r="C1661" t="s">
        <v>173</v>
      </c>
      <c r="D1661" t="s">
        <v>27</v>
      </c>
      <c r="E1661" t="s">
        <v>28</v>
      </c>
      <c r="F1661">
        <v>271</v>
      </c>
      <c r="G1661">
        <v>56</v>
      </c>
      <c r="H1661">
        <v>139</v>
      </c>
      <c r="I1661">
        <f>Inventory_Data[[#This Row],[Opening_Stock]]+Inventory_Data[[#This Row],[Units_Received]]-Inventory_Data[[#This Row],[Units_Sold]]</f>
        <v>188</v>
      </c>
      <c r="J1661">
        <v>0</v>
      </c>
      <c r="K1661">
        <v>1</v>
      </c>
      <c r="L1661" t="s">
        <v>66</v>
      </c>
      <c r="M1661" s="3">
        <v>23.69</v>
      </c>
      <c r="N1661" s="3">
        <v>34.909999999999997</v>
      </c>
      <c r="O1661" s="10" t="str">
        <f>TEXT(Inventory_Data[[#This Row],[Date]],"mmm")</f>
        <v>Oct</v>
      </c>
    </row>
    <row r="1662" spans="1:15" x14ac:dyDescent="0.2">
      <c r="A1662" s="21">
        <v>45961</v>
      </c>
      <c r="B1662" s="5" t="s">
        <v>57</v>
      </c>
      <c r="C1662" t="s">
        <v>58</v>
      </c>
      <c r="D1662" t="s">
        <v>52</v>
      </c>
      <c r="E1662" t="s">
        <v>35</v>
      </c>
      <c r="F1662">
        <v>17</v>
      </c>
      <c r="G1662">
        <v>10</v>
      </c>
      <c r="H1662">
        <v>16</v>
      </c>
      <c r="I1662">
        <f>Inventory_Data[[#This Row],[Opening_Stock]]+Inventory_Data[[#This Row],[Units_Received]]-Inventory_Data[[#This Row],[Units_Sold]]</f>
        <v>11</v>
      </c>
      <c r="J1662">
        <v>0</v>
      </c>
      <c r="K1662">
        <v>4</v>
      </c>
      <c r="L1662" t="s">
        <v>53</v>
      </c>
      <c r="M1662" s="3">
        <v>217.99</v>
      </c>
      <c r="N1662" s="3">
        <v>253.55</v>
      </c>
      <c r="O1662" s="10" t="str">
        <f>TEXT(Inventory_Data[[#This Row],[Date]],"mmm")</f>
        <v>Oct</v>
      </c>
    </row>
    <row r="1663" spans="1:15" x14ac:dyDescent="0.2">
      <c r="A1663" s="21">
        <v>45962</v>
      </c>
      <c r="B1663" s="5" t="s">
        <v>162</v>
      </c>
      <c r="C1663" t="s">
        <v>163</v>
      </c>
      <c r="D1663" t="s">
        <v>16</v>
      </c>
      <c r="E1663" t="s">
        <v>17</v>
      </c>
      <c r="F1663">
        <v>77</v>
      </c>
      <c r="G1663">
        <v>44</v>
      </c>
      <c r="H1663">
        <v>20</v>
      </c>
      <c r="I1663">
        <f>Inventory_Data[[#This Row],[Opening_Stock]]+Inventory_Data[[#This Row],[Units_Received]]-Inventory_Data[[#This Row],[Units_Sold]]</f>
        <v>101</v>
      </c>
      <c r="J1663">
        <v>0</v>
      </c>
      <c r="K1663">
        <v>9</v>
      </c>
      <c r="L1663" t="s">
        <v>18</v>
      </c>
      <c r="M1663" s="3">
        <v>167.29</v>
      </c>
      <c r="N1663" s="3">
        <v>238.26</v>
      </c>
      <c r="O1663" s="10" t="str">
        <f>TEXT(Inventory_Data[[#This Row],[Date]],"mmm")</f>
        <v>Nov</v>
      </c>
    </row>
    <row r="1664" spans="1:15" x14ac:dyDescent="0.2">
      <c r="A1664" s="21">
        <v>45962</v>
      </c>
      <c r="B1664" s="5" t="s">
        <v>128</v>
      </c>
      <c r="C1664" t="s">
        <v>129</v>
      </c>
      <c r="D1664" t="s">
        <v>48</v>
      </c>
      <c r="E1664" t="s">
        <v>28</v>
      </c>
      <c r="F1664">
        <v>126</v>
      </c>
      <c r="G1664">
        <v>133</v>
      </c>
      <c r="H1664">
        <v>115</v>
      </c>
      <c r="I1664">
        <f>Inventory_Data[[#This Row],[Opening_Stock]]+Inventory_Data[[#This Row],[Units_Received]]-Inventory_Data[[#This Row],[Units_Sold]]</f>
        <v>144</v>
      </c>
      <c r="J1664">
        <v>0</v>
      </c>
      <c r="K1664">
        <v>9</v>
      </c>
      <c r="L1664" t="s">
        <v>77</v>
      </c>
      <c r="M1664" s="3">
        <v>11.19</v>
      </c>
      <c r="N1664" s="3">
        <v>14.62</v>
      </c>
      <c r="O1664" s="10" t="str">
        <f>TEXT(Inventory_Data[[#This Row],[Date]],"mmm")</f>
        <v>Nov</v>
      </c>
    </row>
    <row r="1665" spans="1:15" x14ac:dyDescent="0.2">
      <c r="A1665" s="21">
        <v>45962</v>
      </c>
      <c r="B1665" s="5" t="s">
        <v>170</v>
      </c>
      <c r="C1665" t="s">
        <v>171</v>
      </c>
      <c r="D1665" t="s">
        <v>48</v>
      </c>
      <c r="E1665" t="s">
        <v>35</v>
      </c>
      <c r="F1665">
        <v>80</v>
      </c>
      <c r="G1665">
        <v>141</v>
      </c>
      <c r="H1665">
        <v>47</v>
      </c>
      <c r="I1665">
        <f>Inventory_Data[[#This Row],[Opening_Stock]]+Inventory_Data[[#This Row],[Units_Received]]-Inventory_Data[[#This Row],[Units_Sold]]</f>
        <v>174</v>
      </c>
      <c r="J1665">
        <v>0</v>
      </c>
      <c r="K1665">
        <v>9</v>
      </c>
      <c r="L1665" t="s">
        <v>49</v>
      </c>
      <c r="M1665" s="3">
        <v>48.77</v>
      </c>
      <c r="N1665" s="3">
        <v>57.92</v>
      </c>
      <c r="O1665" s="10" t="str">
        <f>TEXT(Inventory_Data[[#This Row],[Date]],"mmm")</f>
        <v>Nov</v>
      </c>
    </row>
    <row r="1666" spans="1:15" x14ac:dyDescent="0.2">
      <c r="A1666" s="21">
        <v>45962</v>
      </c>
      <c r="B1666" s="5" t="s">
        <v>86</v>
      </c>
      <c r="C1666" t="s">
        <v>87</v>
      </c>
      <c r="D1666" t="s">
        <v>48</v>
      </c>
      <c r="E1666" t="s">
        <v>21</v>
      </c>
      <c r="F1666">
        <v>212</v>
      </c>
      <c r="G1666">
        <v>42</v>
      </c>
      <c r="H1666">
        <v>68</v>
      </c>
      <c r="I1666">
        <f>Inventory_Data[[#This Row],[Opening_Stock]]+Inventory_Data[[#This Row],[Units_Received]]-Inventory_Data[[#This Row],[Units_Sold]]</f>
        <v>186</v>
      </c>
      <c r="J1666">
        <v>0</v>
      </c>
      <c r="K1666">
        <v>2</v>
      </c>
      <c r="L1666" t="s">
        <v>49</v>
      </c>
      <c r="M1666" s="3">
        <v>25.65</v>
      </c>
      <c r="N1666" s="3">
        <v>30.17</v>
      </c>
      <c r="O1666" s="10" t="str">
        <f>TEXT(Inventory_Data[[#This Row],[Date]],"mmm")</f>
        <v>Nov</v>
      </c>
    </row>
    <row r="1667" spans="1:15" x14ac:dyDescent="0.2">
      <c r="A1667" s="21">
        <v>45962</v>
      </c>
      <c r="B1667" s="5" t="s">
        <v>122</v>
      </c>
      <c r="C1667" t="s">
        <v>123</v>
      </c>
      <c r="D1667" t="s">
        <v>27</v>
      </c>
      <c r="E1667" t="s">
        <v>28</v>
      </c>
      <c r="F1667">
        <v>233</v>
      </c>
      <c r="G1667">
        <v>141</v>
      </c>
      <c r="H1667">
        <v>44</v>
      </c>
      <c r="I1667">
        <f>Inventory_Data[[#This Row],[Opening_Stock]]+Inventory_Data[[#This Row],[Units_Received]]-Inventory_Data[[#This Row],[Units_Sold]]</f>
        <v>330</v>
      </c>
      <c r="J1667">
        <v>0</v>
      </c>
      <c r="K1667">
        <v>4</v>
      </c>
      <c r="L1667" t="s">
        <v>29</v>
      </c>
      <c r="M1667" s="3">
        <v>9.89</v>
      </c>
      <c r="N1667" s="3">
        <v>12.1</v>
      </c>
      <c r="O1667" s="10" t="str">
        <f>TEXT(Inventory_Data[[#This Row],[Date]],"mmm")</f>
        <v>Nov</v>
      </c>
    </row>
    <row r="1668" spans="1:15" x14ac:dyDescent="0.2">
      <c r="A1668" s="21">
        <v>45962</v>
      </c>
      <c r="B1668" s="5" t="s">
        <v>114</v>
      </c>
      <c r="C1668" t="s">
        <v>115</v>
      </c>
      <c r="D1668" t="s">
        <v>27</v>
      </c>
      <c r="E1668" t="s">
        <v>28</v>
      </c>
      <c r="F1668">
        <v>372</v>
      </c>
      <c r="G1668">
        <v>217</v>
      </c>
      <c r="H1668">
        <v>181</v>
      </c>
      <c r="I1668">
        <f>Inventory_Data[[#This Row],[Opening_Stock]]+Inventory_Data[[#This Row],[Units_Received]]-Inventory_Data[[#This Row],[Units_Sold]]</f>
        <v>408</v>
      </c>
      <c r="J1668">
        <v>0</v>
      </c>
      <c r="K1668">
        <v>3</v>
      </c>
      <c r="L1668" t="s">
        <v>29</v>
      </c>
      <c r="M1668" s="3">
        <v>16.309999999999999</v>
      </c>
      <c r="N1668" s="3">
        <v>21.57</v>
      </c>
      <c r="O1668" s="10" t="str">
        <f>TEXT(Inventory_Data[[#This Row],[Date]],"mmm")</f>
        <v>Nov</v>
      </c>
    </row>
    <row r="1669" spans="1:15" x14ac:dyDescent="0.2">
      <c r="A1669" s="21">
        <v>45962</v>
      </c>
      <c r="B1669" s="5" t="s">
        <v>148</v>
      </c>
      <c r="C1669" t="s">
        <v>149</v>
      </c>
      <c r="D1669" t="s">
        <v>27</v>
      </c>
      <c r="E1669" t="s">
        <v>35</v>
      </c>
      <c r="F1669">
        <v>381</v>
      </c>
      <c r="G1669">
        <v>217</v>
      </c>
      <c r="H1669">
        <v>195</v>
      </c>
      <c r="I1669">
        <f>Inventory_Data[[#This Row],[Opening_Stock]]+Inventory_Data[[#This Row],[Units_Received]]-Inventory_Data[[#This Row],[Units_Sold]]</f>
        <v>403</v>
      </c>
      <c r="J1669">
        <v>0</v>
      </c>
      <c r="K1669">
        <v>6</v>
      </c>
      <c r="L1669" t="s">
        <v>66</v>
      </c>
      <c r="M1669" s="3">
        <v>11.87</v>
      </c>
      <c r="N1669" s="3">
        <v>14.61</v>
      </c>
      <c r="O1669" s="10" t="str">
        <f>TEXT(Inventory_Data[[#This Row],[Date]],"mmm")</f>
        <v>Nov</v>
      </c>
    </row>
    <row r="1670" spans="1:15" x14ac:dyDescent="0.2">
      <c r="A1670" s="21">
        <v>45962</v>
      </c>
      <c r="B1670" s="5" t="s">
        <v>102</v>
      </c>
      <c r="C1670" t="s">
        <v>103</v>
      </c>
      <c r="D1670" t="s">
        <v>52</v>
      </c>
      <c r="E1670" t="s">
        <v>17</v>
      </c>
      <c r="F1670">
        <v>69</v>
      </c>
      <c r="G1670">
        <v>4</v>
      </c>
      <c r="H1670">
        <v>14</v>
      </c>
      <c r="I1670">
        <f>Inventory_Data[[#This Row],[Opening_Stock]]+Inventory_Data[[#This Row],[Units_Received]]-Inventory_Data[[#This Row],[Units_Sold]]</f>
        <v>59</v>
      </c>
      <c r="J1670">
        <v>0</v>
      </c>
      <c r="K1670">
        <v>7</v>
      </c>
      <c r="L1670" t="s">
        <v>83</v>
      </c>
      <c r="M1670" s="3">
        <v>288.29000000000002</v>
      </c>
      <c r="N1670" s="3">
        <v>362.23</v>
      </c>
      <c r="O1670" s="10" t="str">
        <f>TEXT(Inventory_Data[[#This Row],[Date]],"mmm")</f>
        <v>Nov</v>
      </c>
    </row>
    <row r="1671" spans="1:15" x14ac:dyDescent="0.2">
      <c r="A1671" s="21">
        <v>45962</v>
      </c>
      <c r="B1671" s="5" t="s">
        <v>104</v>
      </c>
      <c r="C1671" t="s">
        <v>105</v>
      </c>
      <c r="D1671" t="s">
        <v>34</v>
      </c>
      <c r="E1671" t="s">
        <v>28</v>
      </c>
      <c r="F1671">
        <v>66</v>
      </c>
      <c r="G1671">
        <v>219</v>
      </c>
      <c r="H1671">
        <v>124</v>
      </c>
      <c r="I1671">
        <f>Inventory_Data[[#This Row],[Opening_Stock]]+Inventory_Data[[#This Row],[Units_Received]]-Inventory_Data[[#This Row],[Units_Sold]]</f>
        <v>161</v>
      </c>
      <c r="J1671">
        <v>0</v>
      </c>
      <c r="K1671">
        <v>3</v>
      </c>
      <c r="L1671" t="s">
        <v>39</v>
      </c>
      <c r="M1671" s="3">
        <v>8.11</v>
      </c>
      <c r="N1671" s="3">
        <v>12.46</v>
      </c>
      <c r="O1671" s="10" t="str">
        <f>TEXT(Inventory_Data[[#This Row],[Date]],"mmm")</f>
        <v>Nov</v>
      </c>
    </row>
    <row r="1672" spans="1:15" x14ac:dyDescent="0.2">
      <c r="A1672" s="21">
        <v>45963</v>
      </c>
      <c r="B1672" s="5" t="s">
        <v>130</v>
      </c>
      <c r="C1672" t="s">
        <v>131</v>
      </c>
      <c r="D1672" t="s">
        <v>48</v>
      </c>
      <c r="E1672" t="s">
        <v>28</v>
      </c>
      <c r="F1672">
        <v>102</v>
      </c>
      <c r="G1672">
        <v>140</v>
      </c>
      <c r="H1672">
        <v>114</v>
      </c>
      <c r="I1672">
        <f>Inventory_Data[[#This Row],[Opening_Stock]]+Inventory_Data[[#This Row],[Units_Received]]-Inventory_Data[[#This Row],[Units_Sold]]</f>
        <v>128</v>
      </c>
      <c r="J1672">
        <v>0</v>
      </c>
      <c r="K1672">
        <v>5</v>
      </c>
      <c r="L1672" t="s">
        <v>49</v>
      </c>
      <c r="M1672" s="3">
        <v>48.12</v>
      </c>
      <c r="N1672" s="3">
        <v>57.9</v>
      </c>
      <c r="O1672" s="10" t="str">
        <f>TEXT(Inventory_Data[[#This Row],[Date]],"mmm")</f>
        <v>Nov</v>
      </c>
    </row>
    <row r="1673" spans="1:15" x14ac:dyDescent="0.2">
      <c r="A1673" s="21">
        <v>45963</v>
      </c>
      <c r="B1673" s="5" t="s">
        <v>172</v>
      </c>
      <c r="C1673" t="s">
        <v>173</v>
      </c>
      <c r="D1673" t="s">
        <v>27</v>
      </c>
      <c r="E1673" t="s">
        <v>35</v>
      </c>
      <c r="F1673">
        <v>104</v>
      </c>
      <c r="G1673">
        <v>195</v>
      </c>
      <c r="H1673">
        <v>24</v>
      </c>
      <c r="I1673">
        <f>Inventory_Data[[#This Row],[Opening_Stock]]+Inventory_Data[[#This Row],[Units_Received]]-Inventory_Data[[#This Row],[Units_Sold]]</f>
        <v>275</v>
      </c>
      <c r="J1673">
        <v>0</v>
      </c>
      <c r="K1673">
        <v>5</v>
      </c>
      <c r="L1673" t="s">
        <v>29</v>
      </c>
      <c r="M1673" s="3">
        <v>15.34</v>
      </c>
      <c r="N1673" s="3">
        <v>19.37</v>
      </c>
      <c r="O1673" s="10" t="str">
        <f>TEXT(Inventory_Data[[#This Row],[Date]],"mmm")</f>
        <v>Nov</v>
      </c>
    </row>
    <row r="1674" spans="1:15" x14ac:dyDescent="0.2">
      <c r="A1674" s="21">
        <v>45963</v>
      </c>
      <c r="B1674" s="5" t="s">
        <v>142</v>
      </c>
      <c r="C1674" t="s">
        <v>143</v>
      </c>
      <c r="D1674" t="s">
        <v>52</v>
      </c>
      <c r="E1674" t="s">
        <v>17</v>
      </c>
      <c r="F1674">
        <v>35</v>
      </c>
      <c r="G1674">
        <v>18</v>
      </c>
      <c r="H1674">
        <v>7</v>
      </c>
      <c r="I1674">
        <f>Inventory_Data[[#This Row],[Opening_Stock]]+Inventory_Data[[#This Row],[Units_Received]]-Inventory_Data[[#This Row],[Units_Sold]]</f>
        <v>46</v>
      </c>
      <c r="J1674">
        <v>0</v>
      </c>
      <c r="K1674">
        <v>14</v>
      </c>
      <c r="L1674" t="s">
        <v>83</v>
      </c>
      <c r="M1674" s="3">
        <v>152.35</v>
      </c>
      <c r="N1674" s="3">
        <v>229.78</v>
      </c>
      <c r="O1674" s="10" t="str">
        <f>TEXT(Inventory_Data[[#This Row],[Date]],"mmm")</f>
        <v>Nov</v>
      </c>
    </row>
    <row r="1675" spans="1:15" x14ac:dyDescent="0.2">
      <c r="A1675" s="21">
        <v>45963</v>
      </c>
      <c r="B1675" s="5" t="s">
        <v>69</v>
      </c>
      <c r="C1675" t="s">
        <v>70</v>
      </c>
      <c r="D1675" t="s">
        <v>34</v>
      </c>
      <c r="E1675" t="s">
        <v>17</v>
      </c>
      <c r="F1675">
        <v>77</v>
      </c>
      <c r="G1675">
        <v>215</v>
      </c>
      <c r="H1675">
        <v>30</v>
      </c>
      <c r="I1675">
        <f>Inventory_Data[[#This Row],[Opening_Stock]]+Inventory_Data[[#This Row],[Units_Received]]-Inventory_Data[[#This Row],[Units_Sold]]</f>
        <v>262</v>
      </c>
      <c r="J1675">
        <v>0</v>
      </c>
      <c r="K1675">
        <v>2</v>
      </c>
      <c r="L1675" t="s">
        <v>42</v>
      </c>
      <c r="M1675" s="3">
        <v>20.18</v>
      </c>
      <c r="N1675" s="3">
        <v>26.51</v>
      </c>
      <c r="O1675" s="10" t="str">
        <f>TEXT(Inventory_Data[[#This Row],[Date]],"mmm")</f>
        <v>Nov</v>
      </c>
    </row>
    <row r="1676" spans="1:15" x14ac:dyDescent="0.2">
      <c r="A1676" s="21">
        <v>45964</v>
      </c>
      <c r="B1676" s="5" t="s">
        <v>152</v>
      </c>
      <c r="C1676" t="s">
        <v>153</v>
      </c>
      <c r="D1676" t="s">
        <v>16</v>
      </c>
      <c r="E1676" t="s">
        <v>28</v>
      </c>
      <c r="F1676">
        <v>46</v>
      </c>
      <c r="G1676">
        <v>41</v>
      </c>
      <c r="H1676">
        <v>25</v>
      </c>
      <c r="I1676">
        <f>Inventory_Data[[#This Row],[Opening_Stock]]+Inventory_Data[[#This Row],[Units_Received]]-Inventory_Data[[#This Row],[Units_Sold]]</f>
        <v>62</v>
      </c>
      <c r="J1676">
        <v>0</v>
      </c>
      <c r="K1676">
        <v>9</v>
      </c>
      <c r="L1676" t="s">
        <v>24</v>
      </c>
      <c r="M1676" s="3">
        <v>195.42</v>
      </c>
      <c r="N1676" s="3">
        <v>275.61</v>
      </c>
      <c r="O1676" s="10" t="str">
        <f>TEXT(Inventory_Data[[#This Row],[Date]],"mmm")</f>
        <v>Nov</v>
      </c>
    </row>
    <row r="1677" spans="1:15" x14ac:dyDescent="0.2">
      <c r="A1677" s="21">
        <v>45964</v>
      </c>
      <c r="B1677" s="5" t="s">
        <v>154</v>
      </c>
      <c r="C1677" t="s">
        <v>155</v>
      </c>
      <c r="D1677" t="s">
        <v>48</v>
      </c>
      <c r="E1677" t="s">
        <v>35</v>
      </c>
      <c r="F1677">
        <v>207</v>
      </c>
      <c r="G1677">
        <v>127</v>
      </c>
      <c r="H1677">
        <v>28</v>
      </c>
      <c r="I1677">
        <f>Inventory_Data[[#This Row],[Opening_Stock]]+Inventory_Data[[#This Row],[Units_Received]]-Inventory_Data[[#This Row],[Units_Sold]]</f>
        <v>306</v>
      </c>
      <c r="J1677">
        <v>0</v>
      </c>
      <c r="K1677">
        <v>13</v>
      </c>
      <c r="L1677" t="s">
        <v>63</v>
      </c>
      <c r="M1677" s="3">
        <v>80.349999999999994</v>
      </c>
      <c r="N1677" s="3">
        <v>113.97</v>
      </c>
      <c r="O1677" s="10" t="str">
        <f>TEXT(Inventory_Data[[#This Row],[Date]],"mmm")</f>
        <v>Nov</v>
      </c>
    </row>
    <row r="1678" spans="1:15" x14ac:dyDescent="0.2">
      <c r="A1678" s="21">
        <v>45964</v>
      </c>
      <c r="B1678" s="5" t="s">
        <v>148</v>
      </c>
      <c r="C1678" t="s">
        <v>149</v>
      </c>
      <c r="D1678" t="s">
        <v>27</v>
      </c>
      <c r="E1678" t="s">
        <v>35</v>
      </c>
      <c r="F1678">
        <v>433</v>
      </c>
      <c r="G1678">
        <v>163</v>
      </c>
      <c r="H1678">
        <v>170</v>
      </c>
      <c r="I1678">
        <f>Inventory_Data[[#This Row],[Opening_Stock]]+Inventory_Data[[#This Row],[Units_Received]]-Inventory_Data[[#This Row],[Units_Sold]]</f>
        <v>426</v>
      </c>
      <c r="J1678">
        <v>0</v>
      </c>
      <c r="K1678">
        <v>3</v>
      </c>
      <c r="L1678" t="s">
        <v>80</v>
      </c>
      <c r="M1678" s="3">
        <v>20.37</v>
      </c>
      <c r="N1678" s="3">
        <v>30.4</v>
      </c>
      <c r="O1678" s="10" t="str">
        <f>TEXT(Inventory_Data[[#This Row],[Date]],"mmm")</f>
        <v>Nov</v>
      </c>
    </row>
    <row r="1679" spans="1:15" x14ac:dyDescent="0.2">
      <c r="A1679" s="21">
        <v>45964</v>
      </c>
      <c r="B1679" s="5" t="s">
        <v>150</v>
      </c>
      <c r="C1679" t="s">
        <v>151</v>
      </c>
      <c r="D1679" t="s">
        <v>52</v>
      </c>
      <c r="E1679" t="s">
        <v>35</v>
      </c>
      <c r="F1679">
        <v>20</v>
      </c>
      <c r="G1679">
        <v>7</v>
      </c>
      <c r="H1679">
        <v>3</v>
      </c>
      <c r="I1679">
        <f>Inventory_Data[[#This Row],[Opening_Stock]]+Inventory_Data[[#This Row],[Units_Received]]-Inventory_Data[[#This Row],[Units_Sold]]</f>
        <v>24</v>
      </c>
      <c r="J1679">
        <v>0</v>
      </c>
      <c r="K1679">
        <v>2</v>
      </c>
      <c r="L1679" t="s">
        <v>53</v>
      </c>
      <c r="M1679" s="3">
        <v>329.51</v>
      </c>
      <c r="N1679" s="3">
        <v>428.66</v>
      </c>
      <c r="O1679" s="10" t="str">
        <f>TEXT(Inventory_Data[[#This Row],[Date]],"mmm")</f>
        <v>Nov</v>
      </c>
    </row>
    <row r="1680" spans="1:15" x14ac:dyDescent="0.2">
      <c r="A1680" s="21">
        <v>45965</v>
      </c>
      <c r="B1680" s="5" t="s">
        <v>146</v>
      </c>
      <c r="C1680" t="s">
        <v>147</v>
      </c>
      <c r="D1680" t="s">
        <v>48</v>
      </c>
      <c r="E1680" t="s">
        <v>35</v>
      </c>
      <c r="F1680">
        <v>269</v>
      </c>
      <c r="G1680">
        <v>85</v>
      </c>
      <c r="H1680">
        <v>45</v>
      </c>
      <c r="I1680">
        <f>Inventory_Data[[#This Row],[Opening_Stock]]+Inventory_Data[[#This Row],[Units_Received]]-Inventory_Data[[#This Row],[Units_Sold]]</f>
        <v>309</v>
      </c>
      <c r="J1680">
        <v>0</v>
      </c>
      <c r="K1680">
        <v>7</v>
      </c>
      <c r="L1680" t="s">
        <v>63</v>
      </c>
      <c r="M1680" s="3">
        <v>55.82</v>
      </c>
      <c r="N1680" s="3">
        <v>77.430000000000007</v>
      </c>
      <c r="O1680" s="10" t="str">
        <f>TEXT(Inventory_Data[[#This Row],[Date]],"mmm")</f>
        <v>Nov</v>
      </c>
    </row>
    <row r="1681" spans="1:15" x14ac:dyDescent="0.2">
      <c r="A1681" s="21">
        <v>45965</v>
      </c>
      <c r="B1681" s="5" t="s">
        <v>30</v>
      </c>
      <c r="C1681" t="s">
        <v>31</v>
      </c>
      <c r="D1681" t="s">
        <v>27</v>
      </c>
      <c r="E1681" t="s">
        <v>35</v>
      </c>
      <c r="F1681">
        <v>236</v>
      </c>
      <c r="G1681">
        <v>195</v>
      </c>
      <c r="H1681">
        <v>158</v>
      </c>
      <c r="I1681">
        <f>Inventory_Data[[#This Row],[Opening_Stock]]+Inventory_Data[[#This Row],[Units_Received]]-Inventory_Data[[#This Row],[Units_Sold]]</f>
        <v>273</v>
      </c>
      <c r="J1681">
        <v>0</v>
      </c>
      <c r="K1681">
        <v>1</v>
      </c>
      <c r="L1681" t="s">
        <v>66</v>
      </c>
      <c r="M1681" s="3">
        <v>10.29</v>
      </c>
      <c r="N1681" s="3">
        <v>12.95</v>
      </c>
      <c r="O1681" s="10" t="str">
        <f>TEXT(Inventory_Data[[#This Row],[Date]],"mmm")</f>
        <v>Nov</v>
      </c>
    </row>
    <row r="1682" spans="1:15" x14ac:dyDescent="0.2">
      <c r="A1682" s="21">
        <v>45965</v>
      </c>
      <c r="B1682" s="5" t="s">
        <v>102</v>
      </c>
      <c r="C1682" t="s">
        <v>103</v>
      </c>
      <c r="D1682" t="s">
        <v>52</v>
      </c>
      <c r="E1682" t="s">
        <v>35</v>
      </c>
      <c r="F1682">
        <v>36</v>
      </c>
      <c r="G1682">
        <v>16</v>
      </c>
      <c r="H1682">
        <v>2</v>
      </c>
      <c r="I1682">
        <f>Inventory_Data[[#This Row],[Opening_Stock]]+Inventory_Data[[#This Row],[Units_Received]]-Inventory_Data[[#This Row],[Units_Sold]]</f>
        <v>50</v>
      </c>
      <c r="J1682">
        <v>0</v>
      </c>
      <c r="K1682">
        <v>5</v>
      </c>
      <c r="L1682" t="s">
        <v>53</v>
      </c>
      <c r="M1682" s="3">
        <v>268.33</v>
      </c>
      <c r="N1682" s="3">
        <v>331.46</v>
      </c>
      <c r="O1682" s="10" t="str">
        <f>TEXT(Inventory_Data[[#This Row],[Date]],"mmm")</f>
        <v>Nov</v>
      </c>
    </row>
    <row r="1683" spans="1:15" x14ac:dyDescent="0.2">
      <c r="A1683" s="21">
        <v>45966</v>
      </c>
      <c r="B1683" s="5" t="s">
        <v>73</v>
      </c>
      <c r="C1683" t="s">
        <v>74</v>
      </c>
      <c r="D1683" t="s">
        <v>16</v>
      </c>
      <c r="E1683" t="s">
        <v>35</v>
      </c>
      <c r="F1683">
        <v>101</v>
      </c>
      <c r="G1683">
        <v>38</v>
      </c>
      <c r="H1683">
        <v>21</v>
      </c>
      <c r="I1683">
        <f>Inventory_Data[[#This Row],[Opening_Stock]]+Inventory_Data[[#This Row],[Units_Received]]-Inventory_Data[[#This Row],[Units_Sold]]</f>
        <v>118</v>
      </c>
      <c r="J1683">
        <v>0</v>
      </c>
      <c r="K1683">
        <v>5</v>
      </c>
      <c r="L1683" t="s">
        <v>24</v>
      </c>
      <c r="M1683" s="3">
        <v>98.96</v>
      </c>
      <c r="N1683" s="3">
        <v>144.68</v>
      </c>
      <c r="O1683" s="10" t="str">
        <f>TEXT(Inventory_Data[[#This Row],[Date]],"mmm")</f>
        <v>Nov</v>
      </c>
    </row>
    <row r="1684" spans="1:15" x14ac:dyDescent="0.2">
      <c r="A1684" s="21">
        <v>45966</v>
      </c>
      <c r="B1684" s="5" t="s">
        <v>130</v>
      </c>
      <c r="C1684" t="s">
        <v>131</v>
      </c>
      <c r="D1684" t="s">
        <v>48</v>
      </c>
      <c r="E1684" t="s">
        <v>28</v>
      </c>
      <c r="F1684">
        <v>81</v>
      </c>
      <c r="G1684">
        <v>48</v>
      </c>
      <c r="H1684">
        <v>129</v>
      </c>
      <c r="I1684">
        <f>Inventory_Data[[#This Row],[Opening_Stock]]+Inventory_Data[[#This Row],[Units_Received]]-Inventory_Data[[#This Row],[Units_Sold]]</f>
        <v>0</v>
      </c>
      <c r="J1684">
        <v>1</v>
      </c>
      <c r="K1684">
        <v>5</v>
      </c>
      <c r="L1684" t="s">
        <v>49</v>
      </c>
      <c r="M1684" s="3">
        <v>73.510000000000005</v>
      </c>
      <c r="N1684" s="3">
        <v>108.15</v>
      </c>
      <c r="O1684" s="10" t="str">
        <f>TEXT(Inventory_Data[[#This Row],[Date]],"mmm")</f>
        <v>Nov</v>
      </c>
    </row>
    <row r="1685" spans="1:15" x14ac:dyDescent="0.2">
      <c r="A1685" s="21">
        <v>45966</v>
      </c>
      <c r="B1685" s="5" t="s">
        <v>192</v>
      </c>
      <c r="C1685" t="s">
        <v>193</v>
      </c>
      <c r="D1685" t="s">
        <v>48</v>
      </c>
      <c r="E1685" t="s">
        <v>17</v>
      </c>
      <c r="F1685">
        <v>132</v>
      </c>
      <c r="G1685">
        <v>68</v>
      </c>
      <c r="H1685">
        <v>44</v>
      </c>
      <c r="I1685">
        <f>Inventory_Data[[#This Row],[Opening_Stock]]+Inventory_Data[[#This Row],[Units_Received]]-Inventory_Data[[#This Row],[Units_Sold]]</f>
        <v>156</v>
      </c>
      <c r="J1685">
        <v>0</v>
      </c>
      <c r="K1685">
        <v>13</v>
      </c>
      <c r="L1685" t="s">
        <v>49</v>
      </c>
      <c r="M1685" s="3">
        <v>9.1999999999999993</v>
      </c>
      <c r="N1685" s="3">
        <v>12.74</v>
      </c>
      <c r="O1685" s="10" t="str">
        <f>TEXT(Inventory_Data[[#This Row],[Date]],"mmm")</f>
        <v>Nov</v>
      </c>
    </row>
    <row r="1686" spans="1:15" x14ac:dyDescent="0.2">
      <c r="A1686" s="21">
        <v>45966</v>
      </c>
      <c r="B1686" s="5" t="s">
        <v>192</v>
      </c>
      <c r="C1686" t="s">
        <v>193</v>
      </c>
      <c r="D1686" t="s">
        <v>48</v>
      </c>
      <c r="E1686" t="s">
        <v>28</v>
      </c>
      <c r="F1686">
        <v>278</v>
      </c>
      <c r="G1686">
        <v>51</v>
      </c>
      <c r="H1686">
        <v>91</v>
      </c>
      <c r="I1686">
        <f>Inventory_Data[[#This Row],[Opening_Stock]]+Inventory_Data[[#This Row],[Units_Received]]-Inventory_Data[[#This Row],[Units_Sold]]</f>
        <v>238</v>
      </c>
      <c r="J1686">
        <v>0</v>
      </c>
      <c r="K1686">
        <v>11</v>
      </c>
      <c r="L1686" t="s">
        <v>49</v>
      </c>
      <c r="M1686" s="3">
        <v>26.95</v>
      </c>
      <c r="N1686" s="3">
        <v>36.479999999999997</v>
      </c>
      <c r="O1686" s="10" t="str">
        <f>TEXT(Inventory_Data[[#This Row],[Date]],"mmm")</f>
        <v>Nov</v>
      </c>
    </row>
    <row r="1687" spans="1:15" x14ac:dyDescent="0.2">
      <c r="A1687" s="21">
        <v>45966</v>
      </c>
      <c r="B1687" s="5" t="s">
        <v>164</v>
      </c>
      <c r="C1687" t="s">
        <v>165</v>
      </c>
      <c r="D1687" t="s">
        <v>48</v>
      </c>
      <c r="E1687" t="s">
        <v>35</v>
      </c>
      <c r="F1687">
        <v>280</v>
      </c>
      <c r="G1687">
        <v>37</v>
      </c>
      <c r="H1687">
        <v>30</v>
      </c>
      <c r="I1687">
        <f>Inventory_Data[[#This Row],[Opening_Stock]]+Inventory_Data[[#This Row],[Units_Received]]-Inventory_Data[[#This Row],[Units_Sold]]</f>
        <v>287</v>
      </c>
      <c r="J1687">
        <v>0</v>
      </c>
      <c r="K1687">
        <v>9</v>
      </c>
      <c r="L1687" t="s">
        <v>63</v>
      </c>
      <c r="M1687" s="3">
        <v>8.86</v>
      </c>
      <c r="N1687" s="3">
        <v>13.7</v>
      </c>
      <c r="O1687" s="10" t="str">
        <f>TEXT(Inventory_Data[[#This Row],[Date]],"mmm")</f>
        <v>Nov</v>
      </c>
    </row>
    <row r="1688" spans="1:15" x14ac:dyDescent="0.2">
      <c r="A1688" s="21">
        <v>45966</v>
      </c>
      <c r="B1688" s="5" t="s">
        <v>182</v>
      </c>
      <c r="C1688" t="s">
        <v>183</v>
      </c>
      <c r="D1688" t="s">
        <v>52</v>
      </c>
      <c r="E1688" t="s">
        <v>28</v>
      </c>
      <c r="F1688">
        <v>60</v>
      </c>
      <c r="G1688">
        <v>19</v>
      </c>
      <c r="H1688">
        <v>4</v>
      </c>
      <c r="I1688">
        <f>Inventory_Data[[#This Row],[Opening_Stock]]+Inventory_Data[[#This Row],[Units_Received]]-Inventory_Data[[#This Row],[Units_Sold]]</f>
        <v>75</v>
      </c>
      <c r="J1688">
        <v>0</v>
      </c>
      <c r="K1688">
        <v>9</v>
      </c>
      <c r="L1688" t="s">
        <v>83</v>
      </c>
      <c r="M1688" s="3">
        <v>316.08999999999997</v>
      </c>
      <c r="N1688" s="3">
        <v>376.85</v>
      </c>
      <c r="O1688" s="10" t="str">
        <f>TEXT(Inventory_Data[[#This Row],[Date]],"mmm")</f>
        <v>Nov</v>
      </c>
    </row>
    <row r="1689" spans="1:15" x14ac:dyDescent="0.2">
      <c r="A1689" s="21">
        <v>45967</v>
      </c>
      <c r="B1689" s="5" t="s">
        <v>46</v>
      </c>
      <c r="C1689" t="s">
        <v>47</v>
      </c>
      <c r="D1689" t="s">
        <v>48</v>
      </c>
      <c r="E1689" t="s">
        <v>28</v>
      </c>
      <c r="F1689">
        <v>156</v>
      </c>
      <c r="G1689">
        <v>113</v>
      </c>
      <c r="H1689">
        <v>108</v>
      </c>
      <c r="I1689">
        <f>Inventory_Data[[#This Row],[Opening_Stock]]+Inventory_Data[[#This Row],[Units_Received]]-Inventory_Data[[#This Row],[Units_Sold]]</f>
        <v>161</v>
      </c>
      <c r="J1689">
        <v>0</v>
      </c>
      <c r="K1689">
        <v>2</v>
      </c>
      <c r="L1689" t="s">
        <v>49</v>
      </c>
      <c r="M1689" s="3">
        <v>44.44</v>
      </c>
      <c r="N1689" s="3">
        <v>56</v>
      </c>
      <c r="O1689" s="10" t="str">
        <f>TEXT(Inventory_Data[[#This Row],[Date]],"mmm")</f>
        <v>Nov</v>
      </c>
    </row>
    <row r="1690" spans="1:15" x14ac:dyDescent="0.2">
      <c r="A1690" s="21">
        <v>45967</v>
      </c>
      <c r="B1690" s="5" t="s">
        <v>67</v>
      </c>
      <c r="C1690" t="s">
        <v>68</v>
      </c>
      <c r="D1690" t="s">
        <v>52</v>
      </c>
      <c r="E1690" t="s">
        <v>28</v>
      </c>
      <c r="F1690">
        <v>22</v>
      </c>
      <c r="G1690">
        <v>13</v>
      </c>
      <c r="H1690">
        <v>15</v>
      </c>
      <c r="I1690">
        <f>Inventory_Data[[#This Row],[Opening_Stock]]+Inventory_Data[[#This Row],[Units_Received]]-Inventory_Data[[#This Row],[Units_Sold]]</f>
        <v>20</v>
      </c>
      <c r="J1690">
        <v>0</v>
      </c>
      <c r="K1690">
        <v>12</v>
      </c>
      <c r="L1690" t="s">
        <v>56</v>
      </c>
      <c r="M1690" s="3">
        <v>67.84</v>
      </c>
      <c r="N1690" s="3">
        <v>102.07</v>
      </c>
      <c r="O1690" s="10" t="str">
        <f>TEXT(Inventory_Data[[#This Row],[Date]],"mmm")</f>
        <v>Nov</v>
      </c>
    </row>
    <row r="1691" spans="1:15" x14ac:dyDescent="0.2">
      <c r="A1691" s="21">
        <v>45967</v>
      </c>
      <c r="B1691" s="5" t="s">
        <v>104</v>
      </c>
      <c r="C1691" t="s">
        <v>105</v>
      </c>
      <c r="D1691" t="s">
        <v>34</v>
      </c>
      <c r="E1691" t="s">
        <v>21</v>
      </c>
      <c r="F1691">
        <v>179</v>
      </c>
      <c r="G1691">
        <v>100</v>
      </c>
      <c r="H1691">
        <v>31</v>
      </c>
      <c r="I1691">
        <f>Inventory_Data[[#This Row],[Opening_Stock]]+Inventory_Data[[#This Row],[Units_Received]]-Inventory_Data[[#This Row],[Units_Sold]]</f>
        <v>248</v>
      </c>
      <c r="J1691">
        <v>0</v>
      </c>
      <c r="K1691">
        <v>14</v>
      </c>
      <c r="L1691" t="s">
        <v>36</v>
      </c>
      <c r="M1691" s="3">
        <v>10.71</v>
      </c>
      <c r="N1691" s="3">
        <v>13.73</v>
      </c>
      <c r="O1691" s="10" t="str">
        <f>TEXT(Inventory_Data[[#This Row],[Date]],"mmm")</f>
        <v>Nov</v>
      </c>
    </row>
    <row r="1692" spans="1:15" x14ac:dyDescent="0.2">
      <c r="A1692" s="21">
        <v>45967</v>
      </c>
      <c r="B1692" s="5" t="s">
        <v>37</v>
      </c>
      <c r="C1692" t="s">
        <v>38</v>
      </c>
      <c r="D1692" t="s">
        <v>34</v>
      </c>
      <c r="E1692" t="s">
        <v>28</v>
      </c>
      <c r="F1692">
        <v>183</v>
      </c>
      <c r="G1692">
        <v>195</v>
      </c>
      <c r="H1692">
        <v>77</v>
      </c>
      <c r="I1692">
        <f>Inventory_Data[[#This Row],[Opening_Stock]]+Inventory_Data[[#This Row],[Units_Received]]-Inventory_Data[[#This Row],[Units_Sold]]</f>
        <v>301</v>
      </c>
      <c r="J1692">
        <v>0</v>
      </c>
      <c r="K1692">
        <v>6</v>
      </c>
      <c r="L1692" t="s">
        <v>39</v>
      </c>
      <c r="M1692" s="3">
        <v>26.71</v>
      </c>
      <c r="N1692" s="3">
        <v>35.520000000000003</v>
      </c>
      <c r="O1692" s="10" t="str">
        <f>TEXT(Inventory_Data[[#This Row],[Date]],"mmm")</f>
        <v>Nov</v>
      </c>
    </row>
    <row r="1693" spans="1:15" x14ac:dyDescent="0.2">
      <c r="A1693" s="21">
        <v>45967</v>
      </c>
      <c r="B1693" s="5" t="s">
        <v>43</v>
      </c>
      <c r="C1693" t="s">
        <v>44</v>
      </c>
      <c r="D1693" t="s">
        <v>34</v>
      </c>
      <c r="E1693" t="s">
        <v>21</v>
      </c>
      <c r="F1693">
        <v>386</v>
      </c>
      <c r="G1693">
        <v>145</v>
      </c>
      <c r="H1693">
        <v>136</v>
      </c>
      <c r="I1693">
        <f>Inventory_Data[[#This Row],[Opening_Stock]]+Inventory_Data[[#This Row],[Units_Received]]-Inventory_Data[[#This Row],[Units_Sold]]</f>
        <v>395</v>
      </c>
      <c r="J1693">
        <v>0</v>
      </c>
      <c r="K1693">
        <v>12</v>
      </c>
      <c r="L1693" t="s">
        <v>39</v>
      </c>
      <c r="M1693" s="3">
        <v>3.02</v>
      </c>
      <c r="N1693" s="3">
        <v>4.18</v>
      </c>
      <c r="O1693" s="10" t="str">
        <f>TEXT(Inventory_Data[[#This Row],[Date]],"mmm")</f>
        <v>Nov</v>
      </c>
    </row>
    <row r="1694" spans="1:15" x14ac:dyDescent="0.2">
      <c r="A1694" s="21">
        <v>45967</v>
      </c>
      <c r="B1694" s="5" t="s">
        <v>196</v>
      </c>
      <c r="C1694" t="s">
        <v>197</v>
      </c>
      <c r="D1694" t="s">
        <v>34</v>
      </c>
      <c r="E1694" t="s">
        <v>17</v>
      </c>
      <c r="F1694">
        <v>228</v>
      </c>
      <c r="G1694">
        <v>156</v>
      </c>
      <c r="H1694">
        <v>29</v>
      </c>
      <c r="I1694">
        <f>Inventory_Data[[#This Row],[Opening_Stock]]+Inventory_Data[[#This Row],[Units_Received]]-Inventory_Data[[#This Row],[Units_Sold]]</f>
        <v>355</v>
      </c>
      <c r="J1694">
        <v>0</v>
      </c>
      <c r="K1694">
        <v>13</v>
      </c>
      <c r="L1694" t="s">
        <v>42</v>
      </c>
      <c r="M1694" s="3">
        <v>29.93</v>
      </c>
      <c r="N1694" s="3">
        <v>40.33</v>
      </c>
      <c r="O1694" s="10" t="str">
        <f>TEXT(Inventory_Data[[#This Row],[Date]],"mmm")</f>
        <v>Nov</v>
      </c>
    </row>
    <row r="1695" spans="1:15" x14ac:dyDescent="0.2">
      <c r="A1695" s="21">
        <v>45968</v>
      </c>
      <c r="B1695" s="5" t="s">
        <v>108</v>
      </c>
      <c r="C1695" t="s">
        <v>109</v>
      </c>
      <c r="D1695" t="s">
        <v>16</v>
      </c>
      <c r="E1695" t="s">
        <v>17</v>
      </c>
      <c r="F1695">
        <v>150</v>
      </c>
      <c r="G1695">
        <v>37</v>
      </c>
      <c r="H1695">
        <v>60</v>
      </c>
      <c r="I1695">
        <f>Inventory_Data[[#This Row],[Opening_Stock]]+Inventory_Data[[#This Row],[Units_Received]]-Inventory_Data[[#This Row],[Units_Sold]]</f>
        <v>127</v>
      </c>
      <c r="J1695">
        <v>0</v>
      </c>
      <c r="K1695">
        <v>11</v>
      </c>
      <c r="L1695" t="s">
        <v>18</v>
      </c>
      <c r="M1695" s="3">
        <v>97.39</v>
      </c>
      <c r="N1695" s="3">
        <v>117.99</v>
      </c>
      <c r="O1695" s="10" t="str">
        <f>TEXT(Inventory_Data[[#This Row],[Date]],"mmm")</f>
        <v>Nov</v>
      </c>
    </row>
    <row r="1696" spans="1:15" x14ac:dyDescent="0.2">
      <c r="A1696" s="21">
        <v>45968</v>
      </c>
      <c r="B1696" s="5" t="s">
        <v>86</v>
      </c>
      <c r="C1696" t="s">
        <v>87</v>
      </c>
      <c r="D1696" t="s">
        <v>48</v>
      </c>
      <c r="E1696" t="s">
        <v>17</v>
      </c>
      <c r="F1696">
        <v>132</v>
      </c>
      <c r="G1696">
        <v>41</v>
      </c>
      <c r="H1696">
        <v>106</v>
      </c>
      <c r="I1696">
        <f>Inventory_Data[[#This Row],[Opening_Stock]]+Inventory_Data[[#This Row],[Units_Received]]-Inventory_Data[[#This Row],[Units_Sold]]</f>
        <v>67</v>
      </c>
      <c r="J1696">
        <v>0</v>
      </c>
      <c r="K1696">
        <v>11</v>
      </c>
      <c r="L1696" t="s">
        <v>63</v>
      </c>
      <c r="M1696" s="3">
        <v>61.6</v>
      </c>
      <c r="N1696" s="3">
        <v>94.4</v>
      </c>
      <c r="O1696" s="10" t="str">
        <f>TEXT(Inventory_Data[[#This Row],[Date]],"mmm")</f>
        <v>Nov</v>
      </c>
    </row>
    <row r="1697" spans="1:15" x14ac:dyDescent="0.2">
      <c r="A1697" s="21">
        <v>45968</v>
      </c>
      <c r="B1697" s="5" t="s">
        <v>61</v>
      </c>
      <c r="C1697" t="s">
        <v>62</v>
      </c>
      <c r="D1697" t="s">
        <v>48</v>
      </c>
      <c r="E1697" t="s">
        <v>35</v>
      </c>
      <c r="F1697">
        <v>98</v>
      </c>
      <c r="G1697">
        <v>73</v>
      </c>
      <c r="H1697">
        <v>95</v>
      </c>
      <c r="I1697">
        <f>Inventory_Data[[#This Row],[Opening_Stock]]+Inventory_Data[[#This Row],[Units_Received]]-Inventory_Data[[#This Row],[Units_Sold]]</f>
        <v>76</v>
      </c>
      <c r="J1697">
        <v>0</v>
      </c>
      <c r="K1697">
        <v>13</v>
      </c>
      <c r="L1697" t="s">
        <v>63</v>
      </c>
      <c r="M1697" s="3">
        <v>51.89</v>
      </c>
      <c r="N1697" s="3">
        <v>74.3</v>
      </c>
      <c r="O1697" s="10" t="str">
        <f>TEXT(Inventory_Data[[#This Row],[Date]],"mmm")</f>
        <v>Nov</v>
      </c>
    </row>
    <row r="1698" spans="1:15" x14ac:dyDescent="0.2">
      <c r="A1698" s="21">
        <v>45968</v>
      </c>
      <c r="B1698" s="5" t="s">
        <v>164</v>
      </c>
      <c r="C1698" t="s">
        <v>165</v>
      </c>
      <c r="D1698" t="s">
        <v>48</v>
      </c>
      <c r="E1698" t="s">
        <v>35</v>
      </c>
      <c r="F1698">
        <v>221</v>
      </c>
      <c r="G1698">
        <v>125</v>
      </c>
      <c r="H1698">
        <v>95</v>
      </c>
      <c r="I1698">
        <f>Inventory_Data[[#This Row],[Opening_Stock]]+Inventory_Data[[#This Row],[Units_Received]]-Inventory_Data[[#This Row],[Units_Sold]]</f>
        <v>251</v>
      </c>
      <c r="J1698">
        <v>0</v>
      </c>
      <c r="K1698">
        <v>4</v>
      </c>
      <c r="L1698" t="s">
        <v>49</v>
      </c>
      <c r="M1698" s="3">
        <v>24.57</v>
      </c>
      <c r="N1698" s="3">
        <v>29.34</v>
      </c>
      <c r="O1698" s="10" t="str">
        <f>TEXT(Inventory_Data[[#This Row],[Date]],"mmm")</f>
        <v>Nov</v>
      </c>
    </row>
    <row r="1699" spans="1:15" x14ac:dyDescent="0.2">
      <c r="A1699" s="21">
        <v>45968</v>
      </c>
      <c r="B1699" s="5" t="s">
        <v>25</v>
      </c>
      <c r="C1699" t="s">
        <v>26</v>
      </c>
      <c r="D1699" t="s">
        <v>27</v>
      </c>
      <c r="E1699" t="s">
        <v>35</v>
      </c>
      <c r="F1699">
        <v>315</v>
      </c>
      <c r="G1699">
        <v>89</v>
      </c>
      <c r="H1699">
        <v>186</v>
      </c>
      <c r="I1699">
        <f>Inventory_Data[[#This Row],[Opening_Stock]]+Inventory_Data[[#This Row],[Units_Received]]-Inventory_Data[[#This Row],[Units_Sold]]</f>
        <v>218</v>
      </c>
      <c r="J1699">
        <v>0</v>
      </c>
      <c r="K1699">
        <v>4</v>
      </c>
      <c r="L1699" t="s">
        <v>80</v>
      </c>
      <c r="M1699" s="3">
        <v>23.22</v>
      </c>
      <c r="N1699" s="3">
        <v>31.37</v>
      </c>
      <c r="O1699" s="10" t="str">
        <f>TEXT(Inventory_Data[[#This Row],[Date]],"mmm")</f>
        <v>Nov</v>
      </c>
    </row>
    <row r="1700" spans="1:15" x14ac:dyDescent="0.2">
      <c r="A1700" s="21">
        <v>45968</v>
      </c>
      <c r="B1700" s="5" t="s">
        <v>140</v>
      </c>
      <c r="C1700" t="s">
        <v>141</v>
      </c>
      <c r="D1700" t="s">
        <v>52</v>
      </c>
      <c r="E1700" t="s">
        <v>28</v>
      </c>
      <c r="F1700">
        <v>47</v>
      </c>
      <c r="G1700">
        <v>17</v>
      </c>
      <c r="H1700">
        <v>11</v>
      </c>
      <c r="I1700">
        <f>Inventory_Data[[#This Row],[Opening_Stock]]+Inventory_Data[[#This Row],[Units_Received]]-Inventory_Data[[#This Row],[Units_Sold]]</f>
        <v>53</v>
      </c>
      <c r="J1700">
        <v>0</v>
      </c>
      <c r="K1700">
        <v>2</v>
      </c>
      <c r="L1700" t="s">
        <v>83</v>
      </c>
      <c r="M1700" s="3">
        <v>328.45</v>
      </c>
      <c r="N1700" s="3">
        <v>448.98</v>
      </c>
      <c r="O1700" s="10" t="str">
        <f>TEXT(Inventory_Data[[#This Row],[Date]],"mmm")</f>
        <v>Nov</v>
      </c>
    </row>
    <row r="1701" spans="1:15" x14ac:dyDescent="0.2">
      <c r="A1701" s="21">
        <v>45969</v>
      </c>
      <c r="B1701" s="5" t="s">
        <v>112</v>
      </c>
      <c r="C1701" t="s">
        <v>113</v>
      </c>
      <c r="D1701" t="s">
        <v>16</v>
      </c>
      <c r="E1701" t="s">
        <v>28</v>
      </c>
      <c r="F1701">
        <v>149</v>
      </c>
      <c r="G1701">
        <v>86</v>
      </c>
      <c r="H1701">
        <v>73</v>
      </c>
      <c r="I1701">
        <f>Inventory_Data[[#This Row],[Opening_Stock]]+Inventory_Data[[#This Row],[Units_Received]]-Inventory_Data[[#This Row],[Units_Sold]]</f>
        <v>162</v>
      </c>
      <c r="J1701">
        <v>0</v>
      </c>
      <c r="K1701">
        <v>11</v>
      </c>
      <c r="L1701" t="s">
        <v>24</v>
      </c>
      <c r="M1701" s="3">
        <v>27.95</v>
      </c>
      <c r="N1701" s="3">
        <v>38.979999999999997</v>
      </c>
      <c r="O1701" s="10" t="str">
        <f>TEXT(Inventory_Data[[#This Row],[Date]],"mmm")</f>
        <v>Nov</v>
      </c>
    </row>
    <row r="1702" spans="1:15" x14ac:dyDescent="0.2">
      <c r="A1702" s="21">
        <v>45969</v>
      </c>
      <c r="B1702" s="5" t="s">
        <v>108</v>
      </c>
      <c r="C1702" t="s">
        <v>109</v>
      </c>
      <c r="D1702" t="s">
        <v>16</v>
      </c>
      <c r="E1702" t="s">
        <v>17</v>
      </c>
      <c r="F1702">
        <v>82</v>
      </c>
      <c r="G1702">
        <v>12</v>
      </c>
      <c r="H1702">
        <v>53</v>
      </c>
      <c r="I1702">
        <f>Inventory_Data[[#This Row],[Opening_Stock]]+Inventory_Data[[#This Row],[Units_Received]]-Inventory_Data[[#This Row],[Units_Sold]]</f>
        <v>41</v>
      </c>
      <c r="J1702">
        <v>0</v>
      </c>
      <c r="K1702">
        <v>8</v>
      </c>
      <c r="L1702" t="s">
        <v>24</v>
      </c>
      <c r="M1702" s="3">
        <v>185.75</v>
      </c>
      <c r="N1702" s="3">
        <v>286.86</v>
      </c>
      <c r="O1702" s="10" t="str">
        <f>TEXT(Inventory_Data[[#This Row],[Date]],"mmm")</f>
        <v>Nov</v>
      </c>
    </row>
    <row r="1703" spans="1:15" x14ac:dyDescent="0.2">
      <c r="A1703" s="21">
        <v>45969</v>
      </c>
      <c r="B1703" s="5" t="s">
        <v>156</v>
      </c>
      <c r="C1703" t="s">
        <v>157</v>
      </c>
      <c r="D1703" t="s">
        <v>27</v>
      </c>
      <c r="E1703" t="s">
        <v>21</v>
      </c>
      <c r="F1703">
        <v>216</v>
      </c>
      <c r="G1703">
        <v>229</v>
      </c>
      <c r="H1703">
        <v>147</v>
      </c>
      <c r="I1703">
        <f>Inventory_Data[[#This Row],[Opening_Stock]]+Inventory_Data[[#This Row],[Units_Received]]-Inventory_Data[[#This Row],[Units_Sold]]</f>
        <v>298</v>
      </c>
      <c r="J1703">
        <v>0</v>
      </c>
      <c r="K1703">
        <v>6</v>
      </c>
      <c r="L1703" t="s">
        <v>29</v>
      </c>
      <c r="M1703" s="3">
        <v>6.94</v>
      </c>
      <c r="N1703" s="3">
        <v>8.09</v>
      </c>
      <c r="O1703" s="10" t="str">
        <f>TEXT(Inventory_Data[[#This Row],[Date]],"mmm")</f>
        <v>Nov</v>
      </c>
    </row>
    <row r="1704" spans="1:15" x14ac:dyDescent="0.2">
      <c r="A1704" s="21">
        <v>45969</v>
      </c>
      <c r="B1704" s="5" t="s">
        <v>98</v>
      </c>
      <c r="C1704" t="s">
        <v>99</v>
      </c>
      <c r="D1704" t="s">
        <v>27</v>
      </c>
      <c r="E1704" t="s">
        <v>17</v>
      </c>
      <c r="F1704">
        <v>311</v>
      </c>
      <c r="G1704">
        <v>156</v>
      </c>
      <c r="H1704">
        <v>62</v>
      </c>
      <c r="I1704">
        <f>Inventory_Data[[#This Row],[Opening_Stock]]+Inventory_Data[[#This Row],[Units_Received]]-Inventory_Data[[#This Row],[Units_Sold]]</f>
        <v>405</v>
      </c>
      <c r="J1704">
        <v>0</v>
      </c>
      <c r="K1704">
        <v>2</v>
      </c>
      <c r="L1704" t="s">
        <v>80</v>
      </c>
      <c r="M1704" s="3">
        <v>2.97</v>
      </c>
      <c r="N1704" s="3">
        <v>3.43</v>
      </c>
      <c r="O1704" s="10" t="str">
        <f>TEXT(Inventory_Data[[#This Row],[Date]],"mmm")</f>
        <v>Nov</v>
      </c>
    </row>
    <row r="1705" spans="1:15" x14ac:dyDescent="0.2">
      <c r="A1705" s="21">
        <v>45969</v>
      </c>
      <c r="B1705" s="5" t="s">
        <v>104</v>
      </c>
      <c r="C1705" t="s">
        <v>105</v>
      </c>
      <c r="D1705" t="s">
        <v>34</v>
      </c>
      <c r="E1705" t="s">
        <v>21</v>
      </c>
      <c r="F1705">
        <v>118</v>
      </c>
      <c r="G1705">
        <v>147</v>
      </c>
      <c r="H1705">
        <v>147</v>
      </c>
      <c r="I1705">
        <f>Inventory_Data[[#This Row],[Opening_Stock]]+Inventory_Data[[#This Row],[Units_Received]]-Inventory_Data[[#This Row],[Units_Sold]]</f>
        <v>118</v>
      </c>
      <c r="J1705">
        <v>0</v>
      </c>
      <c r="K1705">
        <v>6</v>
      </c>
      <c r="L1705" t="s">
        <v>39</v>
      </c>
      <c r="M1705" s="3">
        <v>1.06</v>
      </c>
      <c r="N1705" s="3">
        <v>1.6</v>
      </c>
      <c r="O1705" s="10" t="str">
        <f>TEXT(Inventory_Data[[#This Row],[Date]],"mmm")</f>
        <v>Nov</v>
      </c>
    </row>
    <row r="1706" spans="1:15" x14ac:dyDescent="0.2">
      <c r="A1706" s="21">
        <v>45969</v>
      </c>
      <c r="B1706" s="5" t="s">
        <v>194</v>
      </c>
      <c r="C1706" t="s">
        <v>195</v>
      </c>
      <c r="D1706" t="s">
        <v>34</v>
      </c>
      <c r="E1706" t="s">
        <v>21</v>
      </c>
      <c r="F1706">
        <v>134</v>
      </c>
      <c r="G1706">
        <v>195</v>
      </c>
      <c r="H1706">
        <v>92</v>
      </c>
      <c r="I1706">
        <f>Inventory_Data[[#This Row],[Opening_Stock]]+Inventory_Data[[#This Row],[Units_Received]]-Inventory_Data[[#This Row],[Units_Sold]]</f>
        <v>237</v>
      </c>
      <c r="J1706">
        <v>0</v>
      </c>
      <c r="K1706">
        <v>4</v>
      </c>
      <c r="L1706" t="s">
        <v>36</v>
      </c>
      <c r="M1706" s="3">
        <v>28.62</v>
      </c>
      <c r="N1706" s="3">
        <v>36.68</v>
      </c>
      <c r="O1706" s="10" t="str">
        <f>TEXT(Inventory_Data[[#This Row],[Date]],"mmm")</f>
        <v>Nov</v>
      </c>
    </row>
    <row r="1707" spans="1:15" x14ac:dyDescent="0.2">
      <c r="A1707" s="21">
        <v>45970</v>
      </c>
      <c r="B1707" s="5" t="s">
        <v>162</v>
      </c>
      <c r="C1707" t="s">
        <v>163</v>
      </c>
      <c r="D1707" t="s">
        <v>16</v>
      </c>
      <c r="E1707" t="s">
        <v>35</v>
      </c>
      <c r="F1707">
        <v>38</v>
      </c>
      <c r="G1707">
        <v>75</v>
      </c>
      <c r="H1707">
        <v>43</v>
      </c>
      <c r="I1707">
        <f>Inventory_Data[[#This Row],[Opening_Stock]]+Inventory_Data[[#This Row],[Units_Received]]-Inventory_Data[[#This Row],[Units_Sold]]</f>
        <v>70</v>
      </c>
      <c r="J1707">
        <v>0</v>
      </c>
      <c r="K1707">
        <v>10</v>
      </c>
      <c r="L1707" t="s">
        <v>24</v>
      </c>
      <c r="M1707" s="3">
        <v>64.650000000000006</v>
      </c>
      <c r="N1707" s="3">
        <v>78.790000000000006</v>
      </c>
      <c r="O1707" s="10" t="str">
        <f>TEXT(Inventory_Data[[#This Row],[Date]],"mmm")</f>
        <v>Nov</v>
      </c>
    </row>
    <row r="1708" spans="1:15" x14ac:dyDescent="0.2">
      <c r="A1708" s="21">
        <v>45970</v>
      </c>
      <c r="B1708" s="5" t="s">
        <v>128</v>
      </c>
      <c r="C1708" t="s">
        <v>129</v>
      </c>
      <c r="D1708" t="s">
        <v>48</v>
      </c>
      <c r="E1708" t="s">
        <v>28</v>
      </c>
      <c r="F1708">
        <v>64</v>
      </c>
      <c r="G1708">
        <v>88</v>
      </c>
      <c r="H1708">
        <v>91</v>
      </c>
      <c r="I1708">
        <f>Inventory_Data[[#This Row],[Opening_Stock]]+Inventory_Data[[#This Row],[Units_Received]]-Inventory_Data[[#This Row],[Units_Sold]]</f>
        <v>61</v>
      </c>
      <c r="J1708">
        <v>0</v>
      </c>
      <c r="K1708">
        <v>3</v>
      </c>
      <c r="L1708" t="s">
        <v>63</v>
      </c>
      <c r="M1708" s="3">
        <v>55.58</v>
      </c>
      <c r="N1708" s="3">
        <v>84.02</v>
      </c>
      <c r="O1708" s="10" t="str">
        <f>TEXT(Inventory_Data[[#This Row],[Date]],"mmm")</f>
        <v>Nov</v>
      </c>
    </row>
    <row r="1709" spans="1:15" x14ac:dyDescent="0.2">
      <c r="A1709" s="21">
        <v>45970</v>
      </c>
      <c r="B1709" s="5" t="s">
        <v>86</v>
      </c>
      <c r="C1709" t="s">
        <v>87</v>
      </c>
      <c r="D1709" t="s">
        <v>48</v>
      </c>
      <c r="E1709" t="s">
        <v>21</v>
      </c>
      <c r="F1709">
        <v>183</v>
      </c>
      <c r="G1709">
        <v>44</v>
      </c>
      <c r="H1709">
        <v>63</v>
      </c>
      <c r="I1709">
        <f>Inventory_Data[[#This Row],[Opening_Stock]]+Inventory_Data[[#This Row],[Units_Received]]-Inventory_Data[[#This Row],[Units_Sold]]</f>
        <v>164</v>
      </c>
      <c r="J1709">
        <v>0</v>
      </c>
      <c r="K1709">
        <v>13</v>
      </c>
      <c r="L1709" t="s">
        <v>63</v>
      </c>
      <c r="M1709" s="3">
        <v>65.180000000000007</v>
      </c>
      <c r="N1709" s="3">
        <v>94.58</v>
      </c>
      <c r="O1709" s="10" t="str">
        <f>TEXT(Inventory_Data[[#This Row],[Date]],"mmm")</f>
        <v>Nov</v>
      </c>
    </row>
    <row r="1710" spans="1:15" x14ac:dyDescent="0.2">
      <c r="A1710" s="21">
        <v>45970</v>
      </c>
      <c r="B1710" s="5" t="s">
        <v>75</v>
      </c>
      <c r="C1710" t="s">
        <v>76</v>
      </c>
      <c r="D1710" t="s">
        <v>48</v>
      </c>
      <c r="E1710" t="s">
        <v>35</v>
      </c>
      <c r="F1710">
        <v>122</v>
      </c>
      <c r="G1710">
        <v>137</v>
      </c>
      <c r="H1710">
        <v>88</v>
      </c>
      <c r="I1710">
        <f>Inventory_Data[[#This Row],[Opening_Stock]]+Inventory_Data[[#This Row],[Units_Received]]-Inventory_Data[[#This Row],[Units_Sold]]</f>
        <v>171</v>
      </c>
      <c r="J1710">
        <v>0</v>
      </c>
      <c r="K1710">
        <v>4</v>
      </c>
      <c r="L1710" t="s">
        <v>49</v>
      </c>
      <c r="M1710" s="3">
        <v>50.5</v>
      </c>
      <c r="N1710" s="3">
        <v>67.400000000000006</v>
      </c>
      <c r="O1710" s="10" t="str">
        <f>TEXT(Inventory_Data[[#This Row],[Date]],"mmm")</f>
        <v>Nov</v>
      </c>
    </row>
    <row r="1711" spans="1:15" x14ac:dyDescent="0.2">
      <c r="A1711" s="21">
        <v>45970</v>
      </c>
      <c r="B1711" s="5" t="s">
        <v>75</v>
      </c>
      <c r="C1711" t="s">
        <v>76</v>
      </c>
      <c r="D1711" t="s">
        <v>48</v>
      </c>
      <c r="E1711" t="s">
        <v>35</v>
      </c>
      <c r="F1711">
        <v>185</v>
      </c>
      <c r="G1711">
        <v>40</v>
      </c>
      <c r="H1711">
        <v>63</v>
      </c>
      <c r="I1711">
        <f>Inventory_Data[[#This Row],[Opening_Stock]]+Inventory_Data[[#This Row],[Units_Received]]-Inventory_Data[[#This Row],[Units_Sold]]</f>
        <v>162</v>
      </c>
      <c r="J1711">
        <v>0</v>
      </c>
      <c r="K1711">
        <v>11</v>
      </c>
      <c r="L1711" t="s">
        <v>63</v>
      </c>
      <c r="M1711" s="3">
        <v>65.58</v>
      </c>
      <c r="N1711" s="3">
        <v>88.88</v>
      </c>
      <c r="O1711" s="10" t="str">
        <f>TEXT(Inventory_Data[[#This Row],[Date]],"mmm")</f>
        <v>Nov</v>
      </c>
    </row>
    <row r="1712" spans="1:15" x14ac:dyDescent="0.2">
      <c r="A1712" s="21">
        <v>45970</v>
      </c>
      <c r="B1712" s="5" t="s">
        <v>98</v>
      </c>
      <c r="C1712" t="s">
        <v>99</v>
      </c>
      <c r="D1712" t="s">
        <v>27</v>
      </c>
      <c r="E1712" t="s">
        <v>35</v>
      </c>
      <c r="F1712">
        <v>295</v>
      </c>
      <c r="G1712">
        <v>216</v>
      </c>
      <c r="H1712">
        <v>143</v>
      </c>
      <c r="I1712">
        <f>Inventory_Data[[#This Row],[Opening_Stock]]+Inventory_Data[[#This Row],[Units_Received]]-Inventory_Data[[#This Row],[Units_Sold]]</f>
        <v>368</v>
      </c>
      <c r="J1712">
        <v>0</v>
      </c>
      <c r="K1712">
        <v>2</v>
      </c>
      <c r="L1712" t="s">
        <v>66</v>
      </c>
      <c r="M1712" s="3">
        <v>15.39</v>
      </c>
      <c r="N1712" s="3">
        <v>22.61</v>
      </c>
      <c r="O1712" s="10" t="str">
        <f>TEXT(Inventory_Data[[#This Row],[Date]],"mmm")</f>
        <v>Nov</v>
      </c>
    </row>
    <row r="1713" spans="1:15" x14ac:dyDescent="0.2">
      <c r="A1713" s="21">
        <v>45970</v>
      </c>
      <c r="B1713" s="5" t="s">
        <v>160</v>
      </c>
      <c r="C1713" t="s">
        <v>161</v>
      </c>
      <c r="D1713" t="s">
        <v>27</v>
      </c>
      <c r="E1713" t="s">
        <v>35</v>
      </c>
      <c r="F1713">
        <v>463</v>
      </c>
      <c r="G1713">
        <v>50</v>
      </c>
      <c r="H1713">
        <v>101</v>
      </c>
      <c r="I1713">
        <f>Inventory_Data[[#This Row],[Opening_Stock]]+Inventory_Data[[#This Row],[Units_Received]]-Inventory_Data[[#This Row],[Units_Sold]]</f>
        <v>412</v>
      </c>
      <c r="J1713">
        <v>0</v>
      </c>
      <c r="K1713">
        <v>3</v>
      </c>
      <c r="L1713" t="s">
        <v>80</v>
      </c>
      <c r="M1713" s="3">
        <v>2.44</v>
      </c>
      <c r="N1713" s="3">
        <v>3.3</v>
      </c>
      <c r="O1713" s="10" t="str">
        <f>TEXT(Inventory_Data[[#This Row],[Date]],"mmm")</f>
        <v>Nov</v>
      </c>
    </row>
    <row r="1714" spans="1:15" x14ac:dyDescent="0.2">
      <c r="A1714" s="21">
        <v>45970</v>
      </c>
      <c r="B1714" s="5" t="s">
        <v>116</v>
      </c>
      <c r="C1714" t="s">
        <v>117</v>
      </c>
      <c r="D1714" t="s">
        <v>52</v>
      </c>
      <c r="E1714" t="s">
        <v>21</v>
      </c>
      <c r="F1714">
        <v>27</v>
      </c>
      <c r="G1714">
        <v>23</v>
      </c>
      <c r="H1714">
        <v>1</v>
      </c>
      <c r="I1714">
        <f>Inventory_Data[[#This Row],[Opening_Stock]]+Inventory_Data[[#This Row],[Units_Received]]-Inventory_Data[[#This Row],[Units_Sold]]</f>
        <v>49</v>
      </c>
      <c r="J1714">
        <v>0</v>
      </c>
      <c r="K1714">
        <v>14</v>
      </c>
      <c r="L1714" t="s">
        <v>53</v>
      </c>
      <c r="M1714" s="3">
        <v>288.18</v>
      </c>
      <c r="N1714" s="3">
        <v>433.61</v>
      </c>
      <c r="O1714" s="10" t="str">
        <f>TEXT(Inventory_Data[[#This Row],[Date]],"mmm")</f>
        <v>Nov</v>
      </c>
    </row>
    <row r="1715" spans="1:15" x14ac:dyDescent="0.2">
      <c r="A1715" s="21">
        <v>45971</v>
      </c>
      <c r="B1715" s="5" t="s">
        <v>19</v>
      </c>
      <c r="C1715" t="s">
        <v>20</v>
      </c>
      <c r="D1715" t="s">
        <v>16</v>
      </c>
      <c r="E1715" t="s">
        <v>17</v>
      </c>
      <c r="F1715">
        <v>110</v>
      </c>
      <c r="G1715">
        <v>18</v>
      </c>
      <c r="H1715">
        <v>41</v>
      </c>
      <c r="I1715">
        <f>Inventory_Data[[#This Row],[Opening_Stock]]+Inventory_Data[[#This Row],[Units_Received]]-Inventory_Data[[#This Row],[Units_Sold]]</f>
        <v>87</v>
      </c>
      <c r="J1715">
        <v>0</v>
      </c>
      <c r="K1715">
        <v>12</v>
      </c>
      <c r="L1715" t="s">
        <v>18</v>
      </c>
      <c r="M1715" s="3">
        <v>179.21</v>
      </c>
      <c r="N1715" s="3">
        <v>234.56</v>
      </c>
      <c r="O1715" s="10" t="str">
        <f>TEXT(Inventory_Data[[#This Row],[Date]],"mmm")</f>
        <v>Nov</v>
      </c>
    </row>
    <row r="1716" spans="1:15" x14ac:dyDescent="0.2">
      <c r="A1716" s="21">
        <v>45971</v>
      </c>
      <c r="B1716" s="5" t="s">
        <v>144</v>
      </c>
      <c r="C1716" t="s">
        <v>145</v>
      </c>
      <c r="D1716" t="s">
        <v>48</v>
      </c>
      <c r="E1716" t="s">
        <v>21</v>
      </c>
      <c r="F1716">
        <v>266</v>
      </c>
      <c r="G1716">
        <v>81</v>
      </c>
      <c r="H1716">
        <v>94</v>
      </c>
      <c r="I1716">
        <f>Inventory_Data[[#This Row],[Opening_Stock]]+Inventory_Data[[#This Row],[Units_Received]]-Inventory_Data[[#This Row],[Units_Sold]]</f>
        <v>253</v>
      </c>
      <c r="J1716">
        <v>0</v>
      </c>
      <c r="K1716">
        <v>7</v>
      </c>
      <c r="L1716" t="s">
        <v>63</v>
      </c>
      <c r="M1716" s="3">
        <v>35.65</v>
      </c>
      <c r="N1716" s="3">
        <v>41.2</v>
      </c>
      <c r="O1716" s="10" t="str">
        <f>TEXT(Inventory_Data[[#This Row],[Date]],"mmm")</f>
        <v>Nov</v>
      </c>
    </row>
    <row r="1717" spans="1:15" x14ac:dyDescent="0.2">
      <c r="A1717" s="21">
        <v>45971</v>
      </c>
      <c r="B1717" s="5" t="s">
        <v>164</v>
      </c>
      <c r="C1717" t="s">
        <v>165</v>
      </c>
      <c r="D1717" t="s">
        <v>48</v>
      </c>
      <c r="E1717" t="s">
        <v>28</v>
      </c>
      <c r="F1717">
        <v>246</v>
      </c>
      <c r="G1717">
        <v>42</v>
      </c>
      <c r="H1717">
        <v>128</v>
      </c>
      <c r="I1717">
        <f>Inventory_Data[[#This Row],[Opening_Stock]]+Inventory_Data[[#This Row],[Units_Received]]-Inventory_Data[[#This Row],[Units_Sold]]</f>
        <v>160</v>
      </c>
      <c r="J1717">
        <v>0</v>
      </c>
      <c r="K1717">
        <v>7</v>
      </c>
      <c r="L1717" t="s">
        <v>63</v>
      </c>
      <c r="M1717" s="3">
        <v>72.510000000000005</v>
      </c>
      <c r="N1717" s="3">
        <v>105.83</v>
      </c>
      <c r="O1717" s="10" t="str">
        <f>TEXT(Inventory_Data[[#This Row],[Date]],"mmm")</f>
        <v>Nov</v>
      </c>
    </row>
    <row r="1718" spans="1:15" x14ac:dyDescent="0.2">
      <c r="A1718" s="21">
        <v>45971</v>
      </c>
      <c r="B1718" s="5" t="s">
        <v>160</v>
      </c>
      <c r="C1718" t="s">
        <v>161</v>
      </c>
      <c r="D1718" t="s">
        <v>27</v>
      </c>
      <c r="E1718" t="s">
        <v>28</v>
      </c>
      <c r="F1718">
        <v>354</v>
      </c>
      <c r="G1718">
        <v>73</v>
      </c>
      <c r="H1718">
        <v>97</v>
      </c>
      <c r="I1718">
        <f>Inventory_Data[[#This Row],[Opening_Stock]]+Inventory_Data[[#This Row],[Units_Received]]-Inventory_Data[[#This Row],[Units_Sold]]</f>
        <v>330</v>
      </c>
      <c r="J1718">
        <v>0</v>
      </c>
      <c r="K1718">
        <v>5</v>
      </c>
      <c r="L1718" t="s">
        <v>66</v>
      </c>
      <c r="M1718" s="3">
        <v>16.2</v>
      </c>
      <c r="N1718" s="3">
        <v>22.02</v>
      </c>
      <c r="O1718" s="10" t="str">
        <f>TEXT(Inventory_Data[[#This Row],[Date]],"mmm")</f>
        <v>Nov</v>
      </c>
    </row>
    <row r="1719" spans="1:15" x14ac:dyDescent="0.2">
      <c r="A1719" s="21">
        <v>45971</v>
      </c>
      <c r="B1719" s="5" t="s">
        <v>118</v>
      </c>
      <c r="C1719" t="s">
        <v>119</v>
      </c>
      <c r="D1719" t="s">
        <v>34</v>
      </c>
      <c r="E1719" t="s">
        <v>28</v>
      </c>
      <c r="F1719">
        <v>218</v>
      </c>
      <c r="G1719">
        <v>157</v>
      </c>
      <c r="H1719">
        <v>177</v>
      </c>
      <c r="I1719">
        <f>Inventory_Data[[#This Row],[Opening_Stock]]+Inventory_Data[[#This Row],[Units_Received]]-Inventory_Data[[#This Row],[Units_Sold]]</f>
        <v>198</v>
      </c>
      <c r="J1719">
        <v>0</v>
      </c>
      <c r="K1719">
        <v>10</v>
      </c>
      <c r="L1719" t="s">
        <v>39</v>
      </c>
      <c r="M1719" s="3">
        <v>15.71</v>
      </c>
      <c r="N1719" s="3">
        <v>22.08</v>
      </c>
      <c r="O1719" s="10" t="str">
        <f>TEXT(Inventory_Data[[#This Row],[Date]],"mmm")</f>
        <v>Nov</v>
      </c>
    </row>
    <row r="1720" spans="1:15" x14ac:dyDescent="0.2">
      <c r="A1720" s="21">
        <v>45972</v>
      </c>
      <c r="B1720" s="5" t="s">
        <v>128</v>
      </c>
      <c r="C1720" t="s">
        <v>129</v>
      </c>
      <c r="D1720" t="s">
        <v>48</v>
      </c>
      <c r="E1720" t="s">
        <v>35</v>
      </c>
      <c r="F1720">
        <v>137</v>
      </c>
      <c r="G1720">
        <v>139</v>
      </c>
      <c r="H1720">
        <v>46</v>
      </c>
      <c r="I1720">
        <f>Inventory_Data[[#This Row],[Opening_Stock]]+Inventory_Data[[#This Row],[Units_Received]]-Inventory_Data[[#This Row],[Units_Sold]]</f>
        <v>230</v>
      </c>
      <c r="J1720">
        <v>0</v>
      </c>
      <c r="K1720">
        <v>8</v>
      </c>
      <c r="L1720" t="s">
        <v>49</v>
      </c>
      <c r="M1720" s="3">
        <v>56.26</v>
      </c>
      <c r="N1720" s="3">
        <v>73.87</v>
      </c>
      <c r="O1720" s="10" t="str">
        <f>TEXT(Inventory_Data[[#This Row],[Date]],"mmm")</f>
        <v>Nov</v>
      </c>
    </row>
    <row r="1721" spans="1:15" x14ac:dyDescent="0.2">
      <c r="A1721" s="21">
        <v>45972</v>
      </c>
      <c r="B1721" s="5" t="s">
        <v>192</v>
      </c>
      <c r="C1721" t="s">
        <v>193</v>
      </c>
      <c r="D1721" t="s">
        <v>48</v>
      </c>
      <c r="E1721" t="s">
        <v>17</v>
      </c>
      <c r="F1721">
        <v>262</v>
      </c>
      <c r="G1721">
        <v>134</v>
      </c>
      <c r="H1721">
        <v>10</v>
      </c>
      <c r="I1721">
        <f>Inventory_Data[[#This Row],[Opening_Stock]]+Inventory_Data[[#This Row],[Units_Received]]-Inventory_Data[[#This Row],[Units_Sold]]</f>
        <v>386</v>
      </c>
      <c r="J1721">
        <v>0</v>
      </c>
      <c r="K1721">
        <v>13</v>
      </c>
      <c r="L1721" t="s">
        <v>63</v>
      </c>
      <c r="M1721" s="3">
        <v>12.7</v>
      </c>
      <c r="N1721" s="3">
        <v>15.49</v>
      </c>
      <c r="O1721" s="10" t="str">
        <f>TEXT(Inventory_Data[[#This Row],[Date]],"mmm")</f>
        <v>Nov</v>
      </c>
    </row>
    <row r="1722" spans="1:15" x14ac:dyDescent="0.2">
      <c r="A1722" s="21">
        <v>45972</v>
      </c>
      <c r="B1722" s="5" t="s">
        <v>140</v>
      </c>
      <c r="C1722" t="s">
        <v>141</v>
      </c>
      <c r="D1722" t="s">
        <v>52</v>
      </c>
      <c r="E1722" t="s">
        <v>28</v>
      </c>
      <c r="F1722">
        <v>45</v>
      </c>
      <c r="G1722">
        <v>19</v>
      </c>
      <c r="H1722">
        <v>5</v>
      </c>
      <c r="I1722">
        <f>Inventory_Data[[#This Row],[Opening_Stock]]+Inventory_Data[[#This Row],[Units_Received]]-Inventory_Data[[#This Row],[Units_Sold]]</f>
        <v>59</v>
      </c>
      <c r="J1722">
        <v>0</v>
      </c>
      <c r="K1722">
        <v>4</v>
      </c>
      <c r="L1722" t="s">
        <v>56</v>
      </c>
      <c r="M1722" s="3">
        <v>218.8</v>
      </c>
      <c r="N1722" s="3">
        <v>299.72000000000003</v>
      </c>
      <c r="O1722" s="10" t="str">
        <f>TEXT(Inventory_Data[[#This Row],[Date]],"mmm")</f>
        <v>Nov</v>
      </c>
    </row>
    <row r="1723" spans="1:15" x14ac:dyDescent="0.2">
      <c r="A1723" s="21">
        <v>45972</v>
      </c>
      <c r="B1723" s="5" t="s">
        <v>110</v>
      </c>
      <c r="C1723" t="s">
        <v>111</v>
      </c>
      <c r="D1723" t="s">
        <v>52</v>
      </c>
      <c r="E1723" t="s">
        <v>17</v>
      </c>
      <c r="F1723">
        <v>78</v>
      </c>
      <c r="G1723">
        <v>24</v>
      </c>
      <c r="H1723">
        <v>16</v>
      </c>
      <c r="I1723">
        <f>Inventory_Data[[#This Row],[Opening_Stock]]+Inventory_Data[[#This Row],[Units_Received]]-Inventory_Data[[#This Row],[Units_Sold]]</f>
        <v>86</v>
      </c>
      <c r="J1723">
        <v>0</v>
      </c>
      <c r="K1723">
        <v>4</v>
      </c>
      <c r="L1723" t="s">
        <v>83</v>
      </c>
      <c r="M1723" s="3">
        <v>77.28</v>
      </c>
      <c r="N1723" s="3">
        <v>110.52</v>
      </c>
      <c r="O1723" s="10" t="str">
        <f>TEXT(Inventory_Data[[#This Row],[Date]],"mmm")</f>
        <v>Nov</v>
      </c>
    </row>
    <row r="1724" spans="1:15" x14ac:dyDescent="0.2">
      <c r="A1724" s="21">
        <v>45973</v>
      </c>
      <c r="B1724" s="5" t="s">
        <v>84</v>
      </c>
      <c r="C1724" t="s">
        <v>85</v>
      </c>
      <c r="D1724" t="s">
        <v>48</v>
      </c>
      <c r="E1724" t="s">
        <v>28</v>
      </c>
      <c r="F1724">
        <v>118</v>
      </c>
      <c r="G1724">
        <v>148</v>
      </c>
      <c r="H1724">
        <v>75</v>
      </c>
      <c r="I1724">
        <f>Inventory_Data[[#This Row],[Opening_Stock]]+Inventory_Data[[#This Row],[Units_Received]]-Inventory_Data[[#This Row],[Units_Sold]]</f>
        <v>191</v>
      </c>
      <c r="J1724">
        <v>0</v>
      </c>
      <c r="K1724">
        <v>9</v>
      </c>
      <c r="L1724" t="s">
        <v>77</v>
      </c>
      <c r="M1724" s="3">
        <v>45.53</v>
      </c>
      <c r="N1724" s="3">
        <v>61.81</v>
      </c>
      <c r="O1724" s="10" t="str">
        <f>TEXT(Inventory_Data[[#This Row],[Date]],"mmm")</f>
        <v>Nov</v>
      </c>
    </row>
    <row r="1725" spans="1:15" x14ac:dyDescent="0.2">
      <c r="A1725" s="21">
        <v>45973</v>
      </c>
      <c r="B1725" s="5" t="s">
        <v>146</v>
      </c>
      <c r="C1725" t="s">
        <v>147</v>
      </c>
      <c r="D1725" t="s">
        <v>48</v>
      </c>
      <c r="E1725" t="s">
        <v>35</v>
      </c>
      <c r="F1725">
        <v>110</v>
      </c>
      <c r="G1725">
        <v>111</v>
      </c>
      <c r="H1725">
        <v>134</v>
      </c>
      <c r="I1725">
        <f>Inventory_Data[[#This Row],[Opening_Stock]]+Inventory_Data[[#This Row],[Units_Received]]-Inventory_Data[[#This Row],[Units_Sold]]</f>
        <v>87</v>
      </c>
      <c r="J1725">
        <v>0</v>
      </c>
      <c r="K1725">
        <v>7</v>
      </c>
      <c r="L1725" t="s">
        <v>63</v>
      </c>
      <c r="M1725" s="3">
        <v>11.98</v>
      </c>
      <c r="N1725" s="3">
        <v>16.899999999999999</v>
      </c>
      <c r="O1725" s="10" t="str">
        <f>TEXT(Inventory_Data[[#This Row],[Date]],"mmm")</f>
        <v>Nov</v>
      </c>
    </row>
    <row r="1726" spans="1:15" x14ac:dyDescent="0.2">
      <c r="A1726" s="21">
        <v>45973</v>
      </c>
      <c r="B1726" s="5" t="s">
        <v>46</v>
      </c>
      <c r="C1726" t="s">
        <v>47</v>
      </c>
      <c r="D1726" t="s">
        <v>48</v>
      </c>
      <c r="E1726" t="s">
        <v>28</v>
      </c>
      <c r="F1726">
        <v>179</v>
      </c>
      <c r="G1726">
        <v>113</v>
      </c>
      <c r="H1726">
        <v>72</v>
      </c>
      <c r="I1726">
        <f>Inventory_Data[[#This Row],[Opening_Stock]]+Inventory_Data[[#This Row],[Units_Received]]-Inventory_Data[[#This Row],[Units_Sold]]</f>
        <v>220</v>
      </c>
      <c r="J1726">
        <v>0</v>
      </c>
      <c r="K1726">
        <v>5</v>
      </c>
      <c r="L1726" t="s">
        <v>63</v>
      </c>
      <c r="M1726" s="3">
        <v>29.81</v>
      </c>
      <c r="N1726" s="3">
        <v>41.33</v>
      </c>
      <c r="O1726" s="10" t="str">
        <f>TEXT(Inventory_Data[[#This Row],[Date]],"mmm")</f>
        <v>Nov</v>
      </c>
    </row>
    <row r="1727" spans="1:15" x14ac:dyDescent="0.2">
      <c r="A1727" s="21">
        <v>45973</v>
      </c>
      <c r="B1727" s="5" t="s">
        <v>92</v>
      </c>
      <c r="C1727" t="s">
        <v>93</v>
      </c>
      <c r="D1727" t="s">
        <v>27</v>
      </c>
      <c r="E1727" t="s">
        <v>21</v>
      </c>
      <c r="F1727">
        <v>236</v>
      </c>
      <c r="G1727">
        <v>146</v>
      </c>
      <c r="H1727">
        <v>122</v>
      </c>
      <c r="I1727">
        <f>Inventory_Data[[#This Row],[Opening_Stock]]+Inventory_Data[[#This Row],[Units_Received]]-Inventory_Data[[#This Row],[Units_Sold]]</f>
        <v>260</v>
      </c>
      <c r="J1727">
        <v>0</v>
      </c>
      <c r="K1727">
        <v>2</v>
      </c>
      <c r="L1727" t="s">
        <v>66</v>
      </c>
      <c r="M1727" s="3">
        <v>15.96</v>
      </c>
      <c r="N1727" s="3">
        <v>19.559999999999999</v>
      </c>
      <c r="O1727" s="10" t="str">
        <f>TEXT(Inventory_Data[[#This Row],[Date]],"mmm")</f>
        <v>Nov</v>
      </c>
    </row>
    <row r="1728" spans="1:15" x14ac:dyDescent="0.2">
      <c r="A1728" s="21">
        <v>45973</v>
      </c>
      <c r="B1728" s="5" t="s">
        <v>50</v>
      </c>
      <c r="C1728" t="s">
        <v>51</v>
      </c>
      <c r="D1728" t="s">
        <v>52</v>
      </c>
      <c r="E1728" t="s">
        <v>28</v>
      </c>
      <c r="F1728">
        <v>60</v>
      </c>
      <c r="G1728">
        <v>17</v>
      </c>
      <c r="H1728">
        <v>11</v>
      </c>
      <c r="I1728">
        <f>Inventory_Data[[#This Row],[Opening_Stock]]+Inventory_Data[[#This Row],[Units_Received]]-Inventory_Data[[#This Row],[Units_Sold]]</f>
        <v>66</v>
      </c>
      <c r="J1728">
        <v>0</v>
      </c>
      <c r="K1728">
        <v>11</v>
      </c>
      <c r="L1728" t="s">
        <v>56</v>
      </c>
      <c r="M1728" s="3">
        <v>99.23</v>
      </c>
      <c r="N1728" s="3">
        <v>146.75</v>
      </c>
      <c r="O1728" s="10" t="str">
        <f>TEXT(Inventory_Data[[#This Row],[Date]],"mmm")</f>
        <v>Nov</v>
      </c>
    </row>
    <row r="1729" spans="1:15" x14ac:dyDescent="0.2">
      <c r="A1729" s="21">
        <v>45973</v>
      </c>
      <c r="B1729" s="5" t="s">
        <v>100</v>
      </c>
      <c r="C1729" t="s">
        <v>101</v>
      </c>
      <c r="D1729" t="s">
        <v>52</v>
      </c>
      <c r="E1729" t="s">
        <v>21</v>
      </c>
      <c r="F1729">
        <v>16</v>
      </c>
      <c r="G1729">
        <v>16</v>
      </c>
      <c r="H1729">
        <v>12</v>
      </c>
      <c r="I1729">
        <f>Inventory_Data[[#This Row],[Opening_Stock]]+Inventory_Data[[#This Row],[Units_Received]]-Inventory_Data[[#This Row],[Units_Sold]]</f>
        <v>20</v>
      </c>
      <c r="J1729">
        <v>0</v>
      </c>
      <c r="K1729">
        <v>12</v>
      </c>
      <c r="L1729" t="s">
        <v>83</v>
      </c>
      <c r="M1729" s="3">
        <v>139.51</v>
      </c>
      <c r="N1729" s="3">
        <v>162.84</v>
      </c>
      <c r="O1729" s="10" t="str">
        <f>TEXT(Inventory_Data[[#This Row],[Date]],"mmm")</f>
        <v>Nov</v>
      </c>
    </row>
    <row r="1730" spans="1:15" x14ac:dyDescent="0.2">
      <c r="A1730" s="21">
        <v>45973</v>
      </c>
      <c r="B1730" s="5" t="s">
        <v>174</v>
      </c>
      <c r="C1730" t="s">
        <v>175</v>
      </c>
      <c r="D1730" t="s">
        <v>52</v>
      </c>
      <c r="E1730" t="s">
        <v>35</v>
      </c>
      <c r="F1730">
        <v>52</v>
      </c>
      <c r="G1730">
        <v>4</v>
      </c>
      <c r="H1730">
        <v>15</v>
      </c>
      <c r="I1730">
        <f>Inventory_Data[[#This Row],[Opening_Stock]]+Inventory_Data[[#This Row],[Units_Received]]-Inventory_Data[[#This Row],[Units_Sold]]</f>
        <v>41</v>
      </c>
      <c r="J1730">
        <v>0</v>
      </c>
      <c r="K1730">
        <v>14</v>
      </c>
      <c r="L1730" t="s">
        <v>56</v>
      </c>
      <c r="M1730" s="3">
        <v>229.24</v>
      </c>
      <c r="N1730" s="3">
        <v>326.77</v>
      </c>
      <c r="O1730" s="10" t="str">
        <f>TEXT(Inventory_Data[[#This Row],[Date]],"mmm")</f>
        <v>Nov</v>
      </c>
    </row>
    <row r="1731" spans="1:15" x14ac:dyDescent="0.2">
      <c r="A1731" s="21">
        <v>45973</v>
      </c>
      <c r="B1731" s="5" t="s">
        <v>118</v>
      </c>
      <c r="C1731" t="s">
        <v>119</v>
      </c>
      <c r="D1731" t="s">
        <v>34</v>
      </c>
      <c r="E1731" t="s">
        <v>21</v>
      </c>
      <c r="F1731">
        <v>208</v>
      </c>
      <c r="G1731">
        <v>113</v>
      </c>
      <c r="H1731">
        <v>164</v>
      </c>
      <c r="I1731">
        <f>Inventory_Data[[#This Row],[Opening_Stock]]+Inventory_Data[[#This Row],[Units_Received]]-Inventory_Data[[#This Row],[Units_Sold]]</f>
        <v>157</v>
      </c>
      <c r="J1731">
        <v>0</v>
      </c>
      <c r="K1731">
        <v>3</v>
      </c>
      <c r="L1731" t="s">
        <v>36</v>
      </c>
      <c r="M1731" s="3">
        <v>23.85</v>
      </c>
      <c r="N1731" s="3">
        <v>35.68</v>
      </c>
      <c r="O1731" s="10" t="str">
        <f>TEXT(Inventory_Data[[#This Row],[Date]],"mmm")</f>
        <v>Nov</v>
      </c>
    </row>
    <row r="1732" spans="1:15" x14ac:dyDescent="0.2">
      <c r="A1732" s="21">
        <v>45974</v>
      </c>
      <c r="B1732" s="5" t="s">
        <v>106</v>
      </c>
      <c r="C1732" t="s">
        <v>107</v>
      </c>
      <c r="D1732" t="s">
        <v>16</v>
      </c>
      <c r="E1732" t="s">
        <v>17</v>
      </c>
      <c r="F1732">
        <v>149</v>
      </c>
      <c r="G1732">
        <v>73</v>
      </c>
      <c r="H1732">
        <v>78</v>
      </c>
      <c r="I1732">
        <f>Inventory_Data[[#This Row],[Opening_Stock]]+Inventory_Data[[#This Row],[Units_Received]]-Inventory_Data[[#This Row],[Units_Sold]]</f>
        <v>144</v>
      </c>
      <c r="J1732">
        <v>0</v>
      </c>
      <c r="K1732">
        <v>6</v>
      </c>
      <c r="L1732" t="s">
        <v>18</v>
      </c>
      <c r="M1732" s="3">
        <v>190.96</v>
      </c>
      <c r="N1732" s="3">
        <v>255.02</v>
      </c>
      <c r="O1732" s="10" t="str">
        <f>TEXT(Inventory_Data[[#This Row],[Date]],"mmm")</f>
        <v>Nov</v>
      </c>
    </row>
    <row r="1733" spans="1:15" x14ac:dyDescent="0.2">
      <c r="A1733" s="21">
        <v>45974</v>
      </c>
      <c r="B1733" s="5" t="s">
        <v>106</v>
      </c>
      <c r="C1733" t="s">
        <v>107</v>
      </c>
      <c r="D1733" t="s">
        <v>16</v>
      </c>
      <c r="E1733" t="s">
        <v>17</v>
      </c>
      <c r="F1733">
        <v>74</v>
      </c>
      <c r="G1733">
        <v>34</v>
      </c>
      <c r="H1733">
        <v>30</v>
      </c>
      <c r="I1733">
        <f>Inventory_Data[[#This Row],[Opening_Stock]]+Inventory_Data[[#This Row],[Units_Received]]-Inventory_Data[[#This Row],[Units_Sold]]</f>
        <v>78</v>
      </c>
      <c r="J1733">
        <v>0</v>
      </c>
      <c r="K1733">
        <v>2</v>
      </c>
      <c r="L1733" t="s">
        <v>18</v>
      </c>
      <c r="M1733" s="3">
        <v>82.03</v>
      </c>
      <c r="N1733" s="3">
        <v>108.85</v>
      </c>
      <c r="O1733" s="10" t="str">
        <f>TEXT(Inventory_Data[[#This Row],[Date]],"mmm")</f>
        <v>Nov</v>
      </c>
    </row>
    <row r="1734" spans="1:15" x14ac:dyDescent="0.2">
      <c r="A1734" s="21">
        <v>45974</v>
      </c>
      <c r="B1734" s="5" t="s">
        <v>154</v>
      </c>
      <c r="C1734" t="s">
        <v>155</v>
      </c>
      <c r="D1734" t="s">
        <v>48</v>
      </c>
      <c r="E1734" t="s">
        <v>17</v>
      </c>
      <c r="F1734">
        <v>134</v>
      </c>
      <c r="G1734">
        <v>36</v>
      </c>
      <c r="H1734">
        <v>133</v>
      </c>
      <c r="I1734">
        <f>Inventory_Data[[#This Row],[Opening_Stock]]+Inventory_Data[[#This Row],[Units_Received]]-Inventory_Data[[#This Row],[Units_Sold]]</f>
        <v>37</v>
      </c>
      <c r="J1734">
        <v>0</v>
      </c>
      <c r="K1734">
        <v>9</v>
      </c>
      <c r="L1734" t="s">
        <v>49</v>
      </c>
      <c r="M1734" s="3">
        <v>19.420000000000002</v>
      </c>
      <c r="N1734" s="3">
        <v>27.09</v>
      </c>
      <c r="O1734" s="10" t="str">
        <f>TEXT(Inventory_Data[[#This Row],[Date]],"mmm")</f>
        <v>Nov</v>
      </c>
    </row>
    <row r="1735" spans="1:15" x14ac:dyDescent="0.2">
      <c r="A1735" s="21">
        <v>45974</v>
      </c>
      <c r="B1735" s="5" t="s">
        <v>186</v>
      </c>
      <c r="C1735" t="s">
        <v>187</v>
      </c>
      <c r="D1735" t="s">
        <v>27</v>
      </c>
      <c r="E1735" t="s">
        <v>35</v>
      </c>
      <c r="F1735">
        <v>247</v>
      </c>
      <c r="G1735">
        <v>122</v>
      </c>
      <c r="H1735">
        <v>212</v>
      </c>
      <c r="I1735">
        <f>Inventory_Data[[#This Row],[Opening_Stock]]+Inventory_Data[[#This Row],[Units_Received]]-Inventory_Data[[#This Row],[Units_Sold]]</f>
        <v>157</v>
      </c>
      <c r="J1735">
        <v>0</v>
      </c>
      <c r="K1735">
        <v>5</v>
      </c>
      <c r="L1735" t="s">
        <v>80</v>
      </c>
      <c r="M1735" s="3">
        <v>18.52</v>
      </c>
      <c r="N1735" s="3">
        <v>27.69</v>
      </c>
      <c r="O1735" s="10" t="str">
        <f>TEXT(Inventory_Data[[#This Row],[Date]],"mmm")</f>
        <v>Nov</v>
      </c>
    </row>
    <row r="1736" spans="1:15" x14ac:dyDescent="0.2">
      <c r="A1736" s="21">
        <v>45974</v>
      </c>
      <c r="B1736" s="5" t="s">
        <v>116</v>
      </c>
      <c r="C1736" t="s">
        <v>117</v>
      </c>
      <c r="D1736" t="s">
        <v>52</v>
      </c>
      <c r="E1736" t="s">
        <v>21</v>
      </c>
      <c r="F1736">
        <v>44</v>
      </c>
      <c r="G1736">
        <v>24</v>
      </c>
      <c r="H1736">
        <v>14</v>
      </c>
      <c r="I1736">
        <f>Inventory_Data[[#This Row],[Opening_Stock]]+Inventory_Data[[#This Row],[Units_Received]]-Inventory_Data[[#This Row],[Units_Sold]]</f>
        <v>54</v>
      </c>
      <c r="J1736">
        <v>0</v>
      </c>
      <c r="K1736">
        <v>2</v>
      </c>
      <c r="L1736" t="s">
        <v>83</v>
      </c>
      <c r="M1736" s="3">
        <v>238.76</v>
      </c>
      <c r="N1736" s="3">
        <v>335.85</v>
      </c>
      <c r="O1736" s="10" t="str">
        <f>TEXT(Inventory_Data[[#This Row],[Date]],"mmm")</f>
        <v>Nov</v>
      </c>
    </row>
    <row r="1737" spans="1:15" x14ac:dyDescent="0.2">
      <c r="A1737" s="21">
        <v>45975</v>
      </c>
      <c r="B1737" s="5" t="s">
        <v>71</v>
      </c>
      <c r="C1737" t="s">
        <v>72</v>
      </c>
      <c r="D1737" t="s">
        <v>16</v>
      </c>
      <c r="E1737" t="s">
        <v>21</v>
      </c>
      <c r="F1737">
        <v>81</v>
      </c>
      <c r="G1737">
        <v>63</v>
      </c>
      <c r="H1737">
        <v>13</v>
      </c>
      <c r="I1737">
        <f>Inventory_Data[[#This Row],[Opening_Stock]]+Inventory_Data[[#This Row],[Units_Received]]-Inventory_Data[[#This Row],[Units_Sold]]</f>
        <v>131</v>
      </c>
      <c r="J1737">
        <v>0</v>
      </c>
      <c r="K1737">
        <v>9</v>
      </c>
      <c r="L1737" t="s">
        <v>24</v>
      </c>
      <c r="M1737" s="3">
        <v>32.85</v>
      </c>
      <c r="N1737" s="3">
        <v>45.89</v>
      </c>
      <c r="O1737" s="10" t="str">
        <f>TEXT(Inventory_Data[[#This Row],[Date]],"mmm")</f>
        <v>Nov</v>
      </c>
    </row>
    <row r="1738" spans="1:15" x14ac:dyDescent="0.2">
      <c r="A1738" s="21">
        <v>45975</v>
      </c>
      <c r="B1738" s="5" t="s">
        <v>166</v>
      </c>
      <c r="C1738" t="s">
        <v>167</v>
      </c>
      <c r="D1738" t="s">
        <v>16</v>
      </c>
      <c r="E1738" t="s">
        <v>28</v>
      </c>
      <c r="F1738">
        <v>148</v>
      </c>
      <c r="G1738">
        <v>44</v>
      </c>
      <c r="H1738">
        <v>68</v>
      </c>
      <c r="I1738">
        <f>Inventory_Data[[#This Row],[Opening_Stock]]+Inventory_Data[[#This Row],[Units_Received]]-Inventory_Data[[#This Row],[Units_Sold]]</f>
        <v>124</v>
      </c>
      <c r="J1738">
        <v>0</v>
      </c>
      <c r="K1738">
        <v>6</v>
      </c>
      <c r="L1738" t="s">
        <v>45</v>
      </c>
      <c r="M1738" s="3">
        <v>103.49</v>
      </c>
      <c r="N1738" s="3">
        <v>152.86000000000001</v>
      </c>
      <c r="O1738" s="10" t="str">
        <f>TEXT(Inventory_Data[[#This Row],[Date]],"mmm")</f>
        <v>Nov</v>
      </c>
    </row>
    <row r="1739" spans="1:15" x14ac:dyDescent="0.2">
      <c r="A1739" s="21">
        <v>45975</v>
      </c>
      <c r="B1739" s="5" t="s">
        <v>112</v>
      </c>
      <c r="C1739" t="s">
        <v>113</v>
      </c>
      <c r="D1739" t="s">
        <v>16</v>
      </c>
      <c r="E1739" t="s">
        <v>35</v>
      </c>
      <c r="F1739">
        <v>164</v>
      </c>
      <c r="G1739">
        <v>61</v>
      </c>
      <c r="H1739">
        <v>49</v>
      </c>
      <c r="I1739">
        <f>Inventory_Data[[#This Row],[Opening_Stock]]+Inventory_Data[[#This Row],[Units_Received]]-Inventory_Data[[#This Row],[Units_Sold]]</f>
        <v>176</v>
      </c>
      <c r="J1739">
        <v>0</v>
      </c>
      <c r="K1739">
        <v>6</v>
      </c>
      <c r="L1739" t="s">
        <v>45</v>
      </c>
      <c r="M1739" s="3">
        <v>80.959999999999994</v>
      </c>
      <c r="N1739" s="3">
        <v>95.53</v>
      </c>
      <c r="O1739" s="10" t="str">
        <f>TEXT(Inventory_Data[[#This Row],[Date]],"mmm")</f>
        <v>Nov</v>
      </c>
    </row>
    <row r="1740" spans="1:15" x14ac:dyDescent="0.2">
      <c r="A1740" s="21">
        <v>45975</v>
      </c>
      <c r="B1740" s="5" t="s">
        <v>144</v>
      </c>
      <c r="C1740" t="s">
        <v>145</v>
      </c>
      <c r="D1740" t="s">
        <v>48</v>
      </c>
      <c r="E1740" t="s">
        <v>21</v>
      </c>
      <c r="F1740">
        <v>143</v>
      </c>
      <c r="G1740">
        <v>68</v>
      </c>
      <c r="H1740">
        <v>125</v>
      </c>
      <c r="I1740">
        <f>Inventory_Data[[#This Row],[Opening_Stock]]+Inventory_Data[[#This Row],[Units_Received]]-Inventory_Data[[#This Row],[Units_Sold]]</f>
        <v>86</v>
      </c>
      <c r="J1740">
        <v>0</v>
      </c>
      <c r="K1740">
        <v>14</v>
      </c>
      <c r="L1740" t="s">
        <v>49</v>
      </c>
      <c r="M1740" s="3">
        <v>78</v>
      </c>
      <c r="N1740" s="3">
        <v>97.25</v>
      </c>
      <c r="O1740" s="10" t="str">
        <f>TEXT(Inventory_Data[[#This Row],[Date]],"mmm")</f>
        <v>Nov</v>
      </c>
    </row>
    <row r="1741" spans="1:15" x14ac:dyDescent="0.2">
      <c r="A1741" s="21">
        <v>45975</v>
      </c>
      <c r="B1741" s="5" t="s">
        <v>154</v>
      </c>
      <c r="C1741" t="s">
        <v>155</v>
      </c>
      <c r="D1741" t="s">
        <v>48</v>
      </c>
      <c r="E1741" t="s">
        <v>21</v>
      </c>
      <c r="F1741">
        <v>203</v>
      </c>
      <c r="G1741">
        <v>135</v>
      </c>
      <c r="H1741">
        <v>70</v>
      </c>
      <c r="I1741">
        <f>Inventory_Data[[#This Row],[Opening_Stock]]+Inventory_Data[[#This Row],[Units_Received]]-Inventory_Data[[#This Row],[Units_Sold]]</f>
        <v>268</v>
      </c>
      <c r="J1741">
        <v>0</v>
      </c>
      <c r="K1741">
        <v>9</v>
      </c>
      <c r="L1741" t="s">
        <v>77</v>
      </c>
      <c r="M1741" s="3">
        <v>81.69</v>
      </c>
      <c r="N1741" s="3">
        <v>124.7</v>
      </c>
      <c r="O1741" s="10" t="str">
        <f>TEXT(Inventory_Data[[#This Row],[Date]],"mmm")</f>
        <v>Nov</v>
      </c>
    </row>
    <row r="1742" spans="1:15" x14ac:dyDescent="0.2">
      <c r="A1742" s="21">
        <v>45975</v>
      </c>
      <c r="B1742" s="5" t="s">
        <v>154</v>
      </c>
      <c r="C1742" t="s">
        <v>155</v>
      </c>
      <c r="D1742" t="s">
        <v>48</v>
      </c>
      <c r="E1742" t="s">
        <v>28</v>
      </c>
      <c r="F1742">
        <v>281</v>
      </c>
      <c r="G1742">
        <v>120</v>
      </c>
      <c r="H1742">
        <v>104</v>
      </c>
      <c r="I1742">
        <f>Inventory_Data[[#This Row],[Opening_Stock]]+Inventory_Data[[#This Row],[Units_Received]]-Inventory_Data[[#This Row],[Units_Sold]]</f>
        <v>297</v>
      </c>
      <c r="J1742">
        <v>0</v>
      </c>
      <c r="K1742">
        <v>8</v>
      </c>
      <c r="L1742" t="s">
        <v>63</v>
      </c>
      <c r="M1742" s="3">
        <v>15.73</v>
      </c>
      <c r="N1742" s="3">
        <v>22.08</v>
      </c>
      <c r="O1742" s="10" t="str">
        <f>TEXT(Inventory_Data[[#This Row],[Date]],"mmm")</f>
        <v>Nov</v>
      </c>
    </row>
    <row r="1743" spans="1:15" x14ac:dyDescent="0.2">
      <c r="A1743" s="21">
        <v>45975</v>
      </c>
      <c r="B1743" s="5" t="s">
        <v>92</v>
      </c>
      <c r="C1743" t="s">
        <v>93</v>
      </c>
      <c r="D1743" t="s">
        <v>27</v>
      </c>
      <c r="E1743" t="s">
        <v>28</v>
      </c>
      <c r="F1743">
        <v>344</v>
      </c>
      <c r="G1743">
        <v>61</v>
      </c>
      <c r="H1743">
        <v>160</v>
      </c>
      <c r="I1743">
        <f>Inventory_Data[[#This Row],[Opening_Stock]]+Inventory_Data[[#This Row],[Units_Received]]-Inventory_Data[[#This Row],[Units_Sold]]</f>
        <v>245</v>
      </c>
      <c r="J1743">
        <v>0</v>
      </c>
      <c r="K1743">
        <v>1</v>
      </c>
      <c r="L1743" t="s">
        <v>66</v>
      </c>
      <c r="M1743" s="3">
        <v>15.21</v>
      </c>
      <c r="N1743" s="3">
        <v>21.55</v>
      </c>
      <c r="O1743" s="10" t="str">
        <f>TEXT(Inventory_Data[[#This Row],[Date]],"mmm")</f>
        <v>Nov</v>
      </c>
    </row>
    <row r="1744" spans="1:15" x14ac:dyDescent="0.2">
      <c r="A1744" s="21">
        <v>45975</v>
      </c>
      <c r="B1744" s="5" t="s">
        <v>122</v>
      </c>
      <c r="C1744" t="s">
        <v>123</v>
      </c>
      <c r="D1744" t="s">
        <v>27</v>
      </c>
      <c r="E1744" t="s">
        <v>21</v>
      </c>
      <c r="F1744">
        <v>381</v>
      </c>
      <c r="G1744">
        <v>82</v>
      </c>
      <c r="H1744">
        <v>139</v>
      </c>
      <c r="I1744">
        <f>Inventory_Data[[#This Row],[Opening_Stock]]+Inventory_Data[[#This Row],[Units_Received]]-Inventory_Data[[#This Row],[Units_Sold]]</f>
        <v>324</v>
      </c>
      <c r="J1744">
        <v>0</v>
      </c>
      <c r="K1744">
        <v>4</v>
      </c>
      <c r="L1744" t="s">
        <v>80</v>
      </c>
      <c r="M1744" s="3">
        <v>22.74</v>
      </c>
      <c r="N1744" s="3">
        <v>27.31</v>
      </c>
      <c r="O1744" s="10" t="str">
        <f>TEXT(Inventory_Data[[#This Row],[Date]],"mmm")</f>
        <v>Nov</v>
      </c>
    </row>
    <row r="1745" spans="1:15" x14ac:dyDescent="0.2">
      <c r="A1745" s="21">
        <v>45975</v>
      </c>
      <c r="B1745" s="5" t="s">
        <v>148</v>
      </c>
      <c r="C1745" t="s">
        <v>149</v>
      </c>
      <c r="D1745" t="s">
        <v>27</v>
      </c>
      <c r="E1745" t="s">
        <v>35</v>
      </c>
      <c r="F1745">
        <v>316</v>
      </c>
      <c r="G1745">
        <v>65</v>
      </c>
      <c r="H1745">
        <v>140</v>
      </c>
      <c r="I1745">
        <f>Inventory_Data[[#This Row],[Opening_Stock]]+Inventory_Data[[#This Row],[Units_Received]]-Inventory_Data[[#This Row],[Units_Sold]]</f>
        <v>241</v>
      </c>
      <c r="J1745">
        <v>0</v>
      </c>
      <c r="K1745">
        <v>6</v>
      </c>
      <c r="L1745" t="s">
        <v>80</v>
      </c>
      <c r="M1745" s="3">
        <v>17.72</v>
      </c>
      <c r="N1745" s="3">
        <v>21.68</v>
      </c>
      <c r="O1745" s="10" t="str">
        <f>TEXT(Inventory_Data[[#This Row],[Date]],"mmm")</f>
        <v>Nov</v>
      </c>
    </row>
    <row r="1746" spans="1:15" x14ac:dyDescent="0.2">
      <c r="A1746" s="21">
        <v>45975</v>
      </c>
      <c r="B1746" s="5" t="s">
        <v>182</v>
      </c>
      <c r="C1746" t="s">
        <v>183</v>
      </c>
      <c r="D1746" t="s">
        <v>52</v>
      </c>
      <c r="E1746" t="s">
        <v>17</v>
      </c>
      <c r="F1746">
        <v>45</v>
      </c>
      <c r="G1746">
        <v>2</v>
      </c>
      <c r="H1746">
        <v>8</v>
      </c>
      <c r="I1746">
        <f>Inventory_Data[[#This Row],[Opening_Stock]]+Inventory_Data[[#This Row],[Units_Received]]-Inventory_Data[[#This Row],[Units_Sold]]</f>
        <v>39</v>
      </c>
      <c r="J1746">
        <v>0</v>
      </c>
      <c r="K1746">
        <v>6</v>
      </c>
      <c r="L1746" t="s">
        <v>83</v>
      </c>
      <c r="M1746" s="3">
        <v>145.99</v>
      </c>
      <c r="N1746" s="3">
        <v>174.2</v>
      </c>
      <c r="O1746" s="10" t="str">
        <f>TEXT(Inventory_Data[[#This Row],[Date]],"mmm")</f>
        <v>Nov</v>
      </c>
    </row>
    <row r="1747" spans="1:15" x14ac:dyDescent="0.2">
      <c r="A1747" s="21">
        <v>45975</v>
      </c>
      <c r="B1747" s="5" t="s">
        <v>57</v>
      </c>
      <c r="C1747" t="s">
        <v>58</v>
      </c>
      <c r="D1747" t="s">
        <v>52</v>
      </c>
      <c r="E1747" t="s">
        <v>21</v>
      </c>
      <c r="F1747">
        <v>71</v>
      </c>
      <c r="G1747">
        <v>24</v>
      </c>
      <c r="H1747">
        <v>14</v>
      </c>
      <c r="I1747">
        <f>Inventory_Data[[#This Row],[Opening_Stock]]+Inventory_Data[[#This Row],[Units_Received]]-Inventory_Data[[#This Row],[Units_Sold]]</f>
        <v>81</v>
      </c>
      <c r="J1747">
        <v>0</v>
      </c>
      <c r="K1747">
        <v>9</v>
      </c>
      <c r="L1747" t="s">
        <v>53</v>
      </c>
      <c r="M1747" s="3">
        <v>87.15</v>
      </c>
      <c r="N1747" s="3">
        <v>121.68</v>
      </c>
      <c r="O1747" s="10" t="str">
        <f>TEXT(Inventory_Data[[#This Row],[Date]],"mmm")</f>
        <v>Nov</v>
      </c>
    </row>
    <row r="1748" spans="1:15" x14ac:dyDescent="0.2">
      <c r="A1748" s="21">
        <v>45975</v>
      </c>
      <c r="B1748" s="5" t="s">
        <v>69</v>
      </c>
      <c r="C1748" t="s">
        <v>70</v>
      </c>
      <c r="D1748" t="s">
        <v>34</v>
      </c>
      <c r="E1748" t="s">
        <v>35</v>
      </c>
      <c r="F1748">
        <v>272</v>
      </c>
      <c r="G1748">
        <v>91</v>
      </c>
      <c r="H1748">
        <v>63</v>
      </c>
      <c r="I1748">
        <f>Inventory_Data[[#This Row],[Opening_Stock]]+Inventory_Data[[#This Row],[Units_Received]]-Inventory_Data[[#This Row],[Units_Sold]]</f>
        <v>300</v>
      </c>
      <c r="J1748">
        <v>0</v>
      </c>
      <c r="K1748">
        <v>10</v>
      </c>
      <c r="L1748" t="s">
        <v>39</v>
      </c>
      <c r="M1748" s="3">
        <v>22.15</v>
      </c>
      <c r="N1748" s="3">
        <v>31.25</v>
      </c>
      <c r="O1748" s="10" t="str">
        <f>TEXT(Inventory_Data[[#This Row],[Date]],"mmm")</f>
        <v>Nov</v>
      </c>
    </row>
    <row r="1749" spans="1:15" x14ac:dyDescent="0.2">
      <c r="A1749" s="21">
        <v>45976</v>
      </c>
      <c r="B1749" s="5" t="s">
        <v>73</v>
      </c>
      <c r="C1749" t="s">
        <v>74</v>
      </c>
      <c r="D1749" t="s">
        <v>16</v>
      </c>
      <c r="E1749" t="s">
        <v>17</v>
      </c>
      <c r="F1749">
        <v>99</v>
      </c>
      <c r="G1749">
        <v>72</v>
      </c>
      <c r="H1749">
        <v>46</v>
      </c>
      <c r="I1749">
        <f>Inventory_Data[[#This Row],[Opening_Stock]]+Inventory_Data[[#This Row],[Units_Received]]-Inventory_Data[[#This Row],[Units_Sold]]</f>
        <v>125</v>
      </c>
      <c r="J1749">
        <v>0</v>
      </c>
      <c r="K1749">
        <v>7</v>
      </c>
      <c r="L1749" t="s">
        <v>24</v>
      </c>
      <c r="M1749" s="3">
        <v>152.41999999999999</v>
      </c>
      <c r="N1749" s="3">
        <v>214.45</v>
      </c>
      <c r="O1749" s="10" t="str">
        <f>TEXT(Inventory_Data[[#This Row],[Date]],"mmm")</f>
        <v>Nov</v>
      </c>
    </row>
    <row r="1750" spans="1:15" x14ac:dyDescent="0.2">
      <c r="A1750" s="21">
        <v>45976</v>
      </c>
      <c r="B1750" s="5" t="s">
        <v>14</v>
      </c>
      <c r="C1750" t="s">
        <v>15</v>
      </c>
      <c r="D1750" t="s">
        <v>16</v>
      </c>
      <c r="E1750" t="s">
        <v>21</v>
      </c>
      <c r="F1750">
        <v>146</v>
      </c>
      <c r="G1750">
        <v>71</v>
      </c>
      <c r="H1750">
        <v>35</v>
      </c>
      <c r="I1750">
        <f>Inventory_Data[[#This Row],[Opening_Stock]]+Inventory_Data[[#This Row],[Units_Received]]-Inventory_Data[[#This Row],[Units_Sold]]</f>
        <v>182</v>
      </c>
      <c r="J1750">
        <v>0</v>
      </c>
      <c r="K1750">
        <v>5</v>
      </c>
      <c r="L1750" t="s">
        <v>24</v>
      </c>
      <c r="M1750" s="3">
        <v>127.6</v>
      </c>
      <c r="N1750" s="3">
        <v>184.94</v>
      </c>
      <c r="O1750" s="10" t="str">
        <f>TEXT(Inventory_Data[[#This Row],[Date]],"mmm")</f>
        <v>Nov</v>
      </c>
    </row>
    <row r="1751" spans="1:15" x14ac:dyDescent="0.2">
      <c r="A1751" s="21">
        <v>45976</v>
      </c>
      <c r="B1751" s="5" t="s">
        <v>128</v>
      </c>
      <c r="C1751" t="s">
        <v>129</v>
      </c>
      <c r="D1751" t="s">
        <v>48</v>
      </c>
      <c r="E1751" t="s">
        <v>17</v>
      </c>
      <c r="F1751">
        <v>257</v>
      </c>
      <c r="G1751">
        <v>134</v>
      </c>
      <c r="H1751">
        <v>77</v>
      </c>
      <c r="I1751">
        <f>Inventory_Data[[#This Row],[Opening_Stock]]+Inventory_Data[[#This Row],[Units_Received]]-Inventory_Data[[#This Row],[Units_Sold]]</f>
        <v>314</v>
      </c>
      <c r="J1751">
        <v>0</v>
      </c>
      <c r="K1751">
        <v>12</v>
      </c>
      <c r="L1751" t="s">
        <v>77</v>
      </c>
      <c r="M1751" s="3">
        <v>84.1</v>
      </c>
      <c r="N1751" s="3">
        <v>102.28</v>
      </c>
      <c r="O1751" s="10" t="str">
        <f>TEXT(Inventory_Data[[#This Row],[Date]],"mmm")</f>
        <v>Nov</v>
      </c>
    </row>
    <row r="1752" spans="1:15" x14ac:dyDescent="0.2">
      <c r="A1752" s="21">
        <v>45976</v>
      </c>
      <c r="B1752" s="5" t="s">
        <v>90</v>
      </c>
      <c r="C1752" t="s">
        <v>91</v>
      </c>
      <c r="D1752" t="s">
        <v>48</v>
      </c>
      <c r="E1752" t="s">
        <v>21</v>
      </c>
      <c r="F1752">
        <v>131</v>
      </c>
      <c r="G1752">
        <v>144</v>
      </c>
      <c r="H1752">
        <v>82</v>
      </c>
      <c r="I1752">
        <f>Inventory_Data[[#This Row],[Opening_Stock]]+Inventory_Data[[#This Row],[Units_Received]]-Inventory_Data[[#This Row],[Units_Sold]]</f>
        <v>193</v>
      </c>
      <c r="J1752">
        <v>0</v>
      </c>
      <c r="K1752">
        <v>12</v>
      </c>
      <c r="L1752" t="s">
        <v>49</v>
      </c>
      <c r="M1752" s="3">
        <v>59.18</v>
      </c>
      <c r="N1752" s="3">
        <v>71.180000000000007</v>
      </c>
      <c r="O1752" s="10" t="str">
        <f>TEXT(Inventory_Data[[#This Row],[Date]],"mmm")</f>
        <v>Nov</v>
      </c>
    </row>
    <row r="1753" spans="1:15" x14ac:dyDescent="0.2">
      <c r="A1753" s="21">
        <v>45976</v>
      </c>
      <c r="B1753" s="5" t="s">
        <v>92</v>
      </c>
      <c r="C1753" t="s">
        <v>93</v>
      </c>
      <c r="D1753" t="s">
        <v>27</v>
      </c>
      <c r="E1753" t="s">
        <v>21</v>
      </c>
      <c r="F1753">
        <v>151</v>
      </c>
      <c r="G1753">
        <v>79</v>
      </c>
      <c r="H1753">
        <v>75</v>
      </c>
      <c r="I1753">
        <f>Inventory_Data[[#This Row],[Opening_Stock]]+Inventory_Data[[#This Row],[Units_Received]]-Inventory_Data[[#This Row],[Units_Sold]]</f>
        <v>155</v>
      </c>
      <c r="J1753">
        <v>0</v>
      </c>
      <c r="K1753">
        <v>7</v>
      </c>
      <c r="L1753" t="s">
        <v>29</v>
      </c>
      <c r="M1753" s="3">
        <v>20.36</v>
      </c>
      <c r="N1753" s="3">
        <v>26.07</v>
      </c>
      <c r="O1753" s="10" t="str">
        <f>TEXT(Inventory_Data[[#This Row],[Date]],"mmm")</f>
        <v>Nov</v>
      </c>
    </row>
    <row r="1754" spans="1:15" x14ac:dyDescent="0.2">
      <c r="A1754" s="21">
        <v>45976</v>
      </c>
      <c r="B1754" s="5" t="s">
        <v>30</v>
      </c>
      <c r="C1754" t="s">
        <v>31</v>
      </c>
      <c r="D1754" t="s">
        <v>27</v>
      </c>
      <c r="E1754" t="s">
        <v>17</v>
      </c>
      <c r="F1754">
        <v>436</v>
      </c>
      <c r="G1754">
        <v>212</v>
      </c>
      <c r="H1754">
        <v>27</v>
      </c>
      <c r="I1754">
        <f>Inventory_Data[[#This Row],[Opening_Stock]]+Inventory_Data[[#This Row],[Units_Received]]-Inventory_Data[[#This Row],[Units_Sold]]</f>
        <v>621</v>
      </c>
      <c r="J1754">
        <v>0</v>
      </c>
      <c r="K1754">
        <v>6</v>
      </c>
      <c r="L1754" t="s">
        <v>29</v>
      </c>
      <c r="M1754" s="3">
        <v>16.510000000000002</v>
      </c>
      <c r="N1754" s="3">
        <v>22.11</v>
      </c>
      <c r="O1754" s="10" t="str">
        <f>TEXT(Inventory_Data[[#This Row],[Date]],"mmm")</f>
        <v>Nov</v>
      </c>
    </row>
    <row r="1755" spans="1:15" x14ac:dyDescent="0.2">
      <c r="A1755" s="21">
        <v>45976</v>
      </c>
      <c r="B1755" s="5" t="s">
        <v>148</v>
      </c>
      <c r="C1755" t="s">
        <v>149</v>
      </c>
      <c r="D1755" t="s">
        <v>27</v>
      </c>
      <c r="E1755" t="s">
        <v>35</v>
      </c>
      <c r="F1755">
        <v>455</v>
      </c>
      <c r="G1755">
        <v>175</v>
      </c>
      <c r="H1755">
        <v>185</v>
      </c>
      <c r="I1755">
        <f>Inventory_Data[[#This Row],[Opening_Stock]]+Inventory_Data[[#This Row],[Units_Received]]-Inventory_Data[[#This Row],[Units_Sold]]</f>
        <v>445</v>
      </c>
      <c r="J1755">
        <v>0</v>
      </c>
      <c r="K1755">
        <v>6</v>
      </c>
      <c r="L1755" t="s">
        <v>80</v>
      </c>
      <c r="M1755" s="3">
        <v>13.78</v>
      </c>
      <c r="N1755" s="3">
        <v>21.03</v>
      </c>
      <c r="O1755" s="10" t="str">
        <f>TEXT(Inventory_Data[[#This Row],[Date]],"mmm")</f>
        <v>Nov</v>
      </c>
    </row>
    <row r="1756" spans="1:15" x14ac:dyDescent="0.2">
      <c r="A1756" s="21">
        <v>45976</v>
      </c>
      <c r="B1756" s="5" t="s">
        <v>180</v>
      </c>
      <c r="C1756" t="s">
        <v>181</v>
      </c>
      <c r="D1756" t="s">
        <v>34</v>
      </c>
      <c r="E1756" t="s">
        <v>21</v>
      </c>
      <c r="F1756">
        <v>137</v>
      </c>
      <c r="G1756">
        <v>208</v>
      </c>
      <c r="H1756">
        <v>110</v>
      </c>
      <c r="I1756">
        <f>Inventory_Data[[#This Row],[Opening_Stock]]+Inventory_Data[[#This Row],[Units_Received]]-Inventory_Data[[#This Row],[Units_Sold]]</f>
        <v>235</v>
      </c>
      <c r="J1756">
        <v>0</v>
      </c>
      <c r="K1756">
        <v>3</v>
      </c>
      <c r="L1756" t="s">
        <v>42</v>
      </c>
      <c r="M1756" s="3">
        <v>15.86</v>
      </c>
      <c r="N1756" s="3">
        <v>21.15</v>
      </c>
      <c r="O1756" s="10" t="str">
        <f>TEXT(Inventory_Data[[#This Row],[Date]],"mmm")</f>
        <v>Nov</v>
      </c>
    </row>
    <row r="1757" spans="1:15" x14ac:dyDescent="0.2">
      <c r="A1757" s="21">
        <v>45977</v>
      </c>
      <c r="B1757" s="5" t="s">
        <v>164</v>
      </c>
      <c r="C1757" t="s">
        <v>165</v>
      </c>
      <c r="D1757" t="s">
        <v>48</v>
      </c>
      <c r="E1757" t="s">
        <v>35</v>
      </c>
      <c r="F1757">
        <v>217</v>
      </c>
      <c r="G1757">
        <v>96</v>
      </c>
      <c r="H1757">
        <v>24</v>
      </c>
      <c r="I1757">
        <f>Inventory_Data[[#This Row],[Opening_Stock]]+Inventory_Data[[#This Row],[Units_Received]]-Inventory_Data[[#This Row],[Units_Sold]]</f>
        <v>289</v>
      </c>
      <c r="J1757">
        <v>0</v>
      </c>
      <c r="K1757">
        <v>5</v>
      </c>
      <c r="L1757" t="s">
        <v>77</v>
      </c>
      <c r="M1757" s="3">
        <v>15.92</v>
      </c>
      <c r="N1757" s="3">
        <v>20.05</v>
      </c>
      <c r="O1757" s="10" t="str">
        <f>TEXT(Inventory_Data[[#This Row],[Date]],"mmm")</f>
        <v>Nov</v>
      </c>
    </row>
    <row r="1758" spans="1:15" x14ac:dyDescent="0.2">
      <c r="A1758" s="21">
        <v>45977</v>
      </c>
      <c r="B1758" s="5" t="s">
        <v>98</v>
      </c>
      <c r="C1758" t="s">
        <v>99</v>
      </c>
      <c r="D1758" t="s">
        <v>27</v>
      </c>
      <c r="E1758" t="s">
        <v>28</v>
      </c>
      <c r="F1758">
        <v>466</v>
      </c>
      <c r="G1758">
        <v>112</v>
      </c>
      <c r="H1758">
        <v>155</v>
      </c>
      <c r="I1758">
        <f>Inventory_Data[[#This Row],[Opening_Stock]]+Inventory_Data[[#This Row],[Units_Received]]-Inventory_Data[[#This Row],[Units_Sold]]</f>
        <v>423</v>
      </c>
      <c r="J1758">
        <v>0</v>
      </c>
      <c r="K1758">
        <v>1</v>
      </c>
      <c r="L1758" t="s">
        <v>29</v>
      </c>
      <c r="M1758" s="3">
        <v>7.21</v>
      </c>
      <c r="N1758" s="3">
        <v>9.32</v>
      </c>
      <c r="O1758" s="10" t="str">
        <f>TEXT(Inventory_Data[[#This Row],[Date]],"mmm")</f>
        <v>Nov</v>
      </c>
    </row>
    <row r="1759" spans="1:15" x14ac:dyDescent="0.2">
      <c r="A1759" s="21">
        <v>45977</v>
      </c>
      <c r="B1759" s="5" t="s">
        <v>78</v>
      </c>
      <c r="C1759" t="s">
        <v>79</v>
      </c>
      <c r="D1759" t="s">
        <v>27</v>
      </c>
      <c r="E1759" t="s">
        <v>28</v>
      </c>
      <c r="F1759">
        <v>372</v>
      </c>
      <c r="G1759">
        <v>155</v>
      </c>
      <c r="H1759">
        <v>43</v>
      </c>
      <c r="I1759">
        <f>Inventory_Data[[#This Row],[Opening_Stock]]+Inventory_Data[[#This Row],[Units_Received]]-Inventory_Data[[#This Row],[Units_Sold]]</f>
        <v>484</v>
      </c>
      <c r="J1759">
        <v>0</v>
      </c>
      <c r="K1759">
        <v>7</v>
      </c>
      <c r="L1759" t="s">
        <v>66</v>
      </c>
      <c r="M1759" s="3">
        <v>2.59</v>
      </c>
      <c r="N1759" s="3">
        <v>3.21</v>
      </c>
      <c r="O1759" s="10" t="str">
        <f>TEXT(Inventory_Data[[#This Row],[Date]],"mmm")</f>
        <v>Nov</v>
      </c>
    </row>
    <row r="1760" spans="1:15" x14ac:dyDescent="0.2">
      <c r="A1760" s="21">
        <v>45977</v>
      </c>
      <c r="B1760" s="5" t="s">
        <v>148</v>
      </c>
      <c r="C1760" t="s">
        <v>149</v>
      </c>
      <c r="D1760" t="s">
        <v>27</v>
      </c>
      <c r="E1760" t="s">
        <v>21</v>
      </c>
      <c r="F1760">
        <v>156</v>
      </c>
      <c r="G1760">
        <v>200</v>
      </c>
      <c r="H1760">
        <v>91</v>
      </c>
      <c r="I1760">
        <f>Inventory_Data[[#This Row],[Opening_Stock]]+Inventory_Data[[#This Row],[Units_Received]]-Inventory_Data[[#This Row],[Units_Sold]]</f>
        <v>265</v>
      </c>
      <c r="J1760">
        <v>0</v>
      </c>
      <c r="K1760">
        <v>5</v>
      </c>
      <c r="L1760" t="s">
        <v>29</v>
      </c>
      <c r="M1760" s="3">
        <v>5.77</v>
      </c>
      <c r="N1760" s="3">
        <v>8.84</v>
      </c>
      <c r="O1760" s="10" t="str">
        <f>TEXT(Inventory_Data[[#This Row],[Date]],"mmm")</f>
        <v>Nov</v>
      </c>
    </row>
    <row r="1761" spans="1:15" x14ac:dyDescent="0.2">
      <c r="A1761" s="21">
        <v>45977</v>
      </c>
      <c r="B1761" s="5" t="s">
        <v>100</v>
      </c>
      <c r="C1761" t="s">
        <v>101</v>
      </c>
      <c r="D1761" t="s">
        <v>52</v>
      </c>
      <c r="E1761" t="s">
        <v>21</v>
      </c>
      <c r="F1761">
        <v>44</v>
      </c>
      <c r="G1761">
        <v>5</v>
      </c>
      <c r="H1761">
        <v>4</v>
      </c>
      <c r="I1761">
        <f>Inventory_Data[[#This Row],[Opening_Stock]]+Inventory_Data[[#This Row],[Units_Received]]-Inventory_Data[[#This Row],[Units_Sold]]</f>
        <v>45</v>
      </c>
      <c r="J1761">
        <v>0</v>
      </c>
      <c r="K1761">
        <v>13</v>
      </c>
      <c r="L1761" t="s">
        <v>53</v>
      </c>
      <c r="M1761" s="3">
        <v>322.42</v>
      </c>
      <c r="N1761" s="3">
        <v>480.99</v>
      </c>
      <c r="O1761" s="10" t="str">
        <f>TEXT(Inventory_Data[[#This Row],[Date]],"mmm")</f>
        <v>Nov</v>
      </c>
    </row>
    <row r="1762" spans="1:15" x14ac:dyDescent="0.2">
      <c r="A1762" s="21">
        <v>45977</v>
      </c>
      <c r="B1762" s="5" t="s">
        <v>150</v>
      </c>
      <c r="C1762" t="s">
        <v>151</v>
      </c>
      <c r="D1762" t="s">
        <v>52</v>
      </c>
      <c r="E1762" t="s">
        <v>28</v>
      </c>
      <c r="F1762">
        <v>63</v>
      </c>
      <c r="G1762">
        <v>3</v>
      </c>
      <c r="H1762">
        <v>19</v>
      </c>
      <c r="I1762">
        <f>Inventory_Data[[#This Row],[Opening_Stock]]+Inventory_Data[[#This Row],[Units_Received]]-Inventory_Data[[#This Row],[Units_Sold]]</f>
        <v>47</v>
      </c>
      <c r="J1762">
        <v>0</v>
      </c>
      <c r="K1762">
        <v>2</v>
      </c>
      <c r="L1762" t="s">
        <v>83</v>
      </c>
      <c r="M1762" s="3">
        <v>199.5</v>
      </c>
      <c r="N1762" s="3">
        <v>287.5</v>
      </c>
      <c r="O1762" s="10" t="str">
        <f>TEXT(Inventory_Data[[#This Row],[Date]],"mmm")</f>
        <v>Nov</v>
      </c>
    </row>
    <row r="1763" spans="1:15" x14ac:dyDescent="0.2">
      <c r="A1763" s="21">
        <v>45977</v>
      </c>
      <c r="B1763" s="5" t="s">
        <v>168</v>
      </c>
      <c r="C1763" t="s">
        <v>169</v>
      </c>
      <c r="D1763" t="s">
        <v>34</v>
      </c>
      <c r="E1763" t="s">
        <v>28</v>
      </c>
      <c r="F1763">
        <v>367</v>
      </c>
      <c r="G1763">
        <v>147</v>
      </c>
      <c r="H1763">
        <v>23</v>
      </c>
      <c r="I1763">
        <f>Inventory_Data[[#This Row],[Opening_Stock]]+Inventory_Data[[#This Row],[Units_Received]]-Inventory_Data[[#This Row],[Units_Sold]]</f>
        <v>491</v>
      </c>
      <c r="J1763">
        <v>0</v>
      </c>
      <c r="K1763">
        <v>2</v>
      </c>
      <c r="L1763" t="s">
        <v>36</v>
      </c>
      <c r="M1763" s="3">
        <v>28.07</v>
      </c>
      <c r="N1763" s="3">
        <v>40.4</v>
      </c>
      <c r="O1763" s="10" t="str">
        <f>TEXT(Inventory_Data[[#This Row],[Date]],"mmm")</f>
        <v>Nov</v>
      </c>
    </row>
    <row r="1764" spans="1:15" x14ac:dyDescent="0.2">
      <c r="A1764" s="21">
        <v>45978</v>
      </c>
      <c r="B1764" s="5" t="s">
        <v>192</v>
      </c>
      <c r="C1764" t="s">
        <v>193</v>
      </c>
      <c r="D1764" t="s">
        <v>48</v>
      </c>
      <c r="E1764" t="s">
        <v>21</v>
      </c>
      <c r="F1764">
        <v>103</v>
      </c>
      <c r="G1764">
        <v>142</v>
      </c>
      <c r="H1764">
        <v>123</v>
      </c>
      <c r="I1764">
        <f>Inventory_Data[[#This Row],[Opening_Stock]]+Inventory_Data[[#This Row],[Units_Received]]-Inventory_Data[[#This Row],[Units_Sold]]</f>
        <v>122</v>
      </c>
      <c r="J1764">
        <v>0</v>
      </c>
      <c r="K1764">
        <v>5</v>
      </c>
      <c r="L1764" t="s">
        <v>77</v>
      </c>
      <c r="M1764" s="3">
        <v>86.74</v>
      </c>
      <c r="N1764" s="3">
        <v>122.66</v>
      </c>
      <c r="O1764" s="10" t="str">
        <f>TEXT(Inventory_Data[[#This Row],[Date]],"mmm")</f>
        <v>Nov</v>
      </c>
    </row>
    <row r="1765" spans="1:15" x14ac:dyDescent="0.2">
      <c r="A1765" s="21">
        <v>45978</v>
      </c>
      <c r="B1765" s="5" t="s">
        <v>75</v>
      </c>
      <c r="C1765" t="s">
        <v>76</v>
      </c>
      <c r="D1765" t="s">
        <v>48</v>
      </c>
      <c r="E1765" t="s">
        <v>35</v>
      </c>
      <c r="F1765">
        <v>103</v>
      </c>
      <c r="G1765">
        <v>106</v>
      </c>
      <c r="H1765">
        <v>116</v>
      </c>
      <c r="I1765">
        <f>Inventory_Data[[#This Row],[Opening_Stock]]+Inventory_Data[[#This Row],[Units_Received]]-Inventory_Data[[#This Row],[Units_Sold]]</f>
        <v>93</v>
      </c>
      <c r="J1765">
        <v>0</v>
      </c>
      <c r="K1765">
        <v>8</v>
      </c>
      <c r="L1765" t="s">
        <v>49</v>
      </c>
      <c r="M1765" s="3">
        <v>56.3</v>
      </c>
      <c r="N1765" s="3">
        <v>85.88</v>
      </c>
      <c r="O1765" s="10" t="str">
        <f>TEXT(Inventory_Data[[#This Row],[Date]],"mmm")</f>
        <v>Nov</v>
      </c>
    </row>
    <row r="1766" spans="1:15" x14ac:dyDescent="0.2">
      <c r="A1766" s="21">
        <v>45978</v>
      </c>
      <c r="B1766" s="5" t="s">
        <v>142</v>
      </c>
      <c r="C1766" t="s">
        <v>143</v>
      </c>
      <c r="D1766" t="s">
        <v>52</v>
      </c>
      <c r="E1766" t="s">
        <v>35</v>
      </c>
      <c r="F1766">
        <v>17</v>
      </c>
      <c r="G1766">
        <v>23</v>
      </c>
      <c r="H1766">
        <v>6</v>
      </c>
      <c r="I1766">
        <f>Inventory_Data[[#This Row],[Opening_Stock]]+Inventory_Data[[#This Row],[Units_Received]]-Inventory_Data[[#This Row],[Units_Sold]]</f>
        <v>34</v>
      </c>
      <c r="J1766">
        <v>0</v>
      </c>
      <c r="K1766">
        <v>13</v>
      </c>
      <c r="L1766" t="s">
        <v>83</v>
      </c>
      <c r="M1766" s="3">
        <v>84.06</v>
      </c>
      <c r="N1766" s="3">
        <v>121.65</v>
      </c>
      <c r="O1766" s="10" t="str">
        <f>TEXT(Inventory_Data[[#This Row],[Date]],"mmm")</f>
        <v>Nov</v>
      </c>
    </row>
    <row r="1767" spans="1:15" x14ac:dyDescent="0.2">
      <c r="A1767" s="21">
        <v>45978</v>
      </c>
      <c r="B1767" s="5" t="s">
        <v>118</v>
      </c>
      <c r="C1767" t="s">
        <v>119</v>
      </c>
      <c r="D1767" t="s">
        <v>34</v>
      </c>
      <c r="E1767" t="s">
        <v>35</v>
      </c>
      <c r="F1767">
        <v>139</v>
      </c>
      <c r="G1767">
        <v>47</v>
      </c>
      <c r="H1767">
        <v>96</v>
      </c>
      <c r="I1767">
        <f>Inventory_Data[[#This Row],[Opening_Stock]]+Inventory_Data[[#This Row],[Units_Received]]-Inventory_Data[[#This Row],[Units_Sold]]</f>
        <v>90</v>
      </c>
      <c r="J1767">
        <v>0</v>
      </c>
      <c r="K1767">
        <v>2</v>
      </c>
      <c r="L1767" t="s">
        <v>36</v>
      </c>
      <c r="M1767" s="3">
        <v>29.72</v>
      </c>
      <c r="N1767" s="3">
        <v>36.67</v>
      </c>
      <c r="O1767" s="10" t="str">
        <f>TEXT(Inventory_Data[[#This Row],[Date]],"mmm")</f>
        <v>Nov</v>
      </c>
    </row>
    <row r="1768" spans="1:15" x14ac:dyDescent="0.2">
      <c r="A1768" s="21">
        <v>45979</v>
      </c>
      <c r="B1768" s="5" t="s">
        <v>178</v>
      </c>
      <c r="C1768" t="s">
        <v>179</v>
      </c>
      <c r="D1768" t="s">
        <v>16</v>
      </c>
      <c r="E1768" t="s">
        <v>35</v>
      </c>
      <c r="F1768">
        <v>106</v>
      </c>
      <c r="G1768">
        <v>43</v>
      </c>
      <c r="H1768">
        <v>52</v>
      </c>
      <c r="I1768">
        <f>Inventory_Data[[#This Row],[Opening_Stock]]+Inventory_Data[[#This Row],[Units_Received]]-Inventory_Data[[#This Row],[Units_Sold]]</f>
        <v>97</v>
      </c>
      <c r="J1768">
        <v>0</v>
      </c>
      <c r="K1768">
        <v>2</v>
      </c>
      <c r="L1768" t="s">
        <v>45</v>
      </c>
      <c r="M1768" s="3">
        <v>127.86</v>
      </c>
      <c r="N1768" s="3">
        <v>189.28</v>
      </c>
      <c r="O1768" s="10" t="str">
        <f>TEXT(Inventory_Data[[#This Row],[Date]],"mmm")</f>
        <v>Nov</v>
      </c>
    </row>
    <row r="1769" spans="1:15" x14ac:dyDescent="0.2">
      <c r="A1769" s="21">
        <v>45979</v>
      </c>
      <c r="B1769" s="5" t="s">
        <v>188</v>
      </c>
      <c r="C1769" t="s">
        <v>189</v>
      </c>
      <c r="D1769" t="s">
        <v>27</v>
      </c>
      <c r="E1769" t="s">
        <v>28</v>
      </c>
      <c r="F1769">
        <v>148</v>
      </c>
      <c r="G1769">
        <v>43</v>
      </c>
      <c r="H1769">
        <v>97</v>
      </c>
      <c r="I1769">
        <f>Inventory_Data[[#This Row],[Opening_Stock]]+Inventory_Data[[#This Row],[Units_Received]]-Inventory_Data[[#This Row],[Units_Sold]]</f>
        <v>94</v>
      </c>
      <c r="J1769">
        <v>0</v>
      </c>
      <c r="K1769">
        <v>1</v>
      </c>
      <c r="L1769" t="s">
        <v>80</v>
      </c>
      <c r="M1769" s="3">
        <v>6.71</v>
      </c>
      <c r="N1769" s="3">
        <v>9.24</v>
      </c>
      <c r="O1769" s="10" t="str">
        <f>TEXT(Inventory_Data[[#This Row],[Date]],"mmm")</f>
        <v>Nov</v>
      </c>
    </row>
    <row r="1770" spans="1:15" x14ac:dyDescent="0.2">
      <c r="A1770" s="21">
        <v>45979</v>
      </c>
      <c r="B1770" s="5" t="s">
        <v>81</v>
      </c>
      <c r="C1770" t="s">
        <v>82</v>
      </c>
      <c r="D1770" t="s">
        <v>52</v>
      </c>
      <c r="E1770" t="s">
        <v>21</v>
      </c>
      <c r="F1770">
        <v>70</v>
      </c>
      <c r="G1770">
        <v>25</v>
      </c>
      <c r="H1770">
        <v>15</v>
      </c>
      <c r="I1770">
        <f>Inventory_Data[[#This Row],[Opening_Stock]]+Inventory_Data[[#This Row],[Units_Received]]-Inventory_Data[[#This Row],[Units_Sold]]</f>
        <v>80</v>
      </c>
      <c r="J1770">
        <v>0</v>
      </c>
      <c r="K1770">
        <v>10</v>
      </c>
      <c r="L1770" t="s">
        <v>53</v>
      </c>
      <c r="M1770" s="3">
        <v>213.83</v>
      </c>
      <c r="N1770" s="3">
        <v>282.35000000000002</v>
      </c>
      <c r="O1770" s="10" t="str">
        <f>TEXT(Inventory_Data[[#This Row],[Date]],"mmm")</f>
        <v>Nov</v>
      </c>
    </row>
    <row r="1771" spans="1:15" x14ac:dyDescent="0.2">
      <c r="A1771" s="21">
        <v>45980</v>
      </c>
      <c r="B1771" s="5" t="s">
        <v>184</v>
      </c>
      <c r="C1771" t="s">
        <v>185</v>
      </c>
      <c r="D1771" t="s">
        <v>16</v>
      </c>
      <c r="E1771" t="s">
        <v>28</v>
      </c>
      <c r="F1771">
        <v>111</v>
      </c>
      <c r="G1771">
        <v>27</v>
      </c>
      <c r="H1771">
        <v>67</v>
      </c>
      <c r="I1771">
        <f>Inventory_Data[[#This Row],[Opening_Stock]]+Inventory_Data[[#This Row],[Units_Received]]-Inventory_Data[[#This Row],[Units_Sold]]</f>
        <v>71</v>
      </c>
      <c r="J1771">
        <v>0</v>
      </c>
      <c r="K1771">
        <v>7</v>
      </c>
      <c r="L1771" t="s">
        <v>18</v>
      </c>
      <c r="M1771" s="3">
        <v>175.95</v>
      </c>
      <c r="N1771" s="3">
        <v>244.49</v>
      </c>
      <c r="O1771" s="10" t="str">
        <f>TEXT(Inventory_Data[[#This Row],[Date]],"mmm")</f>
        <v>Nov</v>
      </c>
    </row>
    <row r="1772" spans="1:15" x14ac:dyDescent="0.2">
      <c r="A1772" s="21">
        <v>45980</v>
      </c>
      <c r="B1772" s="5" t="s">
        <v>130</v>
      </c>
      <c r="C1772" t="s">
        <v>131</v>
      </c>
      <c r="D1772" t="s">
        <v>48</v>
      </c>
      <c r="E1772" t="s">
        <v>21</v>
      </c>
      <c r="F1772">
        <v>264</v>
      </c>
      <c r="G1772">
        <v>37</v>
      </c>
      <c r="H1772">
        <v>122</v>
      </c>
      <c r="I1772">
        <f>Inventory_Data[[#This Row],[Opening_Stock]]+Inventory_Data[[#This Row],[Units_Received]]-Inventory_Data[[#This Row],[Units_Sold]]</f>
        <v>179</v>
      </c>
      <c r="J1772">
        <v>0</v>
      </c>
      <c r="K1772">
        <v>12</v>
      </c>
      <c r="L1772" t="s">
        <v>49</v>
      </c>
      <c r="M1772" s="3">
        <v>84.96</v>
      </c>
      <c r="N1772" s="3">
        <v>103.86</v>
      </c>
      <c r="O1772" s="10" t="str">
        <f>TEXT(Inventory_Data[[#This Row],[Date]],"mmm")</f>
        <v>Nov</v>
      </c>
    </row>
    <row r="1773" spans="1:15" x14ac:dyDescent="0.2">
      <c r="A1773" s="21">
        <v>45980</v>
      </c>
      <c r="B1773" s="5" t="s">
        <v>144</v>
      </c>
      <c r="C1773" t="s">
        <v>145</v>
      </c>
      <c r="D1773" t="s">
        <v>48</v>
      </c>
      <c r="E1773" t="s">
        <v>28</v>
      </c>
      <c r="F1773">
        <v>242</v>
      </c>
      <c r="G1773">
        <v>80</v>
      </c>
      <c r="H1773">
        <v>71</v>
      </c>
      <c r="I1773">
        <f>Inventory_Data[[#This Row],[Opening_Stock]]+Inventory_Data[[#This Row],[Units_Received]]-Inventory_Data[[#This Row],[Units_Sold]]</f>
        <v>251</v>
      </c>
      <c r="J1773">
        <v>0</v>
      </c>
      <c r="K1773">
        <v>11</v>
      </c>
      <c r="L1773" t="s">
        <v>77</v>
      </c>
      <c r="M1773" s="3">
        <v>56.96</v>
      </c>
      <c r="N1773" s="3">
        <v>79.06</v>
      </c>
      <c r="O1773" s="10" t="str">
        <f>TEXT(Inventory_Data[[#This Row],[Date]],"mmm")</f>
        <v>Nov</v>
      </c>
    </row>
    <row r="1774" spans="1:15" x14ac:dyDescent="0.2">
      <c r="A1774" s="21">
        <v>45980</v>
      </c>
      <c r="B1774" s="5" t="s">
        <v>61</v>
      </c>
      <c r="C1774" t="s">
        <v>62</v>
      </c>
      <c r="D1774" t="s">
        <v>48</v>
      </c>
      <c r="E1774" t="s">
        <v>21</v>
      </c>
      <c r="F1774">
        <v>199</v>
      </c>
      <c r="G1774">
        <v>57</v>
      </c>
      <c r="H1774">
        <v>61</v>
      </c>
      <c r="I1774">
        <f>Inventory_Data[[#This Row],[Opening_Stock]]+Inventory_Data[[#This Row],[Units_Received]]-Inventory_Data[[#This Row],[Units_Sold]]</f>
        <v>195</v>
      </c>
      <c r="J1774">
        <v>0</v>
      </c>
      <c r="K1774">
        <v>14</v>
      </c>
      <c r="L1774" t="s">
        <v>63</v>
      </c>
      <c r="M1774" s="3">
        <v>34.28</v>
      </c>
      <c r="N1774" s="3">
        <v>49.63</v>
      </c>
      <c r="O1774" s="10" t="str">
        <f>TEXT(Inventory_Data[[#This Row],[Date]],"mmm")</f>
        <v>Nov</v>
      </c>
    </row>
    <row r="1775" spans="1:15" x14ac:dyDescent="0.2">
      <c r="A1775" s="21">
        <v>45980</v>
      </c>
      <c r="B1775" s="5" t="s">
        <v>180</v>
      </c>
      <c r="C1775" t="s">
        <v>181</v>
      </c>
      <c r="D1775" t="s">
        <v>34</v>
      </c>
      <c r="E1775" t="s">
        <v>17</v>
      </c>
      <c r="F1775">
        <v>368</v>
      </c>
      <c r="G1775">
        <v>116</v>
      </c>
      <c r="H1775">
        <v>103</v>
      </c>
      <c r="I1775">
        <f>Inventory_Data[[#This Row],[Opening_Stock]]+Inventory_Data[[#This Row],[Units_Received]]-Inventory_Data[[#This Row],[Units_Sold]]</f>
        <v>381</v>
      </c>
      <c r="J1775">
        <v>0</v>
      </c>
      <c r="K1775">
        <v>7</v>
      </c>
      <c r="L1775" t="s">
        <v>36</v>
      </c>
      <c r="M1775" s="3">
        <v>20.46</v>
      </c>
      <c r="N1775" s="3">
        <v>29.7</v>
      </c>
      <c r="O1775" s="10" t="str">
        <f>TEXT(Inventory_Data[[#This Row],[Date]],"mmm")</f>
        <v>Nov</v>
      </c>
    </row>
    <row r="1776" spans="1:15" x14ac:dyDescent="0.2">
      <c r="A1776" s="21">
        <v>45980</v>
      </c>
      <c r="B1776" s="5" t="s">
        <v>196</v>
      </c>
      <c r="C1776" t="s">
        <v>197</v>
      </c>
      <c r="D1776" t="s">
        <v>34</v>
      </c>
      <c r="E1776" t="s">
        <v>21</v>
      </c>
      <c r="F1776">
        <v>89</v>
      </c>
      <c r="G1776">
        <v>144</v>
      </c>
      <c r="H1776">
        <v>104</v>
      </c>
      <c r="I1776">
        <f>Inventory_Data[[#This Row],[Opening_Stock]]+Inventory_Data[[#This Row],[Units_Received]]-Inventory_Data[[#This Row],[Units_Sold]]</f>
        <v>129</v>
      </c>
      <c r="J1776">
        <v>0</v>
      </c>
      <c r="K1776">
        <v>5</v>
      </c>
      <c r="L1776" t="s">
        <v>39</v>
      </c>
      <c r="M1776" s="3">
        <v>11.35</v>
      </c>
      <c r="N1776" s="3">
        <v>17.54</v>
      </c>
      <c r="O1776" s="10" t="str">
        <f>TEXT(Inventory_Data[[#This Row],[Date]],"mmm")</f>
        <v>Nov</v>
      </c>
    </row>
    <row r="1777" spans="1:15" x14ac:dyDescent="0.2">
      <c r="A1777" s="21">
        <v>45981</v>
      </c>
      <c r="B1777" s="5" t="s">
        <v>19</v>
      </c>
      <c r="C1777" t="s">
        <v>20</v>
      </c>
      <c r="D1777" t="s">
        <v>16</v>
      </c>
      <c r="E1777" t="s">
        <v>35</v>
      </c>
      <c r="F1777">
        <v>166</v>
      </c>
      <c r="G1777">
        <v>32</v>
      </c>
      <c r="H1777">
        <v>13</v>
      </c>
      <c r="I1777">
        <f>Inventory_Data[[#This Row],[Opening_Stock]]+Inventory_Data[[#This Row],[Units_Received]]-Inventory_Data[[#This Row],[Units_Sold]]</f>
        <v>185</v>
      </c>
      <c r="J1777">
        <v>0</v>
      </c>
      <c r="K1777">
        <v>7</v>
      </c>
      <c r="L1777" t="s">
        <v>24</v>
      </c>
      <c r="M1777" s="3">
        <v>110.03</v>
      </c>
      <c r="N1777" s="3">
        <v>165.61</v>
      </c>
      <c r="O1777" s="10" t="str">
        <f>TEXT(Inventory_Data[[#This Row],[Date]],"mmm")</f>
        <v>Nov</v>
      </c>
    </row>
    <row r="1778" spans="1:15" x14ac:dyDescent="0.2">
      <c r="A1778" s="21">
        <v>45981</v>
      </c>
      <c r="B1778" s="5" t="s">
        <v>94</v>
      </c>
      <c r="C1778" t="s">
        <v>95</v>
      </c>
      <c r="D1778" t="s">
        <v>16</v>
      </c>
      <c r="E1778" t="s">
        <v>28</v>
      </c>
      <c r="F1778">
        <v>93</v>
      </c>
      <c r="G1778">
        <v>64</v>
      </c>
      <c r="H1778">
        <v>8</v>
      </c>
      <c r="I1778">
        <f>Inventory_Data[[#This Row],[Opening_Stock]]+Inventory_Data[[#This Row],[Units_Received]]-Inventory_Data[[#This Row],[Units_Sold]]</f>
        <v>149</v>
      </c>
      <c r="J1778">
        <v>0</v>
      </c>
      <c r="K1778">
        <v>4</v>
      </c>
      <c r="L1778" t="s">
        <v>24</v>
      </c>
      <c r="M1778" s="3">
        <v>190.16</v>
      </c>
      <c r="N1778" s="3">
        <v>219.06</v>
      </c>
      <c r="O1778" s="10" t="str">
        <f>TEXT(Inventory_Data[[#This Row],[Date]],"mmm")</f>
        <v>Nov</v>
      </c>
    </row>
    <row r="1779" spans="1:15" x14ac:dyDescent="0.2">
      <c r="A1779" s="21">
        <v>45981</v>
      </c>
      <c r="B1779" s="5" t="s">
        <v>184</v>
      </c>
      <c r="C1779" t="s">
        <v>185</v>
      </c>
      <c r="D1779" t="s">
        <v>16</v>
      </c>
      <c r="E1779" t="s">
        <v>35</v>
      </c>
      <c r="F1779">
        <v>167</v>
      </c>
      <c r="G1779">
        <v>59</v>
      </c>
      <c r="H1779">
        <v>24</v>
      </c>
      <c r="I1779">
        <f>Inventory_Data[[#This Row],[Opening_Stock]]+Inventory_Data[[#This Row],[Units_Received]]-Inventory_Data[[#This Row],[Units_Sold]]</f>
        <v>202</v>
      </c>
      <c r="J1779">
        <v>0</v>
      </c>
      <c r="K1779">
        <v>10</v>
      </c>
      <c r="L1779" t="s">
        <v>18</v>
      </c>
      <c r="M1779" s="3">
        <v>33.29</v>
      </c>
      <c r="N1779" s="3">
        <v>41.1</v>
      </c>
      <c r="O1779" s="10" t="str">
        <f>TEXT(Inventory_Data[[#This Row],[Date]],"mmm")</f>
        <v>Nov</v>
      </c>
    </row>
    <row r="1780" spans="1:15" x14ac:dyDescent="0.2">
      <c r="A1780" s="21">
        <v>45981</v>
      </c>
      <c r="B1780" s="5" t="s">
        <v>86</v>
      </c>
      <c r="C1780" t="s">
        <v>87</v>
      </c>
      <c r="D1780" t="s">
        <v>48</v>
      </c>
      <c r="E1780" t="s">
        <v>17</v>
      </c>
      <c r="F1780">
        <v>275</v>
      </c>
      <c r="G1780">
        <v>71</v>
      </c>
      <c r="H1780">
        <v>105</v>
      </c>
      <c r="I1780">
        <f>Inventory_Data[[#This Row],[Opening_Stock]]+Inventory_Data[[#This Row],[Units_Received]]-Inventory_Data[[#This Row],[Units_Sold]]</f>
        <v>241</v>
      </c>
      <c r="J1780">
        <v>0</v>
      </c>
      <c r="K1780">
        <v>7</v>
      </c>
      <c r="L1780" t="s">
        <v>49</v>
      </c>
      <c r="M1780" s="3">
        <v>56.28</v>
      </c>
      <c r="N1780" s="3">
        <v>73.17</v>
      </c>
      <c r="O1780" s="10" t="str">
        <f>TEXT(Inventory_Data[[#This Row],[Date]],"mmm")</f>
        <v>Nov</v>
      </c>
    </row>
    <row r="1781" spans="1:15" x14ac:dyDescent="0.2">
      <c r="A1781" s="21">
        <v>45981</v>
      </c>
      <c r="B1781" s="5" t="s">
        <v>142</v>
      </c>
      <c r="C1781" t="s">
        <v>143</v>
      </c>
      <c r="D1781" t="s">
        <v>52</v>
      </c>
      <c r="E1781" t="s">
        <v>21</v>
      </c>
      <c r="F1781">
        <v>64</v>
      </c>
      <c r="G1781">
        <v>9</v>
      </c>
      <c r="H1781">
        <v>14</v>
      </c>
      <c r="I1781">
        <f>Inventory_Data[[#This Row],[Opening_Stock]]+Inventory_Data[[#This Row],[Units_Received]]-Inventory_Data[[#This Row],[Units_Sold]]</f>
        <v>59</v>
      </c>
      <c r="J1781">
        <v>0</v>
      </c>
      <c r="K1781">
        <v>7</v>
      </c>
      <c r="L1781" t="s">
        <v>53</v>
      </c>
      <c r="M1781" s="3">
        <v>95.08</v>
      </c>
      <c r="N1781" s="3">
        <v>112.53</v>
      </c>
      <c r="O1781" s="10" t="str">
        <f>TEXT(Inventory_Data[[#This Row],[Date]],"mmm")</f>
        <v>Nov</v>
      </c>
    </row>
    <row r="1782" spans="1:15" x14ac:dyDescent="0.2">
      <c r="A1782" s="21">
        <v>45981</v>
      </c>
      <c r="B1782" s="5" t="s">
        <v>67</v>
      </c>
      <c r="C1782" t="s">
        <v>68</v>
      </c>
      <c r="D1782" t="s">
        <v>52</v>
      </c>
      <c r="E1782" t="s">
        <v>28</v>
      </c>
      <c r="F1782">
        <v>36</v>
      </c>
      <c r="G1782">
        <v>9</v>
      </c>
      <c r="H1782">
        <v>10</v>
      </c>
      <c r="I1782">
        <f>Inventory_Data[[#This Row],[Opening_Stock]]+Inventory_Data[[#This Row],[Units_Received]]-Inventory_Data[[#This Row],[Units_Sold]]</f>
        <v>35</v>
      </c>
      <c r="J1782">
        <v>0</v>
      </c>
      <c r="K1782">
        <v>5</v>
      </c>
      <c r="L1782" t="s">
        <v>53</v>
      </c>
      <c r="M1782" s="3">
        <v>203.71</v>
      </c>
      <c r="N1782" s="3">
        <v>284.75</v>
      </c>
      <c r="O1782" s="10" t="str">
        <f>TEXT(Inventory_Data[[#This Row],[Date]],"mmm")</f>
        <v>Nov</v>
      </c>
    </row>
    <row r="1783" spans="1:15" x14ac:dyDescent="0.2">
      <c r="A1783" s="21">
        <v>45982</v>
      </c>
      <c r="B1783" s="5" t="s">
        <v>106</v>
      </c>
      <c r="C1783" t="s">
        <v>107</v>
      </c>
      <c r="D1783" t="s">
        <v>16</v>
      </c>
      <c r="E1783" t="s">
        <v>28</v>
      </c>
      <c r="F1783">
        <v>49</v>
      </c>
      <c r="G1783">
        <v>66</v>
      </c>
      <c r="H1783">
        <v>51</v>
      </c>
      <c r="I1783">
        <f>Inventory_Data[[#This Row],[Opening_Stock]]+Inventory_Data[[#This Row],[Units_Received]]-Inventory_Data[[#This Row],[Units_Sold]]</f>
        <v>64</v>
      </c>
      <c r="J1783">
        <v>0</v>
      </c>
      <c r="K1783">
        <v>4</v>
      </c>
      <c r="L1783" t="s">
        <v>24</v>
      </c>
      <c r="M1783" s="3">
        <v>219.55</v>
      </c>
      <c r="N1783" s="3">
        <v>311.92</v>
      </c>
      <c r="O1783" s="10" t="str">
        <f>TEXT(Inventory_Data[[#This Row],[Date]],"mmm")</f>
        <v>Nov</v>
      </c>
    </row>
    <row r="1784" spans="1:15" x14ac:dyDescent="0.2">
      <c r="A1784" s="21">
        <v>45982</v>
      </c>
      <c r="B1784" s="5" t="s">
        <v>120</v>
      </c>
      <c r="C1784" t="s">
        <v>121</v>
      </c>
      <c r="D1784" t="s">
        <v>16</v>
      </c>
      <c r="E1784" t="s">
        <v>21</v>
      </c>
      <c r="F1784">
        <v>32</v>
      </c>
      <c r="G1784">
        <v>16</v>
      </c>
      <c r="H1784">
        <v>48</v>
      </c>
      <c r="I1784">
        <f>Inventory_Data[[#This Row],[Opening_Stock]]+Inventory_Data[[#This Row],[Units_Received]]-Inventory_Data[[#This Row],[Units_Sold]]</f>
        <v>0</v>
      </c>
      <c r="J1784">
        <v>1</v>
      </c>
      <c r="K1784">
        <v>8</v>
      </c>
      <c r="L1784" t="s">
        <v>24</v>
      </c>
      <c r="M1784" s="3">
        <v>120.02</v>
      </c>
      <c r="N1784" s="3">
        <v>175.16</v>
      </c>
      <c r="O1784" s="10" t="str">
        <f>TEXT(Inventory_Data[[#This Row],[Date]],"mmm")</f>
        <v>Nov</v>
      </c>
    </row>
    <row r="1785" spans="1:15" x14ac:dyDescent="0.2">
      <c r="A1785" s="21">
        <v>45982</v>
      </c>
      <c r="B1785" s="5" t="s">
        <v>170</v>
      </c>
      <c r="C1785" t="s">
        <v>171</v>
      </c>
      <c r="D1785" t="s">
        <v>48</v>
      </c>
      <c r="E1785" t="s">
        <v>28</v>
      </c>
      <c r="F1785">
        <v>133</v>
      </c>
      <c r="G1785">
        <v>122</v>
      </c>
      <c r="H1785">
        <v>40</v>
      </c>
      <c r="I1785">
        <f>Inventory_Data[[#This Row],[Opening_Stock]]+Inventory_Data[[#This Row],[Units_Received]]-Inventory_Data[[#This Row],[Units_Sold]]</f>
        <v>215</v>
      </c>
      <c r="J1785">
        <v>0</v>
      </c>
      <c r="K1785">
        <v>5</v>
      </c>
      <c r="L1785" t="s">
        <v>77</v>
      </c>
      <c r="M1785" s="3">
        <v>10.23</v>
      </c>
      <c r="N1785" s="3">
        <v>13.91</v>
      </c>
      <c r="O1785" s="10" t="str">
        <f>TEXT(Inventory_Data[[#This Row],[Date]],"mmm")</f>
        <v>Nov</v>
      </c>
    </row>
    <row r="1786" spans="1:15" x14ac:dyDescent="0.2">
      <c r="A1786" s="21">
        <v>45982</v>
      </c>
      <c r="B1786" s="5" t="s">
        <v>156</v>
      </c>
      <c r="C1786" t="s">
        <v>157</v>
      </c>
      <c r="D1786" t="s">
        <v>27</v>
      </c>
      <c r="E1786" t="s">
        <v>28</v>
      </c>
      <c r="F1786">
        <v>244</v>
      </c>
      <c r="G1786">
        <v>104</v>
      </c>
      <c r="H1786">
        <v>137</v>
      </c>
      <c r="I1786">
        <f>Inventory_Data[[#This Row],[Opening_Stock]]+Inventory_Data[[#This Row],[Units_Received]]-Inventory_Data[[#This Row],[Units_Sold]]</f>
        <v>211</v>
      </c>
      <c r="J1786">
        <v>0</v>
      </c>
      <c r="K1786">
        <v>7</v>
      </c>
      <c r="L1786" t="s">
        <v>29</v>
      </c>
      <c r="M1786" s="3">
        <v>5.87</v>
      </c>
      <c r="N1786" s="3">
        <v>8.5500000000000007</v>
      </c>
      <c r="O1786" s="10" t="str">
        <f>TEXT(Inventory_Data[[#This Row],[Date]],"mmm")</f>
        <v>Nov</v>
      </c>
    </row>
    <row r="1787" spans="1:15" x14ac:dyDescent="0.2">
      <c r="A1787" s="21">
        <v>45983</v>
      </c>
      <c r="B1787" s="5" t="s">
        <v>22</v>
      </c>
      <c r="C1787" t="s">
        <v>23</v>
      </c>
      <c r="D1787" t="s">
        <v>16</v>
      </c>
      <c r="E1787" t="s">
        <v>35</v>
      </c>
      <c r="F1787">
        <v>166</v>
      </c>
      <c r="G1787">
        <v>67</v>
      </c>
      <c r="H1787">
        <v>13</v>
      </c>
      <c r="I1787">
        <f>Inventory_Data[[#This Row],[Opening_Stock]]+Inventory_Data[[#This Row],[Units_Received]]-Inventory_Data[[#This Row],[Units_Sold]]</f>
        <v>220</v>
      </c>
      <c r="J1787">
        <v>0</v>
      </c>
      <c r="K1787">
        <v>4</v>
      </c>
      <c r="L1787" t="s">
        <v>18</v>
      </c>
      <c r="M1787" s="3">
        <v>139.38</v>
      </c>
      <c r="N1787" s="3">
        <v>169.59</v>
      </c>
      <c r="O1787" s="10" t="str">
        <f>TEXT(Inventory_Data[[#This Row],[Date]],"mmm")</f>
        <v>Nov</v>
      </c>
    </row>
    <row r="1788" spans="1:15" x14ac:dyDescent="0.2">
      <c r="A1788" s="21">
        <v>45983</v>
      </c>
      <c r="B1788" s="5" t="s">
        <v>188</v>
      </c>
      <c r="C1788" t="s">
        <v>189</v>
      </c>
      <c r="D1788" t="s">
        <v>27</v>
      </c>
      <c r="E1788" t="s">
        <v>35</v>
      </c>
      <c r="F1788">
        <v>148</v>
      </c>
      <c r="G1788">
        <v>229</v>
      </c>
      <c r="H1788">
        <v>198</v>
      </c>
      <c r="I1788">
        <f>Inventory_Data[[#This Row],[Opening_Stock]]+Inventory_Data[[#This Row],[Units_Received]]-Inventory_Data[[#This Row],[Units_Sold]]</f>
        <v>179</v>
      </c>
      <c r="J1788">
        <v>0</v>
      </c>
      <c r="K1788">
        <v>7</v>
      </c>
      <c r="L1788" t="s">
        <v>29</v>
      </c>
      <c r="M1788" s="3">
        <v>24.84</v>
      </c>
      <c r="N1788" s="3">
        <v>29.28</v>
      </c>
      <c r="O1788" s="10" t="str">
        <f>TEXT(Inventory_Data[[#This Row],[Date]],"mmm")</f>
        <v>Nov</v>
      </c>
    </row>
    <row r="1789" spans="1:15" x14ac:dyDescent="0.2">
      <c r="A1789" s="21">
        <v>45983</v>
      </c>
      <c r="B1789" s="5" t="s">
        <v>174</v>
      </c>
      <c r="C1789" t="s">
        <v>175</v>
      </c>
      <c r="D1789" t="s">
        <v>52</v>
      </c>
      <c r="E1789" t="s">
        <v>28</v>
      </c>
      <c r="F1789">
        <v>72</v>
      </c>
      <c r="G1789">
        <v>22</v>
      </c>
      <c r="H1789">
        <v>14</v>
      </c>
      <c r="I1789">
        <f>Inventory_Data[[#This Row],[Opening_Stock]]+Inventory_Data[[#This Row],[Units_Received]]-Inventory_Data[[#This Row],[Units_Sold]]</f>
        <v>80</v>
      </c>
      <c r="J1789">
        <v>0</v>
      </c>
      <c r="K1789">
        <v>4</v>
      </c>
      <c r="L1789" t="s">
        <v>53</v>
      </c>
      <c r="M1789" s="3">
        <v>113.2</v>
      </c>
      <c r="N1789" s="3">
        <v>168.9</v>
      </c>
      <c r="O1789" s="10" t="str">
        <f>TEXT(Inventory_Data[[#This Row],[Date]],"mmm")</f>
        <v>Nov</v>
      </c>
    </row>
    <row r="1790" spans="1:15" x14ac:dyDescent="0.2">
      <c r="A1790" s="21">
        <v>45983</v>
      </c>
      <c r="B1790" s="5" t="s">
        <v>102</v>
      </c>
      <c r="C1790" t="s">
        <v>103</v>
      </c>
      <c r="D1790" t="s">
        <v>52</v>
      </c>
      <c r="E1790" t="s">
        <v>35</v>
      </c>
      <c r="F1790">
        <v>79</v>
      </c>
      <c r="G1790">
        <v>17</v>
      </c>
      <c r="H1790">
        <v>17</v>
      </c>
      <c r="I1790">
        <f>Inventory_Data[[#This Row],[Opening_Stock]]+Inventory_Data[[#This Row],[Units_Received]]-Inventory_Data[[#This Row],[Units_Sold]]</f>
        <v>79</v>
      </c>
      <c r="J1790">
        <v>0</v>
      </c>
      <c r="K1790">
        <v>4</v>
      </c>
      <c r="L1790" t="s">
        <v>53</v>
      </c>
      <c r="M1790" s="3">
        <v>180.31</v>
      </c>
      <c r="N1790" s="3">
        <v>232.98</v>
      </c>
      <c r="O1790" s="10" t="str">
        <f>TEXT(Inventory_Data[[#This Row],[Date]],"mmm")</f>
        <v>Nov</v>
      </c>
    </row>
    <row r="1791" spans="1:15" x14ac:dyDescent="0.2">
      <c r="A1791" s="21">
        <v>45983</v>
      </c>
      <c r="B1791" s="5" t="s">
        <v>176</v>
      </c>
      <c r="C1791" t="s">
        <v>177</v>
      </c>
      <c r="D1791" t="s">
        <v>34</v>
      </c>
      <c r="E1791" t="s">
        <v>21</v>
      </c>
      <c r="F1791">
        <v>169</v>
      </c>
      <c r="G1791">
        <v>151</v>
      </c>
      <c r="H1791">
        <v>102</v>
      </c>
      <c r="I1791">
        <f>Inventory_Data[[#This Row],[Opening_Stock]]+Inventory_Data[[#This Row],[Units_Received]]-Inventory_Data[[#This Row],[Units_Sold]]</f>
        <v>218</v>
      </c>
      <c r="J1791">
        <v>0</v>
      </c>
      <c r="K1791">
        <v>9</v>
      </c>
      <c r="L1791" t="s">
        <v>36</v>
      </c>
      <c r="M1791" s="3">
        <v>6.93</v>
      </c>
      <c r="N1791" s="3">
        <v>8.49</v>
      </c>
      <c r="O1791" s="10" t="str">
        <f>TEXT(Inventory_Data[[#This Row],[Date]],"mmm")</f>
        <v>Nov</v>
      </c>
    </row>
    <row r="1792" spans="1:15" x14ac:dyDescent="0.2">
      <c r="A1792" s="21">
        <v>45983</v>
      </c>
      <c r="B1792" s="5" t="s">
        <v>40</v>
      </c>
      <c r="C1792" t="s">
        <v>41</v>
      </c>
      <c r="D1792" t="s">
        <v>34</v>
      </c>
      <c r="E1792" t="s">
        <v>21</v>
      </c>
      <c r="F1792">
        <v>358</v>
      </c>
      <c r="G1792">
        <v>218</v>
      </c>
      <c r="H1792">
        <v>45</v>
      </c>
      <c r="I1792">
        <f>Inventory_Data[[#This Row],[Opening_Stock]]+Inventory_Data[[#This Row],[Units_Received]]-Inventory_Data[[#This Row],[Units_Sold]]</f>
        <v>531</v>
      </c>
      <c r="J1792">
        <v>0</v>
      </c>
      <c r="K1792">
        <v>12</v>
      </c>
      <c r="L1792" t="s">
        <v>36</v>
      </c>
      <c r="M1792" s="3">
        <v>24.39</v>
      </c>
      <c r="N1792" s="3">
        <v>36.42</v>
      </c>
      <c r="O1792" s="10" t="str">
        <f>TEXT(Inventory_Data[[#This Row],[Date]],"mmm")</f>
        <v>Nov</v>
      </c>
    </row>
    <row r="1793" spans="1:15" x14ac:dyDescent="0.2">
      <c r="A1793" s="21">
        <v>45983</v>
      </c>
      <c r="B1793" s="5" t="s">
        <v>196</v>
      </c>
      <c r="C1793" t="s">
        <v>197</v>
      </c>
      <c r="D1793" t="s">
        <v>34</v>
      </c>
      <c r="E1793" t="s">
        <v>21</v>
      </c>
      <c r="F1793">
        <v>274</v>
      </c>
      <c r="G1793">
        <v>149</v>
      </c>
      <c r="H1793">
        <v>140</v>
      </c>
      <c r="I1793">
        <f>Inventory_Data[[#This Row],[Opening_Stock]]+Inventory_Data[[#This Row],[Units_Received]]-Inventory_Data[[#This Row],[Units_Sold]]</f>
        <v>283</v>
      </c>
      <c r="J1793">
        <v>0</v>
      </c>
      <c r="K1793">
        <v>8</v>
      </c>
      <c r="L1793" t="s">
        <v>39</v>
      </c>
      <c r="M1793" s="3">
        <v>27.28</v>
      </c>
      <c r="N1793" s="3">
        <v>34.880000000000003</v>
      </c>
      <c r="O1793" s="10" t="str">
        <f>TEXT(Inventory_Data[[#This Row],[Date]],"mmm")</f>
        <v>Nov</v>
      </c>
    </row>
    <row r="1794" spans="1:15" x14ac:dyDescent="0.2">
      <c r="A1794" s="21">
        <v>45984</v>
      </c>
      <c r="B1794" s="5" t="s">
        <v>162</v>
      </c>
      <c r="C1794" t="s">
        <v>163</v>
      </c>
      <c r="D1794" t="s">
        <v>16</v>
      </c>
      <c r="E1794" t="s">
        <v>17</v>
      </c>
      <c r="F1794">
        <v>116</v>
      </c>
      <c r="G1794">
        <v>65</v>
      </c>
      <c r="H1794">
        <v>7</v>
      </c>
      <c r="I1794">
        <f>Inventory_Data[[#This Row],[Opening_Stock]]+Inventory_Data[[#This Row],[Units_Received]]-Inventory_Data[[#This Row],[Units_Sold]]</f>
        <v>174</v>
      </c>
      <c r="J1794">
        <v>0</v>
      </c>
      <c r="K1794">
        <v>7</v>
      </c>
      <c r="L1794" t="s">
        <v>18</v>
      </c>
      <c r="M1794" s="3">
        <v>130.83000000000001</v>
      </c>
      <c r="N1794" s="3">
        <v>186.51</v>
      </c>
      <c r="O1794" s="10" t="str">
        <f>TEXT(Inventory_Data[[#This Row],[Date]],"mmm")</f>
        <v>Nov</v>
      </c>
    </row>
    <row r="1795" spans="1:15" x14ac:dyDescent="0.2">
      <c r="A1795" s="21">
        <v>45984</v>
      </c>
      <c r="B1795" s="5" t="s">
        <v>150</v>
      </c>
      <c r="C1795" t="s">
        <v>151</v>
      </c>
      <c r="D1795" t="s">
        <v>52</v>
      </c>
      <c r="E1795" t="s">
        <v>17</v>
      </c>
      <c r="F1795">
        <v>15</v>
      </c>
      <c r="G1795">
        <v>10</v>
      </c>
      <c r="H1795">
        <v>13</v>
      </c>
      <c r="I1795">
        <f>Inventory_Data[[#This Row],[Opening_Stock]]+Inventory_Data[[#This Row],[Units_Received]]-Inventory_Data[[#This Row],[Units_Sold]]</f>
        <v>12</v>
      </c>
      <c r="J1795">
        <v>0</v>
      </c>
      <c r="K1795">
        <v>10</v>
      </c>
      <c r="L1795" t="s">
        <v>53</v>
      </c>
      <c r="M1795" s="3">
        <v>283.77999999999997</v>
      </c>
      <c r="N1795" s="3">
        <v>409.78</v>
      </c>
      <c r="O1795" s="10" t="str">
        <f>TEXT(Inventory_Data[[#This Row],[Date]],"mmm")</f>
        <v>Nov</v>
      </c>
    </row>
    <row r="1796" spans="1:15" x14ac:dyDescent="0.2">
      <c r="A1796" s="21">
        <v>45984</v>
      </c>
      <c r="B1796" s="5" t="s">
        <v>81</v>
      </c>
      <c r="C1796" t="s">
        <v>82</v>
      </c>
      <c r="D1796" t="s">
        <v>52</v>
      </c>
      <c r="E1796" t="s">
        <v>35</v>
      </c>
      <c r="F1796">
        <v>68</v>
      </c>
      <c r="G1796">
        <v>5</v>
      </c>
      <c r="H1796">
        <v>3</v>
      </c>
      <c r="I1796">
        <f>Inventory_Data[[#This Row],[Opening_Stock]]+Inventory_Data[[#This Row],[Units_Received]]-Inventory_Data[[#This Row],[Units_Sold]]</f>
        <v>70</v>
      </c>
      <c r="J1796">
        <v>0</v>
      </c>
      <c r="K1796">
        <v>11</v>
      </c>
      <c r="L1796" t="s">
        <v>83</v>
      </c>
      <c r="M1796" s="3">
        <v>133.13999999999999</v>
      </c>
      <c r="N1796" s="3">
        <v>156.9</v>
      </c>
      <c r="O1796" s="10" t="str">
        <f>TEXT(Inventory_Data[[#This Row],[Date]],"mmm")</f>
        <v>Nov</v>
      </c>
    </row>
    <row r="1797" spans="1:15" x14ac:dyDescent="0.2">
      <c r="A1797" s="21">
        <v>45984</v>
      </c>
      <c r="B1797" s="5" t="s">
        <v>174</v>
      </c>
      <c r="C1797" t="s">
        <v>175</v>
      </c>
      <c r="D1797" t="s">
        <v>52</v>
      </c>
      <c r="E1797" t="s">
        <v>28</v>
      </c>
      <c r="F1797">
        <v>37</v>
      </c>
      <c r="G1797">
        <v>25</v>
      </c>
      <c r="H1797">
        <v>1</v>
      </c>
      <c r="I1797">
        <f>Inventory_Data[[#This Row],[Opening_Stock]]+Inventory_Data[[#This Row],[Units_Received]]-Inventory_Data[[#This Row],[Units_Sold]]</f>
        <v>61</v>
      </c>
      <c r="J1797">
        <v>0</v>
      </c>
      <c r="K1797">
        <v>6</v>
      </c>
      <c r="L1797" t="s">
        <v>56</v>
      </c>
      <c r="M1797" s="3">
        <v>161.54</v>
      </c>
      <c r="N1797" s="3">
        <v>244.27</v>
      </c>
      <c r="O1797" s="10" t="str">
        <f>TEXT(Inventory_Data[[#This Row],[Date]],"mmm")</f>
        <v>Nov</v>
      </c>
    </row>
    <row r="1798" spans="1:15" x14ac:dyDescent="0.2">
      <c r="A1798" s="21">
        <v>45985</v>
      </c>
      <c r="B1798" s="5" t="s">
        <v>106</v>
      </c>
      <c r="C1798" t="s">
        <v>107</v>
      </c>
      <c r="D1798" t="s">
        <v>16</v>
      </c>
      <c r="E1798" t="s">
        <v>28</v>
      </c>
      <c r="F1798">
        <v>70</v>
      </c>
      <c r="G1798">
        <v>57</v>
      </c>
      <c r="H1798">
        <v>74</v>
      </c>
      <c r="I1798">
        <f>Inventory_Data[[#This Row],[Opening_Stock]]+Inventory_Data[[#This Row],[Units_Received]]-Inventory_Data[[#This Row],[Units_Sold]]</f>
        <v>53</v>
      </c>
      <c r="J1798">
        <v>0</v>
      </c>
      <c r="K1798">
        <v>7</v>
      </c>
      <c r="L1798" t="s">
        <v>24</v>
      </c>
      <c r="M1798" s="3">
        <v>174.79</v>
      </c>
      <c r="N1798" s="3">
        <v>254.65</v>
      </c>
      <c r="O1798" s="10" t="str">
        <f>TEXT(Inventory_Data[[#This Row],[Date]],"mmm")</f>
        <v>Nov</v>
      </c>
    </row>
    <row r="1799" spans="1:15" x14ac:dyDescent="0.2">
      <c r="A1799" s="21">
        <v>45985</v>
      </c>
      <c r="B1799" s="5" t="s">
        <v>94</v>
      </c>
      <c r="C1799" t="s">
        <v>95</v>
      </c>
      <c r="D1799" t="s">
        <v>16</v>
      </c>
      <c r="E1799" t="s">
        <v>17</v>
      </c>
      <c r="F1799">
        <v>52</v>
      </c>
      <c r="G1799">
        <v>59</v>
      </c>
      <c r="H1799">
        <v>60</v>
      </c>
      <c r="I1799">
        <f>Inventory_Data[[#This Row],[Opening_Stock]]+Inventory_Data[[#This Row],[Units_Received]]-Inventory_Data[[#This Row],[Units_Sold]]</f>
        <v>51</v>
      </c>
      <c r="J1799">
        <v>0</v>
      </c>
      <c r="K1799">
        <v>13</v>
      </c>
      <c r="L1799" t="s">
        <v>24</v>
      </c>
      <c r="M1799" s="3">
        <v>44.84</v>
      </c>
      <c r="N1799" s="3">
        <v>58.85</v>
      </c>
      <c r="O1799" s="10" t="str">
        <f>TEXT(Inventory_Data[[#This Row],[Date]],"mmm")</f>
        <v>Nov</v>
      </c>
    </row>
    <row r="1800" spans="1:15" x14ac:dyDescent="0.2">
      <c r="A1800" s="21">
        <v>45985</v>
      </c>
      <c r="B1800" s="5" t="s">
        <v>146</v>
      </c>
      <c r="C1800" t="s">
        <v>147</v>
      </c>
      <c r="D1800" t="s">
        <v>48</v>
      </c>
      <c r="E1800" t="s">
        <v>17</v>
      </c>
      <c r="F1800">
        <v>198</v>
      </c>
      <c r="G1800">
        <v>147</v>
      </c>
      <c r="H1800">
        <v>40</v>
      </c>
      <c r="I1800">
        <f>Inventory_Data[[#This Row],[Opening_Stock]]+Inventory_Data[[#This Row],[Units_Received]]-Inventory_Data[[#This Row],[Units_Sold]]</f>
        <v>305</v>
      </c>
      <c r="J1800">
        <v>0</v>
      </c>
      <c r="K1800">
        <v>3</v>
      </c>
      <c r="L1800" t="s">
        <v>49</v>
      </c>
      <c r="M1800" s="3">
        <v>25.17</v>
      </c>
      <c r="N1800" s="3">
        <v>34.35</v>
      </c>
      <c r="O1800" s="10" t="str">
        <f>TEXT(Inventory_Data[[#This Row],[Date]],"mmm")</f>
        <v>Nov</v>
      </c>
    </row>
    <row r="1801" spans="1:15" x14ac:dyDescent="0.2">
      <c r="A1801" s="21">
        <v>45985</v>
      </c>
      <c r="B1801" s="5" t="s">
        <v>75</v>
      </c>
      <c r="C1801" t="s">
        <v>76</v>
      </c>
      <c r="D1801" t="s">
        <v>48</v>
      </c>
      <c r="E1801" t="s">
        <v>35</v>
      </c>
      <c r="F1801">
        <v>113</v>
      </c>
      <c r="G1801">
        <v>118</v>
      </c>
      <c r="H1801">
        <v>81</v>
      </c>
      <c r="I1801">
        <f>Inventory_Data[[#This Row],[Opening_Stock]]+Inventory_Data[[#This Row],[Units_Received]]-Inventory_Data[[#This Row],[Units_Sold]]</f>
        <v>150</v>
      </c>
      <c r="J1801">
        <v>0</v>
      </c>
      <c r="K1801">
        <v>13</v>
      </c>
      <c r="L1801" t="s">
        <v>77</v>
      </c>
      <c r="M1801" s="3">
        <v>9.59</v>
      </c>
      <c r="N1801" s="3">
        <v>14.76</v>
      </c>
      <c r="O1801" s="10" t="str">
        <f>TEXT(Inventory_Data[[#This Row],[Date]],"mmm")</f>
        <v>Nov</v>
      </c>
    </row>
    <row r="1802" spans="1:15" x14ac:dyDescent="0.2">
      <c r="A1802" s="21">
        <v>45985</v>
      </c>
      <c r="B1802" s="5" t="s">
        <v>148</v>
      </c>
      <c r="C1802" t="s">
        <v>149</v>
      </c>
      <c r="D1802" t="s">
        <v>27</v>
      </c>
      <c r="E1802" t="s">
        <v>21</v>
      </c>
      <c r="F1802">
        <v>398</v>
      </c>
      <c r="G1802">
        <v>155</v>
      </c>
      <c r="H1802">
        <v>132</v>
      </c>
      <c r="I1802">
        <f>Inventory_Data[[#This Row],[Opening_Stock]]+Inventory_Data[[#This Row],[Units_Received]]-Inventory_Data[[#This Row],[Units_Sold]]</f>
        <v>421</v>
      </c>
      <c r="J1802">
        <v>0</v>
      </c>
      <c r="K1802">
        <v>3</v>
      </c>
      <c r="L1802" t="s">
        <v>29</v>
      </c>
      <c r="M1802" s="3">
        <v>20.43</v>
      </c>
      <c r="N1802" s="3">
        <v>29.76</v>
      </c>
      <c r="O1802" s="10" t="str">
        <f>TEXT(Inventory_Data[[#This Row],[Date]],"mmm")</f>
        <v>Nov</v>
      </c>
    </row>
    <row r="1803" spans="1:15" x14ac:dyDescent="0.2">
      <c r="A1803" s="21">
        <v>45985</v>
      </c>
      <c r="B1803" s="5" t="s">
        <v>67</v>
      </c>
      <c r="C1803" t="s">
        <v>68</v>
      </c>
      <c r="D1803" t="s">
        <v>52</v>
      </c>
      <c r="E1803" t="s">
        <v>21</v>
      </c>
      <c r="F1803">
        <v>49</v>
      </c>
      <c r="G1803">
        <v>4</v>
      </c>
      <c r="H1803">
        <v>6</v>
      </c>
      <c r="I1803">
        <f>Inventory_Data[[#This Row],[Opening_Stock]]+Inventory_Data[[#This Row],[Units_Received]]-Inventory_Data[[#This Row],[Units_Sold]]</f>
        <v>47</v>
      </c>
      <c r="J1803">
        <v>0</v>
      </c>
      <c r="K1803">
        <v>7</v>
      </c>
      <c r="L1803" t="s">
        <v>56</v>
      </c>
      <c r="M1803" s="3">
        <v>40.14</v>
      </c>
      <c r="N1803" s="3">
        <v>57.48</v>
      </c>
      <c r="O1803" s="10" t="str">
        <f>TEXT(Inventory_Data[[#This Row],[Date]],"mmm")</f>
        <v>Nov</v>
      </c>
    </row>
    <row r="1804" spans="1:15" x14ac:dyDescent="0.2">
      <c r="A1804" s="21">
        <v>45985</v>
      </c>
      <c r="B1804" s="5" t="s">
        <v>102</v>
      </c>
      <c r="C1804" t="s">
        <v>103</v>
      </c>
      <c r="D1804" t="s">
        <v>52</v>
      </c>
      <c r="E1804" t="s">
        <v>21</v>
      </c>
      <c r="F1804">
        <v>33</v>
      </c>
      <c r="G1804">
        <v>14</v>
      </c>
      <c r="H1804">
        <v>5</v>
      </c>
      <c r="I1804">
        <f>Inventory_Data[[#This Row],[Opening_Stock]]+Inventory_Data[[#This Row],[Units_Received]]-Inventory_Data[[#This Row],[Units_Sold]]</f>
        <v>42</v>
      </c>
      <c r="J1804">
        <v>0</v>
      </c>
      <c r="K1804">
        <v>5</v>
      </c>
      <c r="L1804" t="s">
        <v>83</v>
      </c>
      <c r="M1804" s="3">
        <v>111.14</v>
      </c>
      <c r="N1804" s="3">
        <v>151.65</v>
      </c>
      <c r="O1804" s="10" t="str">
        <f>TEXT(Inventory_Data[[#This Row],[Date]],"mmm")</f>
        <v>Nov</v>
      </c>
    </row>
    <row r="1805" spans="1:15" x14ac:dyDescent="0.2">
      <c r="A1805" s="21">
        <v>45985</v>
      </c>
      <c r="B1805" s="5" t="s">
        <v>176</v>
      </c>
      <c r="C1805" t="s">
        <v>177</v>
      </c>
      <c r="D1805" t="s">
        <v>34</v>
      </c>
      <c r="E1805" t="s">
        <v>17</v>
      </c>
      <c r="F1805">
        <v>174</v>
      </c>
      <c r="G1805">
        <v>36</v>
      </c>
      <c r="H1805">
        <v>64</v>
      </c>
      <c r="I1805">
        <f>Inventory_Data[[#This Row],[Opening_Stock]]+Inventory_Data[[#This Row],[Units_Received]]-Inventory_Data[[#This Row],[Units_Sold]]</f>
        <v>146</v>
      </c>
      <c r="J1805">
        <v>0</v>
      </c>
      <c r="K1805">
        <v>7</v>
      </c>
      <c r="L1805" t="s">
        <v>42</v>
      </c>
      <c r="M1805" s="3">
        <v>24.48</v>
      </c>
      <c r="N1805" s="3">
        <v>34.96</v>
      </c>
      <c r="O1805" s="10" t="str">
        <f>TEXT(Inventory_Data[[#This Row],[Date]],"mmm")</f>
        <v>Nov</v>
      </c>
    </row>
    <row r="1806" spans="1:15" x14ac:dyDescent="0.2">
      <c r="A1806" s="21">
        <v>45986</v>
      </c>
      <c r="B1806" s="5" t="s">
        <v>19</v>
      </c>
      <c r="C1806" t="s">
        <v>20</v>
      </c>
      <c r="D1806" t="s">
        <v>16</v>
      </c>
      <c r="E1806" t="s">
        <v>28</v>
      </c>
      <c r="F1806">
        <v>96</v>
      </c>
      <c r="G1806">
        <v>40</v>
      </c>
      <c r="H1806">
        <v>51</v>
      </c>
      <c r="I1806">
        <f>Inventory_Data[[#This Row],[Opening_Stock]]+Inventory_Data[[#This Row],[Units_Received]]-Inventory_Data[[#This Row],[Units_Sold]]</f>
        <v>85</v>
      </c>
      <c r="J1806">
        <v>0</v>
      </c>
      <c r="K1806">
        <v>10</v>
      </c>
      <c r="L1806" t="s">
        <v>18</v>
      </c>
      <c r="M1806" s="3">
        <v>49.95</v>
      </c>
      <c r="N1806" s="3">
        <v>65.62</v>
      </c>
      <c r="O1806" s="10" t="str">
        <f>TEXT(Inventory_Data[[#This Row],[Date]],"mmm")</f>
        <v>Nov</v>
      </c>
    </row>
    <row r="1807" spans="1:15" x14ac:dyDescent="0.2">
      <c r="A1807" s="21">
        <v>45986</v>
      </c>
      <c r="B1807" s="5" t="s">
        <v>114</v>
      </c>
      <c r="C1807" t="s">
        <v>115</v>
      </c>
      <c r="D1807" t="s">
        <v>27</v>
      </c>
      <c r="E1807" t="s">
        <v>17</v>
      </c>
      <c r="F1807">
        <v>112</v>
      </c>
      <c r="G1807">
        <v>244</v>
      </c>
      <c r="H1807">
        <v>75</v>
      </c>
      <c r="I1807">
        <f>Inventory_Data[[#This Row],[Opening_Stock]]+Inventory_Data[[#This Row],[Units_Received]]-Inventory_Data[[#This Row],[Units_Sold]]</f>
        <v>281</v>
      </c>
      <c r="J1807">
        <v>0</v>
      </c>
      <c r="K1807">
        <v>4</v>
      </c>
      <c r="L1807" t="s">
        <v>29</v>
      </c>
      <c r="M1807" s="3">
        <v>22.69</v>
      </c>
      <c r="N1807" s="3">
        <v>34.51</v>
      </c>
      <c r="O1807" s="10" t="str">
        <f>TEXT(Inventory_Data[[#This Row],[Date]],"mmm")</f>
        <v>Nov</v>
      </c>
    </row>
    <row r="1808" spans="1:15" x14ac:dyDescent="0.2">
      <c r="A1808" s="21">
        <v>45986</v>
      </c>
      <c r="B1808" s="5" t="s">
        <v>116</v>
      </c>
      <c r="C1808" t="s">
        <v>117</v>
      </c>
      <c r="D1808" t="s">
        <v>52</v>
      </c>
      <c r="E1808" t="s">
        <v>21</v>
      </c>
      <c r="F1808">
        <v>48</v>
      </c>
      <c r="G1808">
        <v>11</v>
      </c>
      <c r="H1808">
        <v>16</v>
      </c>
      <c r="I1808">
        <f>Inventory_Data[[#This Row],[Opening_Stock]]+Inventory_Data[[#This Row],[Units_Received]]-Inventory_Data[[#This Row],[Units_Sold]]</f>
        <v>43</v>
      </c>
      <c r="J1808">
        <v>0</v>
      </c>
      <c r="K1808">
        <v>13</v>
      </c>
      <c r="L1808" t="s">
        <v>56</v>
      </c>
      <c r="M1808" s="3">
        <v>276.85000000000002</v>
      </c>
      <c r="N1808" s="3">
        <v>399.8</v>
      </c>
      <c r="O1808" s="10" t="str">
        <f>TEXT(Inventory_Data[[#This Row],[Date]],"mmm")</f>
        <v>Nov</v>
      </c>
    </row>
    <row r="1809" spans="1:15" x14ac:dyDescent="0.2">
      <c r="A1809" s="21">
        <v>45987</v>
      </c>
      <c r="B1809" s="5" t="s">
        <v>184</v>
      </c>
      <c r="C1809" t="s">
        <v>185</v>
      </c>
      <c r="D1809" t="s">
        <v>16</v>
      </c>
      <c r="E1809" t="s">
        <v>21</v>
      </c>
      <c r="F1809">
        <v>99</v>
      </c>
      <c r="G1809">
        <v>79</v>
      </c>
      <c r="H1809">
        <v>63</v>
      </c>
      <c r="I1809">
        <f>Inventory_Data[[#This Row],[Opening_Stock]]+Inventory_Data[[#This Row],[Units_Received]]-Inventory_Data[[#This Row],[Units_Sold]]</f>
        <v>115</v>
      </c>
      <c r="J1809">
        <v>0</v>
      </c>
      <c r="K1809">
        <v>4</v>
      </c>
      <c r="L1809" t="s">
        <v>18</v>
      </c>
      <c r="M1809" s="3">
        <v>151.38</v>
      </c>
      <c r="N1809" s="3">
        <v>178.85</v>
      </c>
      <c r="O1809" s="10" t="str">
        <f>TEXT(Inventory_Data[[#This Row],[Date]],"mmm")</f>
        <v>Nov</v>
      </c>
    </row>
    <row r="1810" spans="1:15" x14ac:dyDescent="0.2">
      <c r="A1810" s="21">
        <v>45987</v>
      </c>
      <c r="B1810" s="5" t="s">
        <v>84</v>
      </c>
      <c r="C1810" t="s">
        <v>85</v>
      </c>
      <c r="D1810" t="s">
        <v>48</v>
      </c>
      <c r="E1810" t="s">
        <v>21</v>
      </c>
      <c r="F1810">
        <v>190</v>
      </c>
      <c r="G1810">
        <v>116</v>
      </c>
      <c r="H1810">
        <v>130</v>
      </c>
      <c r="I1810">
        <f>Inventory_Data[[#This Row],[Opening_Stock]]+Inventory_Data[[#This Row],[Units_Received]]-Inventory_Data[[#This Row],[Units_Sold]]</f>
        <v>176</v>
      </c>
      <c r="J1810">
        <v>0</v>
      </c>
      <c r="K1810">
        <v>14</v>
      </c>
      <c r="L1810" t="s">
        <v>77</v>
      </c>
      <c r="M1810" s="3">
        <v>35.71</v>
      </c>
      <c r="N1810" s="3">
        <v>47.78</v>
      </c>
      <c r="O1810" s="10" t="str">
        <f>TEXT(Inventory_Data[[#This Row],[Date]],"mmm")</f>
        <v>Nov</v>
      </c>
    </row>
    <row r="1811" spans="1:15" x14ac:dyDescent="0.2">
      <c r="A1811" s="21">
        <v>45987</v>
      </c>
      <c r="B1811" s="5" t="s">
        <v>30</v>
      </c>
      <c r="C1811" t="s">
        <v>31</v>
      </c>
      <c r="D1811" t="s">
        <v>27</v>
      </c>
      <c r="E1811" t="s">
        <v>21</v>
      </c>
      <c r="F1811">
        <v>395</v>
      </c>
      <c r="G1811">
        <v>138</v>
      </c>
      <c r="H1811">
        <v>81</v>
      </c>
      <c r="I1811">
        <f>Inventory_Data[[#This Row],[Opening_Stock]]+Inventory_Data[[#This Row],[Units_Received]]-Inventory_Data[[#This Row],[Units_Sold]]</f>
        <v>452</v>
      </c>
      <c r="J1811">
        <v>0</v>
      </c>
      <c r="K1811">
        <v>6</v>
      </c>
      <c r="L1811" t="s">
        <v>80</v>
      </c>
      <c r="M1811" s="3">
        <v>12.09</v>
      </c>
      <c r="N1811" s="3">
        <v>18.63</v>
      </c>
      <c r="O1811" s="10" t="str">
        <f>TEXT(Inventory_Data[[#This Row],[Date]],"mmm")</f>
        <v>Nov</v>
      </c>
    </row>
    <row r="1812" spans="1:15" x14ac:dyDescent="0.2">
      <c r="A1812" s="21">
        <v>45987</v>
      </c>
      <c r="B1812" s="5" t="s">
        <v>148</v>
      </c>
      <c r="C1812" t="s">
        <v>149</v>
      </c>
      <c r="D1812" t="s">
        <v>27</v>
      </c>
      <c r="E1812" t="s">
        <v>28</v>
      </c>
      <c r="F1812">
        <v>128</v>
      </c>
      <c r="G1812">
        <v>90</v>
      </c>
      <c r="H1812">
        <v>52</v>
      </c>
      <c r="I1812">
        <f>Inventory_Data[[#This Row],[Opening_Stock]]+Inventory_Data[[#This Row],[Units_Received]]-Inventory_Data[[#This Row],[Units_Sold]]</f>
        <v>166</v>
      </c>
      <c r="J1812">
        <v>0</v>
      </c>
      <c r="K1812">
        <v>6</v>
      </c>
      <c r="L1812" t="s">
        <v>29</v>
      </c>
      <c r="M1812" s="3">
        <v>23.94</v>
      </c>
      <c r="N1812" s="3">
        <v>33.68</v>
      </c>
      <c r="O1812" s="10" t="str">
        <f>TEXT(Inventory_Data[[#This Row],[Date]],"mmm")</f>
        <v>Nov</v>
      </c>
    </row>
    <row r="1813" spans="1:15" x14ac:dyDescent="0.2">
      <c r="A1813" s="21">
        <v>45987</v>
      </c>
      <c r="B1813" s="5" t="s">
        <v>142</v>
      </c>
      <c r="C1813" t="s">
        <v>143</v>
      </c>
      <c r="D1813" t="s">
        <v>52</v>
      </c>
      <c r="E1813" t="s">
        <v>28</v>
      </c>
      <c r="F1813">
        <v>36</v>
      </c>
      <c r="G1813">
        <v>16</v>
      </c>
      <c r="H1813">
        <v>16</v>
      </c>
      <c r="I1813">
        <f>Inventory_Data[[#This Row],[Opening_Stock]]+Inventory_Data[[#This Row],[Units_Received]]-Inventory_Data[[#This Row],[Units_Sold]]</f>
        <v>36</v>
      </c>
      <c r="J1813">
        <v>0</v>
      </c>
      <c r="K1813">
        <v>4</v>
      </c>
      <c r="L1813" t="s">
        <v>56</v>
      </c>
      <c r="M1813" s="3">
        <v>29.96</v>
      </c>
      <c r="N1813" s="3">
        <v>37.090000000000003</v>
      </c>
      <c r="O1813" s="10" t="str">
        <f>TEXT(Inventory_Data[[#This Row],[Date]],"mmm")</f>
        <v>Nov</v>
      </c>
    </row>
    <row r="1814" spans="1:15" x14ac:dyDescent="0.2">
      <c r="A1814" s="21">
        <v>45987</v>
      </c>
      <c r="B1814" s="5" t="s">
        <v>174</v>
      </c>
      <c r="C1814" t="s">
        <v>175</v>
      </c>
      <c r="D1814" t="s">
        <v>52</v>
      </c>
      <c r="E1814" t="s">
        <v>28</v>
      </c>
      <c r="F1814">
        <v>64</v>
      </c>
      <c r="G1814">
        <v>5</v>
      </c>
      <c r="H1814">
        <v>15</v>
      </c>
      <c r="I1814">
        <f>Inventory_Data[[#This Row],[Opening_Stock]]+Inventory_Data[[#This Row],[Units_Received]]-Inventory_Data[[#This Row],[Units_Sold]]</f>
        <v>54</v>
      </c>
      <c r="J1814">
        <v>0</v>
      </c>
      <c r="K1814">
        <v>9</v>
      </c>
      <c r="L1814" t="s">
        <v>83</v>
      </c>
      <c r="M1814" s="3">
        <v>70.16</v>
      </c>
      <c r="N1814" s="3">
        <v>101.66</v>
      </c>
      <c r="O1814" s="10" t="str">
        <f>TEXT(Inventory_Data[[#This Row],[Date]],"mmm")</f>
        <v>Nov</v>
      </c>
    </row>
    <row r="1815" spans="1:15" x14ac:dyDescent="0.2">
      <c r="A1815" s="21">
        <v>45987</v>
      </c>
      <c r="B1815" s="5" t="s">
        <v>32</v>
      </c>
      <c r="C1815" t="s">
        <v>33</v>
      </c>
      <c r="D1815" t="s">
        <v>34</v>
      </c>
      <c r="E1815" t="s">
        <v>28</v>
      </c>
      <c r="F1815">
        <v>140</v>
      </c>
      <c r="G1815">
        <v>39</v>
      </c>
      <c r="H1815">
        <v>22</v>
      </c>
      <c r="I1815">
        <f>Inventory_Data[[#This Row],[Opening_Stock]]+Inventory_Data[[#This Row],[Units_Received]]-Inventory_Data[[#This Row],[Units_Sold]]</f>
        <v>157</v>
      </c>
      <c r="J1815">
        <v>0</v>
      </c>
      <c r="K1815">
        <v>6</v>
      </c>
      <c r="L1815" t="s">
        <v>36</v>
      </c>
      <c r="M1815" s="3">
        <v>17.38</v>
      </c>
      <c r="N1815" s="3">
        <v>21.24</v>
      </c>
      <c r="O1815" s="10" t="str">
        <f>TEXT(Inventory_Data[[#This Row],[Date]],"mmm")</f>
        <v>Nov</v>
      </c>
    </row>
    <row r="1816" spans="1:15" x14ac:dyDescent="0.2">
      <c r="A1816" s="21">
        <v>45987</v>
      </c>
      <c r="B1816" s="5" t="s">
        <v>37</v>
      </c>
      <c r="C1816" t="s">
        <v>38</v>
      </c>
      <c r="D1816" t="s">
        <v>34</v>
      </c>
      <c r="E1816" t="s">
        <v>17</v>
      </c>
      <c r="F1816">
        <v>186</v>
      </c>
      <c r="G1816">
        <v>198</v>
      </c>
      <c r="H1816">
        <v>39</v>
      </c>
      <c r="I1816">
        <f>Inventory_Data[[#This Row],[Opening_Stock]]+Inventory_Data[[#This Row],[Units_Received]]-Inventory_Data[[#This Row],[Units_Sold]]</f>
        <v>345</v>
      </c>
      <c r="J1816">
        <v>0</v>
      </c>
      <c r="K1816">
        <v>4</v>
      </c>
      <c r="L1816" t="s">
        <v>39</v>
      </c>
      <c r="M1816" s="3">
        <v>18.47</v>
      </c>
      <c r="N1816" s="3">
        <v>22.44</v>
      </c>
      <c r="O1816" s="10" t="str">
        <f>TEXT(Inventory_Data[[#This Row],[Date]],"mmm")</f>
        <v>Nov</v>
      </c>
    </row>
    <row r="1817" spans="1:15" x14ac:dyDescent="0.2">
      <c r="A1817" s="21">
        <v>45988</v>
      </c>
      <c r="B1817" s="5" t="s">
        <v>14</v>
      </c>
      <c r="C1817" t="s">
        <v>15</v>
      </c>
      <c r="D1817" t="s">
        <v>16</v>
      </c>
      <c r="E1817" t="s">
        <v>35</v>
      </c>
      <c r="F1817">
        <v>61</v>
      </c>
      <c r="G1817">
        <v>62</v>
      </c>
      <c r="H1817">
        <v>63</v>
      </c>
      <c r="I1817">
        <f>Inventory_Data[[#This Row],[Opening_Stock]]+Inventory_Data[[#This Row],[Units_Received]]-Inventory_Data[[#This Row],[Units_Sold]]</f>
        <v>60</v>
      </c>
      <c r="J1817">
        <v>0</v>
      </c>
      <c r="K1817">
        <v>11</v>
      </c>
      <c r="L1817" t="s">
        <v>24</v>
      </c>
      <c r="M1817" s="3">
        <v>126.31</v>
      </c>
      <c r="N1817" s="3">
        <v>164.14</v>
      </c>
      <c r="O1817" s="10" t="str">
        <f>TEXT(Inventory_Data[[#This Row],[Date]],"mmm")</f>
        <v>Nov</v>
      </c>
    </row>
    <row r="1818" spans="1:15" x14ac:dyDescent="0.2">
      <c r="A1818" s="21">
        <v>45988</v>
      </c>
      <c r="B1818" s="5" t="s">
        <v>190</v>
      </c>
      <c r="C1818" t="s">
        <v>191</v>
      </c>
      <c r="D1818" t="s">
        <v>48</v>
      </c>
      <c r="E1818" t="s">
        <v>28</v>
      </c>
      <c r="F1818">
        <v>94</v>
      </c>
      <c r="G1818">
        <v>20</v>
      </c>
      <c r="H1818">
        <v>110</v>
      </c>
      <c r="I1818">
        <f>Inventory_Data[[#This Row],[Opening_Stock]]+Inventory_Data[[#This Row],[Units_Received]]-Inventory_Data[[#This Row],[Units_Sold]]</f>
        <v>4</v>
      </c>
      <c r="J1818">
        <v>0</v>
      </c>
      <c r="K1818">
        <v>7</v>
      </c>
      <c r="L1818" t="s">
        <v>63</v>
      </c>
      <c r="M1818" s="3">
        <v>83.2</v>
      </c>
      <c r="N1818" s="3">
        <v>115.1</v>
      </c>
      <c r="O1818" s="10" t="str">
        <f>TEXT(Inventory_Data[[#This Row],[Date]],"mmm")</f>
        <v>Nov</v>
      </c>
    </row>
    <row r="1819" spans="1:15" x14ac:dyDescent="0.2">
      <c r="A1819" s="21">
        <v>45988</v>
      </c>
      <c r="B1819" s="5" t="s">
        <v>116</v>
      </c>
      <c r="C1819" t="s">
        <v>117</v>
      </c>
      <c r="D1819" t="s">
        <v>52</v>
      </c>
      <c r="E1819" t="s">
        <v>21</v>
      </c>
      <c r="F1819">
        <v>55</v>
      </c>
      <c r="G1819">
        <v>5</v>
      </c>
      <c r="H1819">
        <v>1</v>
      </c>
      <c r="I1819">
        <f>Inventory_Data[[#This Row],[Opening_Stock]]+Inventory_Data[[#This Row],[Units_Received]]-Inventory_Data[[#This Row],[Units_Sold]]</f>
        <v>59</v>
      </c>
      <c r="J1819">
        <v>0</v>
      </c>
      <c r="K1819">
        <v>2</v>
      </c>
      <c r="L1819" t="s">
        <v>53</v>
      </c>
      <c r="M1819" s="3">
        <v>95.09</v>
      </c>
      <c r="N1819" s="3">
        <v>134.41</v>
      </c>
      <c r="O1819" s="10" t="str">
        <f>TEXT(Inventory_Data[[#This Row],[Date]],"mmm")</f>
        <v>Nov</v>
      </c>
    </row>
    <row r="1820" spans="1:15" x14ac:dyDescent="0.2">
      <c r="A1820" s="21">
        <v>45988</v>
      </c>
      <c r="B1820" s="5" t="s">
        <v>174</v>
      </c>
      <c r="C1820" t="s">
        <v>175</v>
      </c>
      <c r="D1820" t="s">
        <v>52</v>
      </c>
      <c r="E1820" t="s">
        <v>28</v>
      </c>
      <c r="F1820">
        <v>11</v>
      </c>
      <c r="G1820">
        <v>10</v>
      </c>
      <c r="H1820">
        <v>14</v>
      </c>
      <c r="I1820">
        <f>Inventory_Data[[#This Row],[Opening_Stock]]+Inventory_Data[[#This Row],[Units_Received]]-Inventory_Data[[#This Row],[Units_Sold]]</f>
        <v>7</v>
      </c>
      <c r="J1820">
        <v>0</v>
      </c>
      <c r="K1820">
        <v>7</v>
      </c>
      <c r="L1820" t="s">
        <v>56</v>
      </c>
      <c r="M1820" s="3">
        <v>315</v>
      </c>
      <c r="N1820" s="3">
        <v>385.6</v>
      </c>
      <c r="O1820" s="10" t="str">
        <f>TEXT(Inventory_Data[[#This Row],[Date]],"mmm")</f>
        <v>Nov</v>
      </c>
    </row>
    <row r="1821" spans="1:15" x14ac:dyDescent="0.2">
      <c r="A1821" s="21">
        <v>45989</v>
      </c>
      <c r="B1821" s="5" t="s">
        <v>96</v>
      </c>
      <c r="C1821" t="s">
        <v>97</v>
      </c>
      <c r="D1821" t="s">
        <v>48</v>
      </c>
      <c r="E1821" t="s">
        <v>35</v>
      </c>
      <c r="F1821">
        <v>43</v>
      </c>
      <c r="G1821">
        <v>37</v>
      </c>
      <c r="H1821">
        <v>60</v>
      </c>
      <c r="I1821">
        <f>Inventory_Data[[#This Row],[Opening_Stock]]+Inventory_Data[[#This Row],[Units_Received]]-Inventory_Data[[#This Row],[Units_Sold]]</f>
        <v>20</v>
      </c>
      <c r="J1821">
        <v>0</v>
      </c>
      <c r="K1821">
        <v>5</v>
      </c>
      <c r="L1821" t="s">
        <v>49</v>
      </c>
      <c r="M1821" s="3">
        <v>16.75</v>
      </c>
      <c r="N1821" s="3">
        <v>24.73</v>
      </c>
      <c r="O1821" s="10" t="str">
        <f>TEXT(Inventory_Data[[#This Row],[Date]],"mmm")</f>
        <v>Nov</v>
      </c>
    </row>
    <row r="1822" spans="1:15" x14ac:dyDescent="0.2">
      <c r="A1822" s="21">
        <v>45989</v>
      </c>
      <c r="B1822" s="5" t="s">
        <v>154</v>
      </c>
      <c r="C1822" t="s">
        <v>155</v>
      </c>
      <c r="D1822" t="s">
        <v>48</v>
      </c>
      <c r="E1822" t="s">
        <v>28</v>
      </c>
      <c r="F1822">
        <v>43</v>
      </c>
      <c r="G1822">
        <v>63</v>
      </c>
      <c r="H1822">
        <v>65</v>
      </c>
      <c r="I1822">
        <f>Inventory_Data[[#This Row],[Opening_Stock]]+Inventory_Data[[#This Row],[Units_Received]]-Inventory_Data[[#This Row],[Units_Sold]]</f>
        <v>41</v>
      </c>
      <c r="J1822">
        <v>0</v>
      </c>
      <c r="K1822">
        <v>11</v>
      </c>
      <c r="L1822" t="s">
        <v>77</v>
      </c>
      <c r="M1822" s="3">
        <v>59.37</v>
      </c>
      <c r="N1822" s="3">
        <v>87.16</v>
      </c>
      <c r="O1822" s="10" t="str">
        <f>TEXT(Inventory_Data[[#This Row],[Date]],"mmm")</f>
        <v>Nov</v>
      </c>
    </row>
    <row r="1823" spans="1:15" x14ac:dyDescent="0.2">
      <c r="A1823" s="21">
        <v>45989</v>
      </c>
      <c r="B1823" s="5" t="s">
        <v>140</v>
      </c>
      <c r="C1823" t="s">
        <v>141</v>
      </c>
      <c r="D1823" t="s">
        <v>52</v>
      </c>
      <c r="E1823" t="s">
        <v>35</v>
      </c>
      <c r="F1823">
        <v>23</v>
      </c>
      <c r="G1823">
        <v>7</v>
      </c>
      <c r="H1823">
        <v>12</v>
      </c>
      <c r="I1823">
        <f>Inventory_Data[[#This Row],[Opening_Stock]]+Inventory_Data[[#This Row],[Units_Received]]-Inventory_Data[[#This Row],[Units_Sold]]</f>
        <v>18</v>
      </c>
      <c r="J1823">
        <v>0</v>
      </c>
      <c r="K1823">
        <v>14</v>
      </c>
      <c r="L1823" t="s">
        <v>53</v>
      </c>
      <c r="M1823" s="3">
        <v>298.64</v>
      </c>
      <c r="N1823" s="3">
        <v>401.12</v>
      </c>
      <c r="O1823" s="10" t="str">
        <f>TEXT(Inventory_Data[[#This Row],[Date]],"mmm")</f>
        <v>Nov</v>
      </c>
    </row>
    <row r="1824" spans="1:15" x14ac:dyDescent="0.2">
      <c r="A1824" s="21">
        <v>45989</v>
      </c>
      <c r="B1824" s="5" t="s">
        <v>138</v>
      </c>
      <c r="C1824" t="s">
        <v>139</v>
      </c>
      <c r="D1824" t="s">
        <v>34</v>
      </c>
      <c r="E1824" t="s">
        <v>28</v>
      </c>
      <c r="F1824">
        <v>167</v>
      </c>
      <c r="G1824">
        <v>77</v>
      </c>
      <c r="H1824">
        <v>146</v>
      </c>
      <c r="I1824">
        <f>Inventory_Data[[#This Row],[Opening_Stock]]+Inventory_Data[[#This Row],[Units_Received]]-Inventory_Data[[#This Row],[Units_Sold]]</f>
        <v>98</v>
      </c>
      <c r="J1824">
        <v>0</v>
      </c>
      <c r="K1824">
        <v>6</v>
      </c>
      <c r="L1824" t="s">
        <v>42</v>
      </c>
      <c r="M1824" s="3">
        <v>19.05</v>
      </c>
      <c r="N1824" s="3">
        <v>23.35</v>
      </c>
      <c r="O1824" s="10" t="str">
        <f>TEXT(Inventory_Data[[#This Row],[Date]],"mmm")</f>
        <v>Nov</v>
      </c>
    </row>
    <row r="1825" spans="1:15" x14ac:dyDescent="0.2">
      <c r="A1825" s="21">
        <v>45990</v>
      </c>
      <c r="B1825" s="5" t="s">
        <v>106</v>
      </c>
      <c r="C1825" t="s">
        <v>107</v>
      </c>
      <c r="D1825" t="s">
        <v>16</v>
      </c>
      <c r="E1825" t="s">
        <v>21</v>
      </c>
      <c r="F1825">
        <v>75</v>
      </c>
      <c r="G1825">
        <v>10</v>
      </c>
      <c r="H1825">
        <v>60</v>
      </c>
      <c r="I1825">
        <f>Inventory_Data[[#This Row],[Opening_Stock]]+Inventory_Data[[#This Row],[Units_Received]]-Inventory_Data[[#This Row],[Units_Sold]]</f>
        <v>25</v>
      </c>
      <c r="J1825">
        <v>0</v>
      </c>
      <c r="K1825">
        <v>7</v>
      </c>
      <c r="L1825" t="s">
        <v>45</v>
      </c>
      <c r="M1825" s="3">
        <v>109.45</v>
      </c>
      <c r="N1825" s="3">
        <v>138.4</v>
      </c>
      <c r="O1825" s="10" t="str">
        <f>TEXT(Inventory_Data[[#This Row],[Date]],"mmm")</f>
        <v>Nov</v>
      </c>
    </row>
    <row r="1826" spans="1:15" x14ac:dyDescent="0.2">
      <c r="A1826" s="21">
        <v>45990</v>
      </c>
      <c r="B1826" s="5" t="s">
        <v>14</v>
      </c>
      <c r="C1826" t="s">
        <v>15</v>
      </c>
      <c r="D1826" t="s">
        <v>16</v>
      </c>
      <c r="E1826" t="s">
        <v>35</v>
      </c>
      <c r="F1826">
        <v>164</v>
      </c>
      <c r="G1826">
        <v>66</v>
      </c>
      <c r="H1826">
        <v>5</v>
      </c>
      <c r="I1826">
        <f>Inventory_Data[[#This Row],[Opening_Stock]]+Inventory_Data[[#This Row],[Units_Received]]-Inventory_Data[[#This Row],[Units_Sold]]</f>
        <v>225</v>
      </c>
      <c r="J1826">
        <v>0</v>
      </c>
      <c r="K1826">
        <v>14</v>
      </c>
      <c r="L1826" t="s">
        <v>45</v>
      </c>
      <c r="M1826" s="3">
        <v>33.47</v>
      </c>
      <c r="N1826" s="3">
        <v>48.81</v>
      </c>
      <c r="O1826" s="10" t="str">
        <f>TEXT(Inventory_Data[[#This Row],[Date]],"mmm")</f>
        <v>Nov</v>
      </c>
    </row>
    <row r="1827" spans="1:15" x14ac:dyDescent="0.2">
      <c r="A1827" s="21">
        <v>45991</v>
      </c>
      <c r="B1827" s="5" t="s">
        <v>126</v>
      </c>
      <c r="C1827" t="s">
        <v>127</v>
      </c>
      <c r="D1827" t="s">
        <v>34</v>
      </c>
      <c r="E1827" t="s">
        <v>17</v>
      </c>
      <c r="F1827">
        <v>399</v>
      </c>
      <c r="G1827">
        <v>175</v>
      </c>
      <c r="H1827">
        <v>59</v>
      </c>
      <c r="I1827">
        <f>Inventory_Data[[#This Row],[Opening_Stock]]+Inventory_Data[[#This Row],[Units_Received]]-Inventory_Data[[#This Row],[Units_Sold]]</f>
        <v>515</v>
      </c>
      <c r="J1827">
        <v>0</v>
      </c>
      <c r="K1827">
        <v>13</v>
      </c>
      <c r="L1827" t="s">
        <v>42</v>
      </c>
      <c r="M1827" s="3">
        <v>11.34</v>
      </c>
      <c r="N1827" s="3">
        <v>14.23</v>
      </c>
      <c r="O1827" s="10" t="str">
        <f>TEXT(Inventory_Data[[#This Row],[Date]],"mmm")</f>
        <v>Nov</v>
      </c>
    </row>
    <row r="1828" spans="1:15" x14ac:dyDescent="0.2">
      <c r="A1828" s="21">
        <v>45991</v>
      </c>
      <c r="B1828" s="5" t="s">
        <v>196</v>
      </c>
      <c r="C1828" t="s">
        <v>197</v>
      </c>
      <c r="D1828" t="s">
        <v>34</v>
      </c>
      <c r="E1828" t="s">
        <v>35</v>
      </c>
      <c r="F1828">
        <v>71</v>
      </c>
      <c r="G1828">
        <v>179</v>
      </c>
      <c r="H1828">
        <v>91</v>
      </c>
      <c r="I1828">
        <f>Inventory_Data[[#This Row],[Opening_Stock]]+Inventory_Data[[#This Row],[Units_Received]]-Inventory_Data[[#This Row],[Units_Sold]]</f>
        <v>159</v>
      </c>
      <c r="J1828">
        <v>0</v>
      </c>
      <c r="K1828">
        <v>13</v>
      </c>
      <c r="L1828" t="s">
        <v>39</v>
      </c>
      <c r="M1828" s="3">
        <v>8.75</v>
      </c>
      <c r="N1828" s="3">
        <v>12.27</v>
      </c>
      <c r="O1828" s="10" t="str">
        <f>TEXT(Inventory_Data[[#This Row],[Date]],"mmm")</f>
        <v>Nov</v>
      </c>
    </row>
    <row r="1829" spans="1:15" x14ac:dyDescent="0.2">
      <c r="A1829" s="21">
        <v>45992</v>
      </c>
      <c r="B1829" s="5" t="s">
        <v>73</v>
      </c>
      <c r="C1829" t="s">
        <v>74</v>
      </c>
      <c r="D1829" t="s">
        <v>16</v>
      </c>
      <c r="E1829" t="s">
        <v>21</v>
      </c>
      <c r="F1829">
        <v>151</v>
      </c>
      <c r="G1829">
        <v>14</v>
      </c>
      <c r="H1829">
        <v>53</v>
      </c>
      <c r="I1829">
        <f>Inventory_Data[[#This Row],[Opening_Stock]]+Inventory_Data[[#This Row],[Units_Received]]-Inventory_Data[[#This Row],[Units_Sold]]</f>
        <v>112</v>
      </c>
      <c r="J1829">
        <v>0</v>
      </c>
      <c r="K1829">
        <v>3</v>
      </c>
      <c r="L1829" t="s">
        <v>24</v>
      </c>
      <c r="M1829" s="3">
        <v>46.45</v>
      </c>
      <c r="N1829" s="3">
        <v>60.23</v>
      </c>
      <c r="O1829" s="10" t="str">
        <f>TEXT(Inventory_Data[[#This Row],[Date]],"mmm")</f>
        <v>Dec</v>
      </c>
    </row>
    <row r="1830" spans="1:15" x14ac:dyDescent="0.2">
      <c r="A1830" s="21">
        <v>45992</v>
      </c>
      <c r="B1830" s="5" t="s">
        <v>90</v>
      </c>
      <c r="C1830" t="s">
        <v>91</v>
      </c>
      <c r="D1830" t="s">
        <v>48</v>
      </c>
      <c r="E1830" t="s">
        <v>35</v>
      </c>
      <c r="F1830">
        <v>174</v>
      </c>
      <c r="G1830">
        <v>89</v>
      </c>
      <c r="H1830">
        <v>124</v>
      </c>
      <c r="I1830">
        <f>Inventory_Data[[#This Row],[Opening_Stock]]+Inventory_Data[[#This Row],[Units_Received]]-Inventory_Data[[#This Row],[Units_Sold]]</f>
        <v>139</v>
      </c>
      <c r="J1830">
        <v>0</v>
      </c>
      <c r="K1830">
        <v>9</v>
      </c>
      <c r="L1830" t="s">
        <v>63</v>
      </c>
      <c r="M1830" s="3">
        <v>19.12</v>
      </c>
      <c r="N1830" s="3">
        <v>23.1</v>
      </c>
      <c r="O1830" s="10" t="str">
        <f>TEXT(Inventory_Data[[#This Row],[Date]],"mmm")</f>
        <v>Dec</v>
      </c>
    </row>
    <row r="1831" spans="1:15" x14ac:dyDescent="0.2">
      <c r="A1831" s="21">
        <v>45992</v>
      </c>
      <c r="B1831" s="5" t="s">
        <v>156</v>
      </c>
      <c r="C1831" t="s">
        <v>157</v>
      </c>
      <c r="D1831" t="s">
        <v>27</v>
      </c>
      <c r="E1831" t="s">
        <v>17</v>
      </c>
      <c r="F1831">
        <v>219</v>
      </c>
      <c r="G1831">
        <v>193</v>
      </c>
      <c r="H1831">
        <v>46</v>
      </c>
      <c r="I1831">
        <f>Inventory_Data[[#This Row],[Opening_Stock]]+Inventory_Data[[#This Row],[Units_Received]]-Inventory_Data[[#This Row],[Units_Sold]]</f>
        <v>366</v>
      </c>
      <c r="J1831">
        <v>0</v>
      </c>
      <c r="K1831">
        <v>5</v>
      </c>
      <c r="L1831" t="s">
        <v>29</v>
      </c>
      <c r="M1831" s="3">
        <v>2.34</v>
      </c>
      <c r="N1831" s="3">
        <v>2.84</v>
      </c>
      <c r="O1831" s="10" t="str">
        <f>TEXT(Inventory_Data[[#This Row],[Date]],"mmm")</f>
        <v>Dec</v>
      </c>
    </row>
    <row r="1832" spans="1:15" x14ac:dyDescent="0.2">
      <c r="A1832" s="21">
        <v>45992</v>
      </c>
      <c r="B1832" s="5" t="s">
        <v>160</v>
      </c>
      <c r="C1832" t="s">
        <v>161</v>
      </c>
      <c r="D1832" t="s">
        <v>27</v>
      </c>
      <c r="E1832" t="s">
        <v>17</v>
      </c>
      <c r="F1832">
        <v>201</v>
      </c>
      <c r="G1832">
        <v>83</v>
      </c>
      <c r="H1832">
        <v>214</v>
      </c>
      <c r="I1832">
        <f>Inventory_Data[[#This Row],[Opening_Stock]]+Inventory_Data[[#This Row],[Units_Received]]-Inventory_Data[[#This Row],[Units_Sold]]</f>
        <v>70</v>
      </c>
      <c r="J1832">
        <v>0</v>
      </c>
      <c r="K1832">
        <v>4</v>
      </c>
      <c r="L1832" t="s">
        <v>80</v>
      </c>
      <c r="M1832" s="3">
        <v>24.66</v>
      </c>
      <c r="N1832" s="3">
        <v>30.8</v>
      </c>
      <c r="O1832" s="10" t="str">
        <f>TEXT(Inventory_Data[[#This Row],[Date]],"mmm")</f>
        <v>Dec</v>
      </c>
    </row>
    <row r="1833" spans="1:15" x14ac:dyDescent="0.2">
      <c r="A1833" s="21">
        <v>45992</v>
      </c>
      <c r="B1833" s="5" t="s">
        <v>158</v>
      </c>
      <c r="C1833" t="s">
        <v>159</v>
      </c>
      <c r="D1833" t="s">
        <v>52</v>
      </c>
      <c r="E1833" t="s">
        <v>17</v>
      </c>
      <c r="F1833">
        <v>79</v>
      </c>
      <c r="G1833">
        <v>20</v>
      </c>
      <c r="H1833">
        <v>13</v>
      </c>
      <c r="I1833">
        <f>Inventory_Data[[#This Row],[Opening_Stock]]+Inventory_Data[[#This Row],[Units_Received]]-Inventory_Data[[#This Row],[Units_Sold]]</f>
        <v>86</v>
      </c>
      <c r="J1833">
        <v>0</v>
      </c>
      <c r="K1833">
        <v>2</v>
      </c>
      <c r="L1833" t="s">
        <v>53</v>
      </c>
      <c r="M1833" s="3">
        <v>320.62</v>
      </c>
      <c r="N1833" s="3">
        <v>369.51</v>
      </c>
      <c r="O1833" s="10" t="str">
        <f>TEXT(Inventory_Data[[#This Row],[Date]],"mmm")</f>
        <v>Dec</v>
      </c>
    </row>
    <row r="1834" spans="1:15" x14ac:dyDescent="0.2">
      <c r="A1834" s="21">
        <v>45992</v>
      </c>
      <c r="B1834" s="5" t="s">
        <v>54</v>
      </c>
      <c r="C1834" t="s">
        <v>55</v>
      </c>
      <c r="D1834" t="s">
        <v>52</v>
      </c>
      <c r="E1834" t="s">
        <v>35</v>
      </c>
      <c r="F1834">
        <v>60</v>
      </c>
      <c r="G1834">
        <v>25</v>
      </c>
      <c r="H1834">
        <v>14</v>
      </c>
      <c r="I1834">
        <f>Inventory_Data[[#This Row],[Opening_Stock]]+Inventory_Data[[#This Row],[Units_Received]]-Inventory_Data[[#This Row],[Units_Sold]]</f>
        <v>71</v>
      </c>
      <c r="J1834">
        <v>0</v>
      </c>
      <c r="K1834">
        <v>6</v>
      </c>
      <c r="L1834" t="s">
        <v>56</v>
      </c>
      <c r="M1834" s="3">
        <v>192.43</v>
      </c>
      <c r="N1834" s="3">
        <v>297.52</v>
      </c>
      <c r="O1834" s="10" t="str">
        <f>TEXT(Inventory_Data[[#This Row],[Date]],"mmm")</f>
        <v>Dec</v>
      </c>
    </row>
    <row r="1835" spans="1:15" x14ac:dyDescent="0.2">
      <c r="A1835" s="21">
        <v>45992</v>
      </c>
      <c r="B1835" s="5" t="s">
        <v>81</v>
      </c>
      <c r="C1835" t="s">
        <v>82</v>
      </c>
      <c r="D1835" t="s">
        <v>52</v>
      </c>
      <c r="E1835" t="s">
        <v>17</v>
      </c>
      <c r="F1835">
        <v>29</v>
      </c>
      <c r="G1835">
        <v>18</v>
      </c>
      <c r="H1835">
        <v>18</v>
      </c>
      <c r="I1835">
        <f>Inventory_Data[[#This Row],[Opening_Stock]]+Inventory_Data[[#This Row],[Units_Received]]-Inventory_Data[[#This Row],[Units_Sold]]</f>
        <v>29</v>
      </c>
      <c r="J1835">
        <v>0</v>
      </c>
      <c r="K1835">
        <v>4</v>
      </c>
      <c r="L1835" t="s">
        <v>53</v>
      </c>
      <c r="M1835" s="3">
        <v>325.04000000000002</v>
      </c>
      <c r="N1835" s="3">
        <v>478.46</v>
      </c>
      <c r="O1835" s="10" t="str">
        <f>TEXT(Inventory_Data[[#This Row],[Date]],"mmm")</f>
        <v>Dec</v>
      </c>
    </row>
    <row r="1836" spans="1:15" x14ac:dyDescent="0.2">
      <c r="A1836" s="21">
        <v>45993</v>
      </c>
      <c r="B1836" s="5" t="s">
        <v>86</v>
      </c>
      <c r="C1836" t="s">
        <v>87</v>
      </c>
      <c r="D1836" t="s">
        <v>48</v>
      </c>
      <c r="E1836" t="s">
        <v>21</v>
      </c>
      <c r="F1836">
        <v>278</v>
      </c>
      <c r="G1836">
        <v>87</v>
      </c>
      <c r="H1836">
        <v>49</v>
      </c>
      <c r="I1836">
        <f>Inventory_Data[[#This Row],[Opening_Stock]]+Inventory_Data[[#This Row],[Units_Received]]-Inventory_Data[[#This Row],[Units_Sold]]</f>
        <v>316</v>
      </c>
      <c r="J1836">
        <v>0</v>
      </c>
      <c r="K1836">
        <v>12</v>
      </c>
      <c r="L1836" t="s">
        <v>63</v>
      </c>
      <c r="M1836" s="3">
        <v>10.39</v>
      </c>
      <c r="N1836" s="3">
        <v>15.72</v>
      </c>
      <c r="O1836" s="10" t="str">
        <f>TEXT(Inventory_Data[[#This Row],[Date]],"mmm")</f>
        <v>Dec</v>
      </c>
    </row>
    <row r="1837" spans="1:15" x14ac:dyDescent="0.2">
      <c r="A1837" s="21">
        <v>45993</v>
      </c>
      <c r="B1837" s="5" t="s">
        <v>61</v>
      </c>
      <c r="C1837" t="s">
        <v>62</v>
      </c>
      <c r="D1837" t="s">
        <v>48</v>
      </c>
      <c r="E1837" t="s">
        <v>28</v>
      </c>
      <c r="F1837">
        <v>154</v>
      </c>
      <c r="G1837">
        <v>64</v>
      </c>
      <c r="H1837">
        <v>13</v>
      </c>
      <c r="I1837">
        <f>Inventory_Data[[#This Row],[Opening_Stock]]+Inventory_Data[[#This Row],[Units_Received]]-Inventory_Data[[#This Row],[Units_Sold]]</f>
        <v>205</v>
      </c>
      <c r="J1837">
        <v>0</v>
      </c>
      <c r="K1837">
        <v>6</v>
      </c>
      <c r="L1837" t="s">
        <v>63</v>
      </c>
      <c r="M1837" s="3">
        <v>50</v>
      </c>
      <c r="N1837" s="3">
        <v>64.7</v>
      </c>
      <c r="O1837" s="10" t="str">
        <f>TEXT(Inventory_Data[[#This Row],[Date]],"mmm")</f>
        <v>Dec</v>
      </c>
    </row>
    <row r="1838" spans="1:15" x14ac:dyDescent="0.2">
      <c r="A1838" s="21">
        <v>45993</v>
      </c>
      <c r="B1838" s="5" t="s">
        <v>100</v>
      </c>
      <c r="C1838" t="s">
        <v>101</v>
      </c>
      <c r="D1838" t="s">
        <v>52</v>
      </c>
      <c r="E1838" t="s">
        <v>21</v>
      </c>
      <c r="F1838">
        <v>54</v>
      </c>
      <c r="G1838">
        <v>4</v>
      </c>
      <c r="H1838">
        <v>3</v>
      </c>
      <c r="I1838">
        <f>Inventory_Data[[#This Row],[Opening_Stock]]+Inventory_Data[[#This Row],[Units_Received]]-Inventory_Data[[#This Row],[Units_Sold]]</f>
        <v>55</v>
      </c>
      <c r="J1838">
        <v>0</v>
      </c>
      <c r="K1838">
        <v>9</v>
      </c>
      <c r="L1838" t="s">
        <v>56</v>
      </c>
      <c r="M1838" s="3">
        <v>133.47999999999999</v>
      </c>
      <c r="N1838" s="3">
        <v>184.43</v>
      </c>
      <c r="O1838" s="10" t="str">
        <f>TEXT(Inventory_Data[[#This Row],[Date]],"mmm")</f>
        <v>Dec</v>
      </c>
    </row>
    <row r="1839" spans="1:15" x14ac:dyDescent="0.2">
      <c r="A1839" s="21">
        <v>45994</v>
      </c>
      <c r="B1839" s="5" t="s">
        <v>184</v>
      </c>
      <c r="C1839" t="s">
        <v>185</v>
      </c>
      <c r="D1839" t="s">
        <v>16</v>
      </c>
      <c r="E1839" t="s">
        <v>17</v>
      </c>
      <c r="F1839">
        <v>21</v>
      </c>
      <c r="G1839">
        <v>80</v>
      </c>
      <c r="H1839">
        <v>36</v>
      </c>
      <c r="I1839">
        <f>Inventory_Data[[#This Row],[Opening_Stock]]+Inventory_Data[[#This Row],[Units_Received]]-Inventory_Data[[#This Row],[Units_Sold]]</f>
        <v>65</v>
      </c>
      <c r="J1839">
        <v>0</v>
      </c>
      <c r="K1839">
        <v>5</v>
      </c>
      <c r="L1839" t="s">
        <v>45</v>
      </c>
      <c r="M1839" s="3">
        <v>126.86</v>
      </c>
      <c r="N1839" s="3">
        <v>180.6</v>
      </c>
      <c r="O1839" s="10" t="str">
        <f>TEXT(Inventory_Data[[#This Row],[Date]],"mmm")</f>
        <v>Dec</v>
      </c>
    </row>
    <row r="1840" spans="1:15" x14ac:dyDescent="0.2">
      <c r="A1840" s="21">
        <v>45994</v>
      </c>
      <c r="B1840" s="5" t="s">
        <v>84</v>
      </c>
      <c r="C1840" t="s">
        <v>85</v>
      </c>
      <c r="D1840" t="s">
        <v>48</v>
      </c>
      <c r="E1840" t="s">
        <v>28</v>
      </c>
      <c r="F1840">
        <v>295</v>
      </c>
      <c r="G1840">
        <v>122</v>
      </c>
      <c r="H1840">
        <v>130</v>
      </c>
      <c r="I1840">
        <f>Inventory_Data[[#This Row],[Opening_Stock]]+Inventory_Data[[#This Row],[Units_Received]]-Inventory_Data[[#This Row],[Units_Sold]]</f>
        <v>287</v>
      </c>
      <c r="J1840">
        <v>0</v>
      </c>
      <c r="K1840">
        <v>4</v>
      </c>
      <c r="L1840" t="s">
        <v>63</v>
      </c>
      <c r="M1840" s="3">
        <v>34.659999999999997</v>
      </c>
      <c r="N1840" s="3">
        <v>46.39</v>
      </c>
      <c r="O1840" s="10" t="str">
        <f>TEXT(Inventory_Data[[#This Row],[Date]],"mmm")</f>
        <v>Dec</v>
      </c>
    </row>
    <row r="1841" spans="1:15" x14ac:dyDescent="0.2">
      <c r="A1841" s="21">
        <v>45994</v>
      </c>
      <c r="B1841" s="5" t="s">
        <v>188</v>
      </c>
      <c r="C1841" t="s">
        <v>189</v>
      </c>
      <c r="D1841" t="s">
        <v>27</v>
      </c>
      <c r="E1841" t="s">
        <v>28</v>
      </c>
      <c r="F1841">
        <v>196</v>
      </c>
      <c r="G1841">
        <v>82</v>
      </c>
      <c r="H1841">
        <v>131</v>
      </c>
      <c r="I1841">
        <f>Inventory_Data[[#This Row],[Opening_Stock]]+Inventory_Data[[#This Row],[Units_Received]]-Inventory_Data[[#This Row],[Units_Sold]]</f>
        <v>147</v>
      </c>
      <c r="J1841">
        <v>0</v>
      </c>
      <c r="K1841">
        <v>3</v>
      </c>
      <c r="L1841" t="s">
        <v>80</v>
      </c>
      <c r="M1841" s="3">
        <v>14.8</v>
      </c>
      <c r="N1841" s="3">
        <v>20.84</v>
      </c>
      <c r="O1841" s="10" t="str">
        <f>TEXT(Inventory_Data[[#This Row],[Date]],"mmm")</f>
        <v>Dec</v>
      </c>
    </row>
    <row r="1842" spans="1:15" x14ac:dyDescent="0.2">
      <c r="A1842" s="21">
        <v>45994</v>
      </c>
      <c r="B1842" s="5" t="s">
        <v>64</v>
      </c>
      <c r="C1842" t="s">
        <v>65</v>
      </c>
      <c r="D1842" t="s">
        <v>27</v>
      </c>
      <c r="E1842" t="s">
        <v>17</v>
      </c>
      <c r="F1842">
        <v>268</v>
      </c>
      <c r="G1842">
        <v>43</v>
      </c>
      <c r="H1842">
        <v>91</v>
      </c>
      <c r="I1842">
        <f>Inventory_Data[[#This Row],[Opening_Stock]]+Inventory_Data[[#This Row],[Units_Received]]-Inventory_Data[[#This Row],[Units_Sold]]</f>
        <v>220</v>
      </c>
      <c r="J1842">
        <v>0</v>
      </c>
      <c r="K1842">
        <v>3</v>
      </c>
      <c r="L1842" t="s">
        <v>29</v>
      </c>
      <c r="M1842" s="3">
        <v>9.7100000000000009</v>
      </c>
      <c r="N1842" s="3">
        <v>13.53</v>
      </c>
      <c r="O1842" s="10" t="str">
        <f>TEXT(Inventory_Data[[#This Row],[Date]],"mmm")</f>
        <v>Dec</v>
      </c>
    </row>
    <row r="1843" spans="1:15" x14ac:dyDescent="0.2">
      <c r="A1843" s="21">
        <v>45994</v>
      </c>
      <c r="B1843" s="5" t="s">
        <v>176</v>
      </c>
      <c r="C1843" t="s">
        <v>177</v>
      </c>
      <c r="D1843" t="s">
        <v>34</v>
      </c>
      <c r="E1843" t="s">
        <v>35</v>
      </c>
      <c r="F1843">
        <v>334</v>
      </c>
      <c r="G1843">
        <v>135</v>
      </c>
      <c r="H1843">
        <v>35</v>
      </c>
      <c r="I1843">
        <f>Inventory_Data[[#This Row],[Opening_Stock]]+Inventory_Data[[#This Row],[Units_Received]]-Inventory_Data[[#This Row],[Units_Sold]]</f>
        <v>434</v>
      </c>
      <c r="J1843">
        <v>0</v>
      </c>
      <c r="K1843">
        <v>6</v>
      </c>
      <c r="L1843" t="s">
        <v>42</v>
      </c>
      <c r="M1843" s="3">
        <v>23.04</v>
      </c>
      <c r="N1843" s="3">
        <v>27.91</v>
      </c>
      <c r="O1843" s="10" t="str">
        <f>TEXT(Inventory_Data[[#This Row],[Date]],"mmm")</f>
        <v>Dec</v>
      </c>
    </row>
    <row r="1844" spans="1:15" x14ac:dyDescent="0.2">
      <c r="A1844" s="21">
        <v>45995</v>
      </c>
      <c r="B1844" s="5" t="s">
        <v>128</v>
      </c>
      <c r="C1844" t="s">
        <v>129</v>
      </c>
      <c r="D1844" t="s">
        <v>48</v>
      </c>
      <c r="E1844" t="s">
        <v>21</v>
      </c>
      <c r="F1844">
        <v>180</v>
      </c>
      <c r="G1844">
        <v>29</v>
      </c>
      <c r="H1844">
        <v>18</v>
      </c>
      <c r="I1844">
        <f>Inventory_Data[[#This Row],[Opening_Stock]]+Inventory_Data[[#This Row],[Units_Received]]-Inventory_Data[[#This Row],[Units_Sold]]</f>
        <v>191</v>
      </c>
      <c r="J1844">
        <v>0</v>
      </c>
      <c r="K1844">
        <v>7</v>
      </c>
      <c r="L1844" t="s">
        <v>63</v>
      </c>
      <c r="M1844" s="3">
        <v>40.619999999999997</v>
      </c>
      <c r="N1844" s="3">
        <v>61.65</v>
      </c>
      <c r="O1844" s="10" t="str">
        <f>TEXT(Inventory_Data[[#This Row],[Date]],"mmm")</f>
        <v>Dec</v>
      </c>
    </row>
    <row r="1845" spans="1:15" x14ac:dyDescent="0.2">
      <c r="A1845" s="21">
        <v>45995</v>
      </c>
      <c r="B1845" s="5" t="s">
        <v>25</v>
      </c>
      <c r="C1845" t="s">
        <v>26</v>
      </c>
      <c r="D1845" t="s">
        <v>27</v>
      </c>
      <c r="E1845" t="s">
        <v>21</v>
      </c>
      <c r="F1845">
        <v>285</v>
      </c>
      <c r="G1845">
        <v>93</v>
      </c>
      <c r="H1845">
        <v>106</v>
      </c>
      <c r="I1845">
        <f>Inventory_Data[[#This Row],[Opening_Stock]]+Inventory_Data[[#This Row],[Units_Received]]-Inventory_Data[[#This Row],[Units_Sold]]</f>
        <v>272</v>
      </c>
      <c r="J1845">
        <v>0</v>
      </c>
      <c r="K1845">
        <v>3</v>
      </c>
      <c r="L1845" t="s">
        <v>80</v>
      </c>
      <c r="M1845" s="3">
        <v>17.12</v>
      </c>
      <c r="N1845" s="3">
        <v>25.74</v>
      </c>
      <c r="O1845" s="10" t="str">
        <f>TEXT(Inventory_Data[[#This Row],[Date]],"mmm")</f>
        <v>Dec</v>
      </c>
    </row>
    <row r="1846" spans="1:15" x14ac:dyDescent="0.2">
      <c r="A1846" s="21">
        <v>45995</v>
      </c>
      <c r="B1846" s="5" t="s">
        <v>114</v>
      </c>
      <c r="C1846" t="s">
        <v>115</v>
      </c>
      <c r="D1846" t="s">
        <v>27</v>
      </c>
      <c r="E1846" t="s">
        <v>17</v>
      </c>
      <c r="F1846">
        <v>356</v>
      </c>
      <c r="G1846">
        <v>79</v>
      </c>
      <c r="H1846">
        <v>86</v>
      </c>
      <c r="I1846">
        <f>Inventory_Data[[#This Row],[Opening_Stock]]+Inventory_Data[[#This Row],[Units_Received]]-Inventory_Data[[#This Row],[Units_Sold]]</f>
        <v>349</v>
      </c>
      <c r="J1846">
        <v>0</v>
      </c>
      <c r="K1846">
        <v>1</v>
      </c>
      <c r="L1846" t="s">
        <v>80</v>
      </c>
      <c r="M1846" s="3">
        <v>12.11</v>
      </c>
      <c r="N1846" s="3">
        <v>16.399999999999999</v>
      </c>
      <c r="O1846" s="10" t="str">
        <f>TEXT(Inventory_Data[[#This Row],[Date]],"mmm")</f>
        <v>Dec</v>
      </c>
    </row>
    <row r="1847" spans="1:15" x14ac:dyDescent="0.2">
      <c r="A1847" s="21">
        <v>45995</v>
      </c>
      <c r="B1847" s="5" t="s">
        <v>64</v>
      </c>
      <c r="C1847" t="s">
        <v>65</v>
      </c>
      <c r="D1847" t="s">
        <v>27</v>
      </c>
      <c r="E1847" t="s">
        <v>17</v>
      </c>
      <c r="F1847">
        <v>299</v>
      </c>
      <c r="G1847">
        <v>120</v>
      </c>
      <c r="H1847">
        <v>155</v>
      </c>
      <c r="I1847">
        <f>Inventory_Data[[#This Row],[Opening_Stock]]+Inventory_Data[[#This Row],[Units_Received]]-Inventory_Data[[#This Row],[Units_Sold]]</f>
        <v>264</v>
      </c>
      <c r="J1847">
        <v>0</v>
      </c>
      <c r="K1847">
        <v>1</v>
      </c>
      <c r="L1847" t="s">
        <v>66</v>
      </c>
      <c r="M1847" s="3">
        <v>24.45</v>
      </c>
      <c r="N1847" s="3">
        <v>34.64</v>
      </c>
      <c r="O1847" s="10" t="str">
        <f>TEXT(Inventory_Data[[#This Row],[Date]],"mmm")</f>
        <v>Dec</v>
      </c>
    </row>
    <row r="1848" spans="1:15" x14ac:dyDescent="0.2">
      <c r="A1848" s="21">
        <v>45995</v>
      </c>
      <c r="B1848" s="5" t="s">
        <v>102</v>
      </c>
      <c r="C1848" t="s">
        <v>103</v>
      </c>
      <c r="D1848" t="s">
        <v>52</v>
      </c>
      <c r="E1848" t="s">
        <v>17</v>
      </c>
      <c r="F1848">
        <v>14</v>
      </c>
      <c r="G1848">
        <v>25</v>
      </c>
      <c r="H1848">
        <v>11</v>
      </c>
      <c r="I1848">
        <f>Inventory_Data[[#This Row],[Opening_Stock]]+Inventory_Data[[#This Row],[Units_Received]]-Inventory_Data[[#This Row],[Units_Sold]]</f>
        <v>28</v>
      </c>
      <c r="J1848">
        <v>0</v>
      </c>
      <c r="K1848">
        <v>2</v>
      </c>
      <c r="L1848" t="s">
        <v>83</v>
      </c>
      <c r="M1848" s="3">
        <v>114.02</v>
      </c>
      <c r="N1848" s="3">
        <v>140.24</v>
      </c>
      <c r="O1848" s="10" t="str">
        <f>TEXT(Inventory_Data[[#This Row],[Date]],"mmm")</f>
        <v>Dec</v>
      </c>
    </row>
    <row r="1849" spans="1:15" x14ac:dyDescent="0.2">
      <c r="A1849" s="21">
        <v>45995</v>
      </c>
      <c r="B1849" s="5" t="s">
        <v>176</v>
      </c>
      <c r="C1849" t="s">
        <v>177</v>
      </c>
      <c r="D1849" t="s">
        <v>34</v>
      </c>
      <c r="E1849" t="s">
        <v>35</v>
      </c>
      <c r="F1849">
        <v>234</v>
      </c>
      <c r="G1849">
        <v>52</v>
      </c>
      <c r="H1849">
        <v>163</v>
      </c>
      <c r="I1849">
        <f>Inventory_Data[[#This Row],[Opening_Stock]]+Inventory_Data[[#This Row],[Units_Received]]-Inventory_Data[[#This Row],[Units_Sold]]</f>
        <v>123</v>
      </c>
      <c r="J1849">
        <v>0</v>
      </c>
      <c r="K1849">
        <v>12</v>
      </c>
      <c r="L1849" t="s">
        <v>42</v>
      </c>
      <c r="M1849" s="3">
        <v>20.329999999999998</v>
      </c>
      <c r="N1849" s="3">
        <v>31.24</v>
      </c>
      <c r="O1849" s="10" t="str">
        <f>TEXT(Inventory_Data[[#This Row],[Date]],"mmm")</f>
        <v>Dec</v>
      </c>
    </row>
    <row r="1850" spans="1:15" x14ac:dyDescent="0.2">
      <c r="A1850" s="21">
        <v>45996</v>
      </c>
      <c r="B1850" s="5" t="s">
        <v>73</v>
      </c>
      <c r="C1850" t="s">
        <v>74</v>
      </c>
      <c r="D1850" t="s">
        <v>16</v>
      </c>
      <c r="E1850" t="s">
        <v>35</v>
      </c>
      <c r="F1850">
        <v>99</v>
      </c>
      <c r="G1850">
        <v>47</v>
      </c>
      <c r="H1850">
        <v>58</v>
      </c>
      <c r="I1850">
        <f>Inventory_Data[[#This Row],[Opening_Stock]]+Inventory_Data[[#This Row],[Units_Received]]-Inventory_Data[[#This Row],[Units_Sold]]</f>
        <v>88</v>
      </c>
      <c r="J1850">
        <v>0</v>
      </c>
      <c r="K1850">
        <v>7</v>
      </c>
      <c r="L1850" t="s">
        <v>24</v>
      </c>
      <c r="M1850" s="3">
        <v>42.72</v>
      </c>
      <c r="N1850" s="3">
        <v>60.67</v>
      </c>
      <c r="O1850" s="10" t="str">
        <f>TEXT(Inventory_Data[[#This Row],[Date]],"mmm")</f>
        <v>Dec</v>
      </c>
    </row>
    <row r="1851" spans="1:15" x14ac:dyDescent="0.2">
      <c r="A1851" s="21">
        <v>45996</v>
      </c>
      <c r="B1851" s="5" t="s">
        <v>84</v>
      </c>
      <c r="C1851" t="s">
        <v>85</v>
      </c>
      <c r="D1851" t="s">
        <v>48</v>
      </c>
      <c r="E1851" t="s">
        <v>28</v>
      </c>
      <c r="F1851">
        <v>203</v>
      </c>
      <c r="G1851">
        <v>33</v>
      </c>
      <c r="H1851">
        <v>87</v>
      </c>
      <c r="I1851">
        <f>Inventory_Data[[#This Row],[Opening_Stock]]+Inventory_Data[[#This Row],[Units_Received]]-Inventory_Data[[#This Row],[Units_Sold]]</f>
        <v>149</v>
      </c>
      <c r="J1851">
        <v>0</v>
      </c>
      <c r="K1851">
        <v>4</v>
      </c>
      <c r="L1851" t="s">
        <v>77</v>
      </c>
      <c r="M1851" s="3">
        <v>61.96</v>
      </c>
      <c r="N1851" s="3">
        <v>95.98</v>
      </c>
      <c r="O1851" s="10" t="str">
        <f>TEXT(Inventory_Data[[#This Row],[Date]],"mmm")</f>
        <v>Dec</v>
      </c>
    </row>
    <row r="1852" spans="1:15" x14ac:dyDescent="0.2">
      <c r="A1852" s="21">
        <v>45996</v>
      </c>
      <c r="B1852" s="5" t="s">
        <v>96</v>
      </c>
      <c r="C1852" t="s">
        <v>97</v>
      </c>
      <c r="D1852" t="s">
        <v>48</v>
      </c>
      <c r="E1852" t="s">
        <v>17</v>
      </c>
      <c r="F1852">
        <v>206</v>
      </c>
      <c r="G1852">
        <v>33</v>
      </c>
      <c r="H1852">
        <v>65</v>
      </c>
      <c r="I1852">
        <f>Inventory_Data[[#This Row],[Opening_Stock]]+Inventory_Data[[#This Row],[Units_Received]]-Inventory_Data[[#This Row],[Units_Sold]]</f>
        <v>174</v>
      </c>
      <c r="J1852">
        <v>0</v>
      </c>
      <c r="K1852">
        <v>5</v>
      </c>
      <c r="L1852" t="s">
        <v>77</v>
      </c>
      <c r="M1852" s="3">
        <v>60.22</v>
      </c>
      <c r="N1852" s="3">
        <v>92.73</v>
      </c>
      <c r="O1852" s="10" t="str">
        <f>TEXT(Inventory_Data[[#This Row],[Date]],"mmm")</f>
        <v>Dec</v>
      </c>
    </row>
    <row r="1853" spans="1:15" x14ac:dyDescent="0.2">
      <c r="A1853" s="21">
        <v>45996</v>
      </c>
      <c r="B1853" s="5" t="s">
        <v>98</v>
      </c>
      <c r="C1853" t="s">
        <v>99</v>
      </c>
      <c r="D1853" t="s">
        <v>27</v>
      </c>
      <c r="E1853" t="s">
        <v>28</v>
      </c>
      <c r="F1853">
        <v>202</v>
      </c>
      <c r="G1853">
        <v>226</v>
      </c>
      <c r="H1853">
        <v>25</v>
      </c>
      <c r="I1853">
        <f>Inventory_Data[[#This Row],[Opening_Stock]]+Inventory_Data[[#This Row],[Units_Received]]-Inventory_Data[[#This Row],[Units_Sold]]</f>
        <v>403</v>
      </c>
      <c r="J1853">
        <v>0</v>
      </c>
      <c r="K1853">
        <v>5</v>
      </c>
      <c r="L1853" t="s">
        <v>66</v>
      </c>
      <c r="M1853" s="3">
        <v>4.68</v>
      </c>
      <c r="N1853" s="3">
        <v>6.06</v>
      </c>
      <c r="O1853" s="10" t="str">
        <f>TEXT(Inventory_Data[[#This Row],[Date]],"mmm")</f>
        <v>Dec</v>
      </c>
    </row>
    <row r="1854" spans="1:15" x14ac:dyDescent="0.2">
      <c r="A1854" s="21">
        <v>45997</v>
      </c>
      <c r="B1854" s="5" t="s">
        <v>73</v>
      </c>
      <c r="C1854" t="s">
        <v>74</v>
      </c>
      <c r="D1854" t="s">
        <v>16</v>
      </c>
      <c r="E1854" t="s">
        <v>21</v>
      </c>
      <c r="F1854">
        <v>108</v>
      </c>
      <c r="G1854">
        <v>42</v>
      </c>
      <c r="H1854">
        <v>66</v>
      </c>
      <c r="I1854">
        <f>Inventory_Data[[#This Row],[Opening_Stock]]+Inventory_Data[[#This Row],[Units_Received]]-Inventory_Data[[#This Row],[Units_Sold]]</f>
        <v>84</v>
      </c>
      <c r="J1854">
        <v>0</v>
      </c>
      <c r="K1854">
        <v>13</v>
      </c>
      <c r="L1854" t="s">
        <v>45</v>
      </c>
      <c r="M1854" s="3">
        <v>156.38999999999999</v>
      </c>
      <c r="N1854" s="3">
        <v>225.19</v>
      </c>
      <c r="O1854" s="10" t="str">
        <f>TEXT(Inventory_Data[[#This Row],[Date]],"mmm")</f>
        <v>Dec</v>
      </c>
    </row>
    <row r="1855" spans="1:15" x14ac:dyDescent="0.2">
      <c r="A1855" s="21">
        <v>45997</v>
      </c>
      <c r="B1855" s="5" t="s">
        <v>146</v>
      </c>
      <c r="C1855" t="s">
        <v>147</v>
      </c>
      <c r="D1855" t="s">
        <v>48</v>
      </c>
      <c r="E1855" t="s">
        <v>35</v>
      </c>
      <c r="F1855">
        <v>185</v>
      </c>
      <c r="G1855">
        <v>93</v>
      </c>
      <c r="H1855">
        <v>117</v>
      </c>
      <c r="I1855">
        <f>Inventory_Data[[#This Row],[Opening_Stock]]+Inventory_Data[[#This Row],[Units_Received]]-Inventory_Data[[#This Row],[Units_Sold]]</f>
        <v>161</v>
      </c>
      <c r="J1855">
        <v>0</v>
      </c>
      <c r="K1855">
        <v>11</v>
      </c>
      <c r="L1855" t="s">
        <v>77</v>
      </c>
      <c r="M1855" s="3">
        <v>72.48</v>
      </c>
      <c r="N1855" s="3">
        <v>95.1</v>
      </c>
      <c r="O1855" s="10" t="str">
        <f>TEXT(Inventory_Data[[#This Row],[Date]],"mmm")</f>
        <v>Dec</v>
      </c>
    </row>
    <row r="1856" spans="1:15" x14ac:dyDescent="0.2">
      <c r="A1856" s="21">
        <v>45997</v>
      </c>
      <c r="B1856" s="5" t="s">
        <v>154</v>
      </c>
      <c r="C1856" t="s">
        <v>155</v>
      </c>
      <c r="D1856" t="s">
        <v>48</v>
      </c>
      <c r="E1856" t="s">
        <v>28</v>
      </c>
      <c r="F1856">
        <v>200</v>
      </c>
      <c r="G1856">
        <v>139</v>
      </c>
      <c r="H1856">
        <v>61</v>
      </c>
      <c r="I1856">
        <f>Inventory_Data[[#This Row],[Opening_Stock]]+Inventory_Data[[#This Row],[Units_Received]]-Inventory_Data[[#This Row],[Units_Sold]]</f>
        <v>278</v>
      </c>
      <c r="J1856">
        <v>0</v>
      </c>
      <c r="K1856">
        <v>10</v>
      </c>
      <c r="L1856" t="s">
        <v>63</v>
      </c>
      <c r="M1856" s="3">
        <v>75.61</v>
      </c>
      <c r="N1856" s="3">
        <v>89.2</v>
      </c>
      <c r="O1856" s="10" t="str">
        <f>TEXT(Inventory_Data[[#This Row],[Date]],"mmm")</f>
        <v>Dec</v>
      </c>
    </row>
    <row r="1857" spans="1:15" x14ac:dyDescent="0.2">
      <c r="A1857" s="21">
        <v>45997</v>
      </c>
      <c r="B1857" s="5" t="s">
        <v>188</v>
      </c>
      <c r="C1857" t="s">
        <v>189</v>
      </c>
      <c r="D1857" t="s">
        <v>27</v>
      </c>
      <c r="E1857" t="s">
        <v>35</v>
      </c>
      <c r="F1857">
        <v>237</v>
      </c>
      <c r="G1857">
        <v>197</v>
      </c>
      <c r="H1857">
        <v>153</v>
      </c>
      <c r="I1857">
        <f>Inventory_Data[[#This Row],[Opening_Stock]]+Inventory_Data[[#This Row],[Units_Received]]-Inventory_Data[[#This Row],[Units_Sold]]</f>
        <v>281</v>
      </c>
      <c r="J1857">
        <v>0</v>
      </c>
      <c r="K1857">
        <v>3</v>
      </c>
      <c r="L1857" t="s">
        <v>29</v>
      </c>
      <c r="M1857" s="3">
        <v>20.170000000000002</v>
      </c>
      <c r="N1857" s="3">
        <v>25.65</v>
      </c>
      <c r="O1857" s="10" t="str">
        <f>TEXT(Inventory_Data[[#This Row],[Date]],"mmm")</f>
        <v>Dec</v>
      </c>
    </row>
    <row r="1858" spans="1:15" x14ac:dyDescent="0.2">
      <c r="A1858" s="21">
        <v>45997</v>
      </c>
      <c r="B1858" s="5" t="s">
        <v>78</v>
      </c>
      <c r="C1858" t="s">
        <v>79</v>
      </c>
      <c r="D1858" t="s">
        <v>27</v>
      </c>
      <c r="E1858" t="s">
        <v>28</v>
      </c>
      <c r="F1858">
        <v>323</v>
      </c>
      <c r="G1858">
        <v>208</v>
      </c>
      <c r="H1858">
        <v>91</v>
      </c>
      <c r="I1858">
        <f>Inventory_Data[[#This Row],[Opening_Stock]]+Inventory_Data[[#This Row],[Units_Received]]-Inventory_Data[[#This Row],[Units_Sold]]</f>
        <v>440</v>
      </c>
      <c r="J1858">
        <v>0</v>
      </c>
      <c r="K1858">
        <v>3</v>
      </c>
      <c r="L1858" t="s">
        <v>80</v>
      </c>
      <c r="M1858" s="3">
        <v>16.82</v>
      </c>
      <c r="N1858" s="3">
        <v>24.24</v>
      </c>
      <c r="O1858" s="10" t="str">
        <f>TEXT(Inventory_Data[[#This Row],[Date]],"mmm")</f>
        <v>Dec</v>
      </c>
    </row>
    <row r="1859" spans="1:15" x14ac:dyDescent="0.2">
      <c r="A1859" s="21">
        <v>45997</v>
      </c>
      <c r="B1859" s="5" t="s">
        <v>116</v>
      </c>
      <c r="C1859" t="s">
        <v>117</v>
      </c>
      <c r="D1859" t="s">
        <v>52</v>
      </c>
      <c r="E1859" t="s">
        <v>21</v>
      </c>
      <c r="F1859">
        <v>39</v>
      </c>
      <c r="G1859">
        <v>11</v>
      </c>
      <c r="H1859">
        <v>6</v>
      </c>
      <c r="I1859">
        <f>Inventory_Data[[#This Row],[Opening_Stock]]+Inventory_Data[[#This Row],[Units_Received]]-Inventory_Data[[#This Row],[Units_Sold]]</f>
        <v>44</v>
      </c>
      <c r="J1859">
        <v>0</v>
      </c>
      <c r="K1859">
        <v>3</v>
      </c>
      <c r="L1859" t="s">
        <v>56</v>
      </c>
      <c r="M1859" s="3">
        <v>38.99</v>
      </c>
      <c r="N1859" s="3">
        <v>57.02</v>
      </c>
      <c r="O1859" s="10" t="str">
        <f>TEXT(Inventory_Data[[#This Row],[Date]],"mmm")</f>
        <v>Dec</v>
      </c>
    </row>
    <row r="1860" spans="1:15" x14ac:dyDescent="0.2">
      <c r="A1860" s="21">
        <v>45997</v>
      </c>
      <c r="B1860" s="5" t="s">
        <v>81</v>
      </c>
      <c r="C1860" t="s">
        <v>82</v>
      </c>
      <c r="D1860" t="s">
        <v>52</v>
      </c>
      <c r="E1860" t="s">
        <v>35</v>
      </c>
      <c r="F1860">
        <v>27</v>
      </c>
      <c r="G1860">
        <v>20</v>
      </c>
      <c r="H1860">
        <v>6</v>
      </c>
      <c r="I1860">
        <f>Inventory_Data[[#This Row],[Opening_Stock]]+Inventory_Data[[#This Row],[Units_Received]]-Inventory_Data[[#This Row],[Units_Sold]]</f>
        <v>41</v>
      </c>
      <c r="J1860">
        <v>0</v>
      </c>
      <c r="K1860">
        <v>7</v>
      </c>
      <c r="L1860" t="s">
        <v>53</v>
      </c>
      <c r="M1860" s="3">
        <v>29.23</v>
      </c>
      <c r="N1860" s="3">
        <v>33.78</v>
      </c>
      <c r="O1860" s="10" t="str">
        <f>TEXT(Inventory_Data[[#This Row],[Date]],"mmm")</f>
        <v>Dec</v>
      </c>
    </row>
    <row r="1861" spans="1:15" x14ac:dyDescent="0.2">
      <c r="A1861" s="21">
        <v>45998</v>
      </c>
      <c r="B1861" s="5" t="s">
        <v>22</v>
      </c>
      <c r="C1861" t="s">
        <v>23</v>
      </c>
      <c r="D1861" t="s">
        <v>16</v>
      </c>
      <c r="E1861" t="s">
        <v>35</v>
      </c>
      <c r="F1861">
        <v>46</v>
      </c>
      <c r="G1861">
        <v>89</v>
      </c>
      <c r="H1861">
        <v>19</v>
      </c>
      <c r="I1861">
        <f>Inventory_Data[[#This Row],[Opening_Stock]]+Inventory_Data[[#This Row],[Units_Received]]-Inventory_Data[[#This Row],[Units_Sold]]</f>
        <v>116</v>
      </c>
      <c r="J1861">
        <v>0</v>
      </c>
      <c r="K1861">
        <v>4</v>
      </c>
      <c r="L1861" t="s">
        <v>45</v>
      </c>
      <c r="M1861" s="3">
        <v>58.55</v>
      </c>
      <c r="N1861" s="3">
        <v>82.87</v>
      </c>
      <c r="O1861" s="10" t="str">
        <f>TEXT(Inventory_Data[[#This Row],[Date]],"mmm")</f>
        <v>Dec</v>
      </c>
    </row>
    <row r="1862" spans="1:15" x14ac:dyDescent="0.2">
      <c r="A1862" s="21">
        <v>45998</v>
      </c>
      <c r="B1862" s="5" t="s">
        <v>22</v>
      </c>
      <c r="C1862" t="s">
        <v>23</v>
      </c>
      <c r="D1862" t="s">
        <v>16</v>
      </c>
      <c r="E1862" t="s">
        <v>21</v>
      </c>
      <c r="F1862">
        <v>26</v>
      </c>
      <c r="G1862">
        <v>53</v>
      </c>
      <c r="H1862">
        <v>72</v>
      </c>
      <c r="I1862">
        <f>Inventory_Data[[#This Row],[Opening_Stock]]+Inventory_Data[[#This Row],[Units_Received]]-Inventory_Data[[#This Row],[Units_Sold]]</f>
        <v>7</v>
      </c>
      <c r="J1862">
        <v>0</v>
      </c>
      <c r="K1862">
        <v>12</v>
      </c>
      <c r="L1862" t="s">
        <v>18</v>
      </c>
      <c r="M1862" s="3">
        <v>207.68</v>
      </c>
      <c r="N1862" s="3">
        <v>267.33</v>
      </c>
      <c r="O1862" s="10" t="str">
        <f>TEXT(Inventory_Data[[#This Row],[Date]],"mmm")</f>
        <v>Dec</v>
      </c>
    </row>
    <row r="1863" spans="1:15" x14ac:dyDescent="0.2">
      <c r="A1863" s="21">
        <v>45998</v>
      </c>
      <c r="B1863" s="5" t="s">
        <v>192</v>
      </c>
      <c r="C1863" t="s">
        <v>193</v>
      </c>
      <c r="D1863" t="s">
        <v>48</v>
      </c>
      <c r="E1863" t="s">
        <v>17</v>
      </c>
      <c r="F1863">
        <v>231</v>
      </c>
      <c r="G1863">
        <v>150</v>
      </c>
      <c r="H1863">
        <v>131</v>
      </c>
      <c r="I1863">
        <f>Inventory_Data[[#This Row],[Opening_Stock]]+Inventory_Data[[#This Row],[Units_Received]]-Inventory_Data[[#This Row],[Units_Sold]]</f>
        <v>250</v>
      </c>
      <c r="J1863">
        <v>0</v>
      </c>
      <c r="K1863">
        <v>6</v>
      </c>
      <c r="L1863" t="s">
        <v>63</v>
      </c>
      <c r="M1863" s="3">
        <v>65.94</v>
      </c>
      <c r="N1863" s="3">
        <v>89.95</v>
      </c>
      <c r="O1863" s="10" t="str">
        <f>TEXT(Inventory_Data[[#This Row],[Date]],"mmm")</f>
        <v>Dec</v>
      </c>
    </row>
    <row r="1864" spans="1:15" x14ac:dyDescent="0.2">
      <c r="A1864" s="21">
        <v>45998</v>
      </c>
      <c r="B1864" s="5" t="s">
        <v>118</v>
      </c>
      <c r="C1864" t="s">
        <v>119</v>
      </c>
      <c r="D1864" t="s">
        <v>34</v>
      </c>
      <c r="E1864" t="s">
        <v>17</v>
      </c>
      <c r="F1864">
        <v>362</v>
      </c>
      <c r="G1864">
        <v>124</v>
      </c>
      <c r="H1864">
        <v>49</v>
      </c>
      <c r="I1864">
        <f>Inventory_Data[[#This Row],[Opening_Stock]]+Inventory_Data[[#This Row],[Units_Received]]-Inventory_Data[[#This Row],[Units_Sold]]</f>
        <v>437</v>
      </c>
      <c r="J1864">
        <v>0</v>
      </c>
      <c r="K1864">
        <v>2</v>
      </c>
      <c r="L1864" t="s">
        <v>36</v>
      </c>
      <c r="M1864" s="3">
        <v>26.24</v>
      </c>
      <c r="N1864" s="3">
        <v>31.63</v>
      </c>
      <c r="O1864" s="10" t="str">
        <f>TEXT(Inventory_Data[[#This Row],[Date]],"mmm")</f>
        <v>Dec</v>
      </c>
    </row>
    <row r="1865" spans="1:15" x14ac:dyDescent="0.2">
      <c r="A1865" s="21">
        <v>45999</v>
      </c>
      <c r="B1865" s="5" t="s">
        <v>162</v>
      </c>
      <c r="C1865" t="s">
        <v>163</v>
      </c>
      <c r="D1865" t="s">
        <v>16</v>
      </c>
      <c r="E1865" t="s">
        <v>35</v>
      </c>
      <c r="F1865">
        <v>172</v>
      </c>
      <c r="G1865">
        <v>30</v>
      </c>
      <c r="H1865">
        <v>65</v>
      </c>
      <c r="I1865">
        <f>Inventory_Data[[#This Row],[Opening_Stock]]+Inventory_Data[[#This Row],[Units_Received]]-Inventory_Data[[#This Row],[Units_Sold]]</f>
        <v>137</v>
      </c>
      <c r="J1865">
        <v>0</v>
      </c>
      <c r="K1865">
        <v>11</v>
      </c>
      <c r="L1865" t="s">
        <v>18</v>
      </c>
      <c r="M1865" s="3">
        <v>184.85</v>
      </c>
      <c r="N1865" s="3">
        <v>270.94</v>
      </c>
      <c r="O1865" s="10" t="str">
        <f>TEXT(Inventory_Data[[#This Row],[Date]],"mmm")</f>
        <v>Dec</v>
      </c>
    </row>
    <row r="1866" spans="1:15" x14ac:dyDescent="0.2">
      <c r="A1866" s="21">
        <v>45999</v>
      </c>
      <c r="B1866" s="5" t="s">
        <v>73</v>
      </c>
      <c r="C1866" t="s">
        <v>74</v>
      </c>
      <c r="D1866" t="s">
        <v>16</v>
      </c>
      <c r="E1866" t="s">
        <v>35</v>
      </c>
      <c r="F1866">
        <v>157</v>
      </c>
      <c r="G1866">
        <v>66</v>
      </c>
      <c r="H1866">
        <v>70</v>
      </c>
      <c r="I1866">
        <f>Inventory_Data[[#This Row],[Opening_Stock]]+Inventory_Data[[#This Row],[Units_Received]]-Inventory_Data[[#This Row],[Units_Sold]]</f>
        <v>153</v>
      </c>
      <c r="J1866">
        <v>0</v>
      </c>
      <c r="K1866">
        <v>11</v>
      </c>
      <c r="L1866" t="s">
        <v>18</v>
      </c>
      <c r="M1866" s="3">
        <v>172.93</v>
      </c>
      <c r="N1866" s="3">
        <v>233.43</v>
      </c>
      <c r="O1866" s="10" t="str">
        <f>TEXT(Inventory_Data[[#This Row],[Date]],"mmm")</f>
        <v>Dec</v>
      </c>
    </row>
    <row r="1867" spans="1:15" x14ac:dyDescent="0.2">
      <c r="A1867" s="21">
        <v>45999</v>
      </c>
      <c r="B1867" s="5" t="s">
        <v>144</v>
      </c>
      <c r="C1867" t="s">
        <v>145</v>
      </c>
      <c r="D1867" t="s">
        <v>48</v>
      </c>
      <c r="E1867" t="s">
        <v>17</v>
      </c>
      <c r="F1867">
        <v>277</v>
      </c>
      <c r="G1867">
        <v>53</v>
      </c>
      <c r="H1867">
        <v>19</v>
      </c>
      <c r="I1867">
        <f>Inventory_Data[[#This Row],[Opening_Stock]]+Inventory_Data[[#This Row],[Units_Received]]-Inventory_Data[[#This Row],[Units_Sold]]</f>
        <v>311</v>
      </c>
      <c r="J1867">
        <v>0</v>
      </c>
      <c r="K1867">
        <v>11</v>
      </c>
      <c r="L1867" t="s">
        <v>77</v>
      </c>
      <c r="M1867" s="3">
        <v>16.309999999999999</v>
      </c>
      <c r="N1867" s="3">
        <v>23.92</v>
      </c>
      <c r="O1867" s="10" t="str">
        <f>TEXT(Inventory_Data[[#This Row],[Date]],"mmm")</f>
        <v>Dec</v>
      </c>
    </row>
    <row r="1868" spans="1:15" x14ac:dyDescent="0.2">
      <c r="A1868" s="21">
        <v>45999</v>
      </c>
      <c r="B1868" s="5" t="s">
        <v>75</v>
      </c>
      <c r="C1868" t="s">
        <v>76</v>
      </c>
      <c r="D1868" t="s">
        <v>48</v>
      </c>
      <c r="E1868" t="s">
        <v>28</v>
      </c>
      <c r="F1868">
        <v>174</v>
      </c>
      <c r="G1868">
        <v>60</v>
      </c>
      <c r="H1868">
        <v>49</v>
      </c>
      <c r="I1868">
        <f>Inventory_Data[[#This Row],[Opening_Stock]]+Inventory_Data[[#This Row],[Units_Received]]-Inventory_Data[[#This Row],[Units_Sold]]</f>
        <v>185</v>
      </c>
      <c r="J1868">
        <v>0</v>
      </c>
      <c r="K1868">
        <v>4</v>
      </c>
      <c r="L1868" t="s">
        <v>63</v>
      </c>
      <c r="M1868" s="3">
        <v>58.09</v>
      </c>
      <c r="N1868" s="3">
        <v>87.05</v>
      </c>
      <c r="O1868" s="10" t="str">
        <f>TEXT(Inventory_Data[[#This Row],[Date]],"mmm")</f>
        <v>Dec</v>
      </c>
    </row>
    <row r="1869" spans="1:15" x14ac:dyDescent="0.2">
      <c r="A1869" s="21">
        <v>45999</v>
      </c>
      <c r="B1869" s="5" t="s">
        <v>142</v>
      </c>
      <c r="C1869" t="s">
        <v>143</v>
      </c>
      <c r="D1869" t="s">
        <v>52</v>
      </c>
      <c r="E1869" t="s">
        <v>21</v>
      </c>
      <c r="F1869">
        <v>28</v>
      </c>
      <c r="G1869">
        <v>7</v>
      </c>
      <c r="H1869">
        <v>13</v>
      </c>
      <c r="I1869">
        <f>Inventory_Data[[#This Row],[Opening_Stock]]+Inventory_Data[[#This Row],[Units_Received]]-Inventory_Data[[#This Row],[Units_Sold]]</f>
        <v>22</v>
      </c>
      <c r="J1869">
        <v>0</v>
      </c>
      <c r="K1869">
        <v>12</v>
      </c>
      <c r="L1869" t="s">
        <v>83</v>
      </c>
      <c r="M1869" s="3">
        <v>85.66</v>
      </c>
      <c r="N1869" s="3">
        <v>99.39</v>
      </c>
      <c r="O1869" s="10" t="str">
        <f>TEXT(Inventory_Data[[#This Row],[Date]],"mmm")</f>
        <v>Dec</v>
      </c>
    </row>
    <row r="1870" spans="1:15" x14ac:dyDescent="0.2">
      <c r="A1870" s="21">
        <v>45999</v>
      </c>
      <c r="B1870" s="5" t="s">
        <v>176</v>
      </c>
      <c r="C1870" t="s">
        <v>177</v>
      </c>
      <c r="D1870" t="s">
        <v>34</v>
      </c>
      <c r="E1870" t="s">
        <v>28</v>
      </c>
      <c r="F1870">
        <v>205</v>
      </c>
      <c r="G1870">
        <v>116</v>
      </c>
      <c r="H1870">
        <v>163</v>
      </c>
      <c r="I1870">
        <f>Inventory_Data[[#This Row],[Opening_Stock]]+Inventory_Data[[#This Row],[Units_Received]]-Inventory_Data[[#This Row],[Units_Sold]]</f>
        <v>158</v>
      </c>
      <c r="J1870">
        <v>0</v>
      </c>
      <c r="K1870">
        <v>10</v>
      </c>
      <c r="L1870" t="s">
        <v>42</v>
      </c>
      <c r="M1870" s="3">
        <v>6.77</v>
      </c>
      <c r="N1870" s="3">
        <v>8.64</v>
      </c>
      <c r="O1870" s="10" t="str">
        <f>TEXT(Inventory_Data[[#This Row],[Date]],"mmm")</f>
        <v>Dec</v>
      </c>
    </row>
    <row r="1871" spans="1:15" x14ac:dyDescent="0.2">
      <c r="A1871" s="21">
        <v>45999</v>
      </c>
      <c r="B1871" s="5" t="s">
        <v>69</v>
      </c>
      <c r="C1871" t="s">
        <v>70</v>
      </c>
      <c r="D1871" t="s">
        <v>34</v>
      </c>
      <c r="E1871" t="s">
        <v>21</v>
      </c>
      <c r="F1871">
        <v>274</v>
      </c>
      <c r="G1871">
        <v>160</v>
      </c>
      <c r="H1871">
        <v>35</v>
      </c>
      <c r="I1871">
        <f>Inventory_Data[[#This Row],[Opening_Stock]]+Inventory_Data[[#This Row],[Units_Received]]-Inventory_Data[[#This Row],[Units_Sold]]</f>
        <v>399</v>
      </c>
      <c r="J1871">
        <v>0</v>
      </c>
      <c r="K1871">
        <v>11</v>
      </c>
      <c r="L1871" t="s">
        <v>36</v>
      </c>
      <c r="M1871" s="3">
        <v>26.78</v>
      </c>
      <c r="N1871" s="3">
        <v>37</v>
      </c>
      <c r="O1871" s="10" t="str">
        <f>TEXT(Inventory_Data[[#This Row],[Date]],"mmm")</f>
        <v>Dec</v>
      </c>
    </row>
    <row r="1872" spans="1:15" x14ac:dyDescent="0.2">
      <c r="A1872" s="21">
        <v>45999</v>
      </c>
      <c r="B1872" s="5" t="s">
        <v>69</v>
      </c>
      <c r="C1872" t="s">
        <v>70</v>
      </c>
      <c r="D1872" t="s">
        <v>34</v>
      </c>
      <c r="E1872" t="s">
        <v>21</v>
      </c>
      <c r="F1872">
        <v>129</v>
      </c>
      <c r="G1872">
        <v>154</v>
      </c>
      <c r="H1872">
        <v>163</v>
      </c>
      <c r="I1872">
        <f>Inventory_Data[[#This Row],[Opening_Stock]]+Inventory_Data[[#This Row],[Units_Received]]-Inventory_Data[[#This Row],[Units_Sold]]</f>
        <v>120</v>
      </c>
      <c r="J1872">
        <v>0</v>
      </c>
      <c r="K1872">
        <v>4</v>
      </c>
      <c r="L1872" t="s">
        <v>42</v>
      </c>
      <c r="M1872" s="3">
        <v>24.91</v>
      </c>
      <c r="N1872" s="3">
        <v>34.92</v>
      </c>
      <c r="O1872" s="10" t="str">
        <f>TEXT(Inventory_Data[[#This Row],[Date]],"mmm")</f>
        <v>Dec</v>
      </c>
    </row>
    <row r="1873" spans="1:15" x14ac:dyDescent="0.2">
      <c r="A1873" s="21">
        <v>45999</v>
      </c>
      <c r="B1873" s="5" t="s">
        <v>194</v>
      </c>
      <c r="C1873" t="s">
        <v>195</v>
      </c>
      <c r="D1873" t="s">
        <v>34</v>
      </c>
      <c r="E1873" t="s">
        <v>21</v>
      </c>
      <c r="F1873">
        <v>113</v>
      </c>
      <c r="G1873">
        <v>133</v>
      </c>
      <c r="H1873">
        <v>100</v>
      </c>
      <c r="I1873">
        <f>Inventory_Data[[#This Row],[Opening_Stock]]+Inventory_Data[[#This Row],[Units_Received]]-Inventory_Data[[#This Row],[Units_Sold]]</f>
        <v>146</v>
      </c>
      <c r="J1873">
        <v>0</v>
      </c>
      <c r="K1873">
        <v>3</v>
      </c>
      <c r="L1873" t="s">
        <v>42</v>
      </c>
      <c r="M1873" s="3">
        <v>25.4</v>
      </c>
      <c r="N1873" s="3">
        <v>35.1</v>
      </c>
      <c r="O1873" s="10" t="str">
        <f>TEXT(Inventory_Data[[#This Row],[Date]],"mmm")</f>
        <v>Dec</v>
      </c>
    </row>
    <row r="1874" spans="1:15" x14ac:dyDescent="0.2">
      <c r="A1874" s="21">
        <v>46000</v>
      </c>
      <c r="B1874" s="5" t="s">
        <v>170</v>
      </c>
      <c r="C1874" t="s">
        <v>171</v>
      </c>
      <c r="D1874" t="s">
        <v>48</v>
      </c>
      <c r="E1874" t="s">
        <v>28</v>
      </c>
      <c r="F1874">
        <v>148</v>
      </c>
      <c r="G1874">
        <v>41</v>
      </c>
      <c r="H1874">
        <v>77</v>
      </c>
      <c r="I1874">
        <f>Inventory_Data[[#This Row],[Opening_Stock]]+Inventory_Data[[#This Row],[Units_Received]]-Inventory_Data[[#This Row],[Units_Sold]]</f>
        <v>112</v>
      </c>
      <c r="J1874">
        <v>0</v>
      </c>
      <c r="K1874">
        <v>6</v>
      </c>
      <c r="L1874" t="s">
        <v>49</v>
      </c>
      <c r="M1874" s="3">
        <v>20.64</v>
      </c>
      <c r="N1874" s="3">
        <v>28.31</v>
      </c>
      <c r="O1874" s="10" t="str">
        <f>TEXT(Inventory_Data[[#This Row],[Date]],"mmm")</f>
        <v>Dec</v>
      </c>
    </row>
    <row r="1875" spans="1:15" x14ac:dyDescent="0.2">
      <c r="A1875" s="21">
        <v>46001</v>
      </c>
      <c r="B1875" s="5" t="s">
        <v>75</v>
      </c>
      <c r="C1875" t="s">
        <v>76</v>
      </c>
      <c r="D1875" t="s">
        <v>48</v>
      </c>
      <c r="E1875" t="s">
        <v>35</v>
      </c>
      <c r="F1875">
        <v>218</v>
      </c>
      <c r="G1875">
        <v>105</v>
      </c>
      <c r="H1875">
        <v>104</v>
      </c>
      <c r="I1875">
        <f>Inventory_Data[[#This Row],[Opening_Stock]]+Inventory_Data[[#This Row],[Units_Received]]-Inventory_Data[[#This Row],[Units_Sold]]</f>
        <v>219</v>
      </c>
      <c r="J1875">
        <v>0</v>
      </c>
      <c r="K1875">
        <v>14</v>
      </c>
      <c r="L1875" t="s">
        <v>49</v>
      </c>
      <c r="M1875" s="3">
        <v>28.15</v>
      </c>
      <c r="N1875" s="3">
        <v>38.869999999999997</v>
      </c>
      <c r="O1875" s="10" t="str">
        <f>TEXT(Inventory_Data[[#This Row],[Date]],"mmm")</f>
        <v>Dec</v>
      </c>
    </row>
    <row r="1876" spans="1:15" x14ac:dyDescent="0.2">
      <c r="A1876" s="21">
        <v>46001</v>
      </c>
      <c r="B1876" s="5" t="s">
        <v>96</v>
      </c>
      <c r="C1876" t="s">
        <v>97</v>
      </c>
      <c r="D1876" t="s">
        <v>48</v>
      </c>
      <c r="E1876" t="s">
        <v>35</v>
      </c>
      <c r="F1876">
        <v>225</v>
      </c>
      <c r="G1876">
        <v>91</v>
      </c>
      <c r="H1876">
        <v>138</v>
      </c>
      <c r="I1876">
        <f>Inventory_Data[[#This Row],[Opening_Stock]]+Inventory_Data[[#This Row],[Units_Received]]-Inventory_Data[[#This Row],[Units_Sold]]</f>
        <v>178</v>
      </c>
      <c r="J1876">
        <v>0</v>
      </c>
      <c r="K1876">
        <v>13</v>
      </c>
      <c r="L1876" t="s">
        <v>63</v>
      </c>
      <c r="M1876" s="3">
        <v>67.569999999999993</v>
      </c>
      <c r="N1876" s="3">
        <v>104.51</v>
      </c>
      <c r="O1876" s="10" t="str">
        <f>TEXT(Inventory_Data[[#This Row],[Date]],"mmm")</f>
        <v>Dec</v>
      </c>
    </row>
    <row r="1877" spans="1:15" x14ac:dyDescent="0.2">
      <c r="A1877" s="21">
        <v>46001</v>
      </c>
      <c r="B1877" s="5" t="s">
        <v>136</v>
      </c>
      <c r="C1877" t="s">
        <v>137</v>
      </c>
      <c r="D1877" t="s">
        <v>27</v>
      </c>
      <c r="E1877" t="s">
        <v>35</v>
      </c>
      <c r="F1877">
        <v>420</v>
      </c>
      <c r="G1877">
        <v>148</v>
      </c>
      <c r="H1877">
        <v>36</v>
      </c>
      <c r="I1877">
        <f>Inventory_Data[[#This Row],[Opening_Stock]]+Inventory_Data[[#This Row],[Units_Received]]-Inventory_Data[[#This Row],[Units_Sold]]</f>
        <v>532</v>
      </c>
      <c r="J1877">
        <v>0</v>
      </c>
      <c r="K1877">
        <v>5</v>
      </c>
      <c r="L1877" t="s">
        <v>66</v>
      </c>
      <c r="M1877" s="3">
        <v>14.94</v>
      </c>
      <c r="N1877" s="3">
        <v>17.46</v>
      </c>
      <c r="O1877" s="10" t="str">
        <f>TEXT(Inventory_Data[[#This Row],[Date]],"mmm")</f>
        <v>Dec</v>
      </c>
    </row>
    <row r="1878" spans="1:15" x14ac:dyDescent="0.2">
      <c r="A1878" s="21">
        <v>46001</v>
      </c>
      <c r="B1878" s="5" t="s">
        <v>50</v>
      </c>
      <c r="C1878" t="s">
        <v>51</v>
      </c>
      <c r="D1878" t="s">
        <v>52</v>
      </c>
      <c r="E1878" t="s">
        <v>17</v>
      </c>
      <c r="F1878">
        <v>18</v>
      </c>
      <c r="G1878">
        <v>18</v>
      </c>
      <c r="H1878">
        <v>6</v>
      </c>
      <c r="I1878">
        <f>Inventory_Data[[#This Row],[Opening_Stock]]+Inventory_Data[[#This Row],[Units_Received]]-Inventory_Data[[#This Row],[Units_Sold]]</f>
        <v>30</v>
      </c>
      <c r="J1878">
        <v>0</v>
      </c>
      <c r="K1878">
        <v>9</v>
      </c>
      <c r="L1878" t="s">
        <v>83</v>
      </c>
      <c r="M1878" s="3">
        <v>72.709999999999994</v>
      </c>
      <c r="N1878" s="3">
        <v>97.55</v>
      </c>
      <c r="O1878" s="10" t="str">
        <f>TEXT(Inventory_Data[[#This Row],[Date]],"mmm")</f>
        <v>Dec</v>
      </c>
    </row>
    <row r="1879" spans="1:15" x14ac:dyDescent="0.2">
      <c r="A1879" s="21">
        <v>46001</v>
      </c>
      <c r="B1879" s="5" t="s">
        <v>158</v>
      </c>
      <c r="C1879" t="s">
        <v>159</v>
      </c>
      <c r="D1879" t="s">
        <v>52</v>
      </c>
      <c r="E1879" t="s">
        <v>17</v>
      </c>
      <c r="F1879">
        <v>27</v>
      </c>
      <c r="G1879">
        <v>25</v>
      </c>
      <c r="H1879">
        <v>1</v>
      </c>
      <c r="I1879">
        <f>Inventory_Data[[#This Row],[Opening_Stock]]+Inventory_Data[[#This Row],[Units_Received]]-Inventory_Data[[#This Row],[Units_Sold]]</f>
        <v>51</v>
      </c>
      <c r="J1879">
        <v>0</v>
      </c>
      <c r="K1879">
        <v>10</v>
      </c>
      <c r="L1879" t="s">
        <v>53</v>
      </c>
      <c r="M1879" s="3">
        <v>114.24</v>
      </c>
      <c r="N1879" s="3">
        <v>156.33000000000001</v>
      </c>
      <c r="O1879" s="10" t="str">
        <f>TEXT(Inventory_Data[[#This Row],[Date]],"mmm")</f>
        <v>Dec</v>
      </c>
    </row>
    <row r="1880" spans="1:15" x14ac:dyDescent="0.2">
      <c r="A1880" s="21">
        <v>46001</v>
      </c>
      <c r="B1880" s="5" t="s">
        <v>54</v>
      </c>
      <c r="C1880" t="s">
        <v>55</v>
      </c>
      <c r="D1880" t="s">
        <v>52</v>
      </c>
      <c r="E1880" t="s">
        <v>28</v>
      </c>
      <c r="F1880">
        <v>45</v>
      </c>
      <c r="G1880">
        <v>18</v>
      </c>
      <c r="H1880">
        <v>17</v>
      </c>
      <c r="I1880">
        <f>Inventory_Data[[#This Row],[Opening_Stock]]+Inventory_Data[[#This Row],[Units_Received]]-Inventory_Data[[#This Row],[Units_Sold]]</f>
        <v>46</v>
      </c>
      <c r="J1880">
        <v>0</v>
      </c>
      <c r="K1880">
        <v>13</v>
      </c>
      <c r="L1880" t="s">
        <v>56</v>
      </c>
      <c r="M1880" s="3">
        <v>48.39</v>
      </c>
      <c r="N1880" s="3">
        <v>60.62</v>
      </c>
      <c r="O1880" s="10" t="str">
        <f>TEXT(Inventory_Data[[#This Row],[Date]],"mmm")</f>
        <v>Dec</v>
      </c>
    </row>
    <row r="1881" spans="1:15" x14ac:dyDescent="0.2">
      <c r="A1881" s="21">
        <v>46001</v>
      </c>
      <c r="B1881" s="5" t="s">
        <v>40</v>
      </c>
      <c r="C1881" t="s">
        <v>41</v>
      </c>
      <c r="D1881" t="s">
        <v>34</v>
      </c>
      <c r="E1881" t="s">
        <v>28</v>
      </c>
      <c r="F1881">
        <v>341</v>
      </c>
      <c r="G1881">
        <v>101</v>
      </c>
      <c r="H1881">
        <v>62</v>
      </c>
      <c r="I1881">
        <f>Inventory_Data[[#This Row],[Opening_Stock]]+Inventory_Data[[#This Row],[Units_Received]]-Inventory_Data[[#This Row],[Units_Sold]]</f>
        <v>380</v>
      </c>
      <c r="J1881">
        <v>0</v>
      </c>
      <c r="K1881">
        <v>3</v>
      </c>
      <c r="L1881" t="s">
        <v>42</v>
      </c>
      <c r="M1881" s="3">
        <v>14.9</v>
      </c>
      <c r="N1881" s="3">
        <v>17.29</v>
      </c>
      <c r="O1881" s="10" t="str">
        <f>TEXT(Inventory_Data[[#This Row],[Date]],"mmm")</f>
        <v>Dec</v>
      </c>
    </row>
    <row r="1882" spans="1:15" x14ac:dyDescent="0.2">
      <c r="A1882" s="21">
        <v>46002</v>
      </c>
      <c r="B1882" s="5" t="s">
        <v>170</v>
      </c>
      <c r="C1882" t="s">
        <v>171</v>
      </c>
      <c r="D1882" t="s">
        <v>48</v>
      </c>
      <c r="E1882" t="s">
        <v>28</v>
      </c>
      <c r="F1882">
        <v>86</v>
      </c>
      <c r="G1882">
        <v>122</v>
      </c>
      <c r="H1882">
        <v>100</v>
      </c>
      <c r="I1882">
        <f>Inventory_Data[[#This Row],[Opening_Stock]]+Inventory_Data[[#This Row],[Units_Received]]-Inventory_Data[[#This Row],[Units_Sold]]</f>
        <v>108</v>
      </c>
      <c r="J1882">
        <v>0</v>
      </c>
      <c r="K1882">
        <v>7</v>
      </c>
      <c r="L1882" t="s">
        <v>77</v>
      </c>
      <c r="M1882" s="3">
        <v>14.13</v>
      </c>
      <c r="N1882" s="3">
        <v>18.850000000000001</v>
      </c>
      <c r="O1882" s="10" t="str">
        <f>TEXT(Inventory_Data[[#This Row],[Date]],"mmm")</f>
        <v>Dec</v>
      </c>
    </row>
    <row r="1883" spans="1:15" x14ac:dyDescent="0.2">
      <c r="A1883" s="21">
        <v>46002</v>
      </c>
      <c r="B1883" s="5" t="s">
        <v>92</v>
      </c>
      <c r="C1883" t="s">
        <v>93</v>
      </c>
      <c r="D1883" t="s">
        <v>27</v>
      </c>
      <c r="E1883" t="s">
        <v>17</v>
      </c>
      <c r="F1883">
        <v>486</v>
      </c>
      <c r="G1883">
        <v>127</v>
      </c>
      <c r="H1883">
        <v>63</v>
      </c>
      <c r="I1883">
        <f>Inventory_Data[[#This Row],[Opening_Stock]]+Inventory_Data[[#This Row],[Units_Received]]-Inventory_Data[[#This Row],[Units_Sold]]</f>
        <v>550</v>
      </c>
      <c r="J1883">
        <v>0</v>
      </c>
      <c r="K1883">
        <v>5</v>
      </c>
      <c r="L1883" t="s">
        <v>80</v>
      </c>
      <c r="M1883" s="3">
        <v>11.51</v>
      </c>
      <c r="N1883" s="3">
        <v>16.73</v>
      </c>
      <c r="O1883" s="10" t="str">
        <f>TEXT(Inventory_Data[[#This Row],[Date]],"mmm")</f>
        <v>Dec</v>
      </c>
    </row>
    <row r="1884" spans="1:15" x14ac:dyDescent="0.2">
      <c r="A1884" s="21">
        <v>46002</v>
      </c>
      <c r="B1884" s="5" t="s">
        <v>140</v>
      </c>
      <c r="C1884" t="s">
        <v>141</v>
      </c>
      <c r="D1884" t="s">
        <v>52</v>
      </c>
      <c r="E1884" t="s">
        <v>35</v>
      </c>
      <c r="F1884">
        <v>12</v>
      </c>
      <c r="G1884">
        <v>11</v>
      </c>
      <c r="H1884">
        <v>18</v>
      </c>
      <c r="I1884">
        <f>Inventory_Data[[#This Row],[Opening_Stock]]+Inventory_Data[[#This Row],[Units_Received]]-Inventory_Data[[#This Row],[Units_Sold]]</f>
        <v>5</v>
      </c>
      <c r="J1884">
        <v>0</v>
      </c>
      <c r="K1884">
        <v>2</v>
      </c>
      <c r="L1884" t="s">
        <v>53</v>
      </c>
      <c r="M1884" s="3">
        <v>193.82</v>
      </c>
      <c r="N1884" s="3">
        <v>259.08</v>
      </c>
      <c r="O1884" s="10" t="str">
        <f>TEXT(Inventory_Data[[#This Row],[Date]],"mmm")</f>
        <v>Dec</v>
      </c>
    </row>
    <row r="1885" spans="1:15" x14ac:dyDescent="0.2">
      <c r="A1885" s="21">
        <v>46002</v>
      </c>
      <c r="B1885" s="5" t="s">
        <v>174</v>
      </c>
      <c r="C1885" t="s">
        <v>175</v>
      </c>
      <c r="D1885" t="s">
        <v>52</v>
      </c>
      <c r="E1885" t="s">
        <v>35</v>
      </c>
      <c r="F1885">
        <v>51</v>
      </c>
      <c r="G1885">
        <v>11</v>
      </c>
      <c r="H1885">
        <v>4</v>
      </c>
      <c r="I1885">
        <f>Inventory_Data[[#This Row],[Opening_Stock]]+Inventory_Data[[#This Row],[Units_Received]]-Inventory_Data[[#This Row],[Units_Sold]]</f>
        <v>58</v>
      </c>
      <c r="J1885">
        <v>0</v>
      </c>
      <c r="K1885">
        <v>5</v>
      </c>
      <c r="L1885" t="s">
        <v>56</v>
      </c>
      <c r="M1885" s="3">
        <v>182.15</v>
      </c>
      <c r="N1885" s="3">
        <v>268.2</v>
      </c>
      <c r="O1885" s="10" t="str">
        <f>TEXT(Inventory_Data[[#This Row],[Date]],"mmm")</f>
        <v>Dec</v>
      </c>
    </row>
    <row r="1886" spans="1:15" x14ac:dyDescent="0.2">
      <c r="A1886" s="21">
        <v>46003</v>
      </c>
      <c r="B1886" s="5" t="s">
        <v>166</v>
      </c>
      <c r="C1886" t="s">
        <v>167</v>
      </c>
      <c r="D1886" t="s">
        <v>16</v>
      </c>
      <c r="E1886" t="s">
        <v>28</v>
      </c>
      <c r="F1886">
        <v>27</v>
      </c>
      <c r="G1886">
        <v>80</v>
      </c>
      <c r="H1886">
        <v>68</v>
      </c>
      <c r="I1886">
        <f>Inventory_Data[[#This Row],[Opening_Stock]]+Inventory_Data[[#This Row],[Units_Received]]-Inventory_Data[[#This Row],[Units_Sold]]</f>
        <v>39</v>
      </c>
      <c r="J1886">
        <v>0</v>
      </c>
      <c r="K1886">
        <v>7</v>
      </c>
      <c r="L1886" t="s">
        <v>24</v>
      </c>
      <c r="M1886" s="3">
        <v>35.89</v>
      </c>
      <c r="N1886" s="3">
        <v>54.35</v>
      </c>
      <c r="O1886" s="10" t="str">
        <f>TEXT(Inventory_Data[[#This Row],[Date]],"mmm")</f>
        <v>Dec</v>
      </c>
    </row>
    <row r="1887" spans="1:15" x14ac:dyDescent="0.2">
      <c r="A1887" s="21">
        <v>46003</v>
      </c>
      <c r="B1887" s="5" t="s">
        <v>120</v>
      </c>
      <c r="C1887" t="s">
        <v>121</v>
      </c>
      <c r="D1887" t="s">
        <v>16</v>
      </c>
      <c r="E1887" t="s">
        <v>28</v>
      </c>
      <c r="F1887">
        <v>50</v>
      </c>
      <c r="G1887">
        <v>20</v>
      </c>
      <c r="H1887">
        <v>50</v>
      </c>
      <c r="I1887">
        <f>Inventory_Data[[#This Row],[Opening_Stock]]+Inventory_Data[[#This Row],[Units_Received]]-Inventory_Data[[#This Row],[Units_Sold]]</f>
        <v>20</v>
      </c>
      <c r="J1887">
        <v>0</v>
      </c>
      <c r="K1887">
        <v>6</v>
      </c>
      <c r="L1887" t="s">
        <v>24</v>
      </c>
      <c r="M1887" s="3">
        <v>113.09</v>
      </c>
      <c r="N1887" s="3">
        <v>165.36</v>
      </c>
      <c r="O1887" s="10" t="str">
        <f>TEXT(Inventory_Data[[#This Row],[Date]],"mmm")</f>
        <v>Dec</v>
      </c>
    </row>
    <row r="1888" spans="1:15" x14ac:dyDescent="0.2">
      <c r="A1888" s="21">
        <v>46003</v>
      </c>
      <c r="B1888" s="5" t="s">
        <v>84</v>
      </c>
      <c r="C1888" t="s">
        <v>85</v>
      </c>
      <c r="D1888" t="s">
        <v>48</v>
      </c>
      <c r="E1888" t="s">
        <v>28</v>
      </c>
      <c r="F1888">
        <v>189</v>
      </c>
      <c r="G1888">
        <v>150</v>
      </c>
      <c r="H1888">
        <v>111</v>
      </c>
      <c r="I1888">
        <f>Inventory_Data[[#This Row],[Opening_Stock]]+Inventory_Data[[#This Row],[Units_Received]]-Inventory_Data[[#This Row],[Units_Sold]]</f>
        <v>228</v>
      </c>
      <c r="J1888">
        <v>0</v>
      </c>
      <c r="K1888">
        <v>7</v>
      </c>
      <c r="L1888" t="s">
        <v>63</v>
      </c>
      <c r="M1888" s="3">
        <v>84.14</v>
      </c>
      <c r="N1888" s="3">
        <v>116.27</v>
      </c>
      <c r="O1888" s="10" t="str">
        <f>TEXT(Inventory_Data[[#This Row],[Date]],"mmm")</f>
        <v>Dec</v>
      </c>
    </row>
    <row r="1889" spans="1:15" x14ac:dyDescent="0.2">
      <c r="A1889" s="21">
        <v>46003</v>
      </c>
      <c r="B1889" s="5" t="s">
        <v>192</v>
      </c>
      <c r="C1889" t="s">
        <v>193</v>
      </c>
      <c r="D1889" t="s">
        <v>48</v>
      </c>
      <c r="E1889" t="s">
        <v>35</v>
      </c>
      <c r="F1889">
        <v>92</v>
      </c>
      <c r="G1889">
        <v>93</v>
      </c>
      <c r="H1889">
        <v>55</v>
      </c>
      <c r="I1889">
        <f>Inventory_Data[[#This Row],[Opening_Stock]]+Inventory_Data[[#This Row],[Units_Received]]-Inventory_Data[[#This Row],[Units_Sold]]</f>
        <v>130</v>
      </c>
      <c r="J1889">
        <v>0</v>
      </c>
      <c r="K1889">
        <v>14</v>
      </c>
      <c r="L1889" t="s">
        <v>77</v>
      </c>
      <c r="M1889" s="3">
        <v>39.090000000000003</v>
      </c>
      <c r="N1889" s="3">
        <v>50.23</v>
      </c>
      <c r="O1889" s="10" t="str">
        <f>TEXT(Inventory_Data[[#This Row],[Date]],"mmm")</f>
        <v>Dec</v>
      </c>
    </row>
    <row r="1890" spans="1:15" x14ac:dyDescent="0.2">
      <c r="A1890" s="21">
        <v>46003</v>
      </c>
      <c r="B1890" s="5" t="s">
        <v>92</v>
      </c>
      <c r="C1890" t="s">
        <v>93</v>
      </c>
      <c r="D1890" t="s">
        <v>27</v>
      </c>
      <c r="E1890" t="s">
        <v>21</v>
      </c>
      <c r="F1890">
        <v>487</v>
      </c>
      <c r="G1890">
        <v>118</v>
      </c>
      <c r="H1890">
        <v>41</v>
      </c>
      <c r="I1890">
        <f>Inventory_Data[[#This Row],[Opening_Stock]]+Inventory_Data[[#This Row],[Units_Received]]-Inventory_Data[[#This Row],[Units_Sold]]</f>
        <v>564</v>
      </c>
      <c r="J1890">
        <v>0</v>
      </c>
      <c r="K1890">
        <v>6</v>
      </c>
      <c r="L1890" t="s">
        <v>80</v>
      </c>
      <c r="M1890" s="3">
        <v>13.96</v>
      </c>
      <c r="N1890" s="3">
        <v>16.850000000000001</v>
      </c>
      <c r="O1890" s="10" t="str">
        <f>TEXT(Inventory_Data[[#This Row],[Date]],"mmm")</f>
        <v>Dec</v>
      </c>
    </row>
    <row r="1891" spans="1:15" x14ac:dyDescent="0.2">
      <c r="A1891" s="21">
        <v>46003</v>
      </c>
      <c r="B1891" s="5" t="s">
        <v>25</v>
      </c>
      <c r="C1891" t="s">
        <v>26</v>
      </c>
      <c r="D1891" t="s">
        <v>27</v>
      </c>
      <c r="E1891" t="s">
        <v>17</v>
      </c>
      <c r="F1891">
        <v>165</v>
      </c>
      <c r="G1891">
        <v>96</v>
      </c>
      <c r="H1891">
        <v>128</v>
      </c>
      <c r="I1891">
        <f>Inventory_Data[[#This Row],[Opening_Stock]]+Inventory_Data[[#This Row],[Units_Received]]-Inventory_Data[[#This Row],[Units_Sold]]</f>
        <v>133</v>
      </c>
      <c r="J1891">
        <v>0</v>
      </c>
      <c r="K1891">
        <v>1</v>
      </c>
      <c r="L1891" t="s">
        <v>66</v>
      </c>
      <c r="M1891" s="3">
        <v>24.63</v>
      </c>
      <c r="N1891" s="3">
        <v>35.58</v>
      </c>
      <c r="O1891" s="10" t="str">
        <f>TEXT(Inventory_Data[[#This Row],[Date]],"mmm")</f>
        <v>Dec</v>
      </c>
    </row>
    <row r="1892" spans="1:15" x14ac:dyDescent="0.2">
      <c r="A1892" s="21">
        <v>46003</v>
      </c>
      <c r="B1892" s="5" t="s">
        <v>122</v>
      </c>
      <c r="C1892" t="s">
        <v>123</v>
      </c>
      <c r="D1892" t="s">
        <v>27</v>
      </c>
      <c r="E1892" t="s">
        <v>21</v>
      </c>
      <c r="F1892">
        <v>341</v>
      </c>
      <c r="G1892">
        <v>202</v>
      </c>
      <c r="H1892">
        <v>169</v>
      </c>
      <c r="I1892">
        <f>Inventory_Data[[#This Row],[Opening_Stock]]+Inventory_Data[[#This Row],[Units_Received]]-Inventory_Data[[#This Row],[Units_Sold]]</f>
        <v>374</v>
      </c>
      <c r="J1892">
        <v>0</v>
      </c>
      <c r="K1892">
        <v>3</v>
      </c>
      <c r="L1892" t="s">
        <v>66</v>
      </c>
      <c r="M1892" s="3">
        <v>15.22</v>
      </c>
      <c r="N1892" s="3">
        <v>20.95</v>
      </c>
      <c r="O1892" s="10" t="str">
        <f>TEXT(Inventory_Data[[#This Row],[Date]],"mmm")</f>
        <v>Dec</v>
      </c>
    </row>
    <row r="1893" spans="1:15" x14ac:dyDescent="0.2">
      <c r="A1893" s="21">
        <v>46003</v>
      </c>
      <c r="B1893" s="5" t="s">
        <v>118</v>
      </c>
      <c r="C1893" t="s">
        <v>119</v>
      </c>
      <c r="D1893" t="s">
        <v>34</v>
      </c>
      <c r="E1893" t="s">
        <v>35</v>
      </c>
      <c r="F1893">
        <v>353</v>
      </c>
      <c r="G1893">
        <v>217</v>
      </c>
      <c r="H1893">
        <v>73</v>
      </c>
      <c r="I1893">
        <f>Inventory_Data[[#This Row],[Opening_Stock]]+Inventory_Data[[#This Row],[Units_Received]]-Inventory_Data[[#This Row],[Units_Sold]]</f>
        <v>497</v>
      </c>
      <c r="J1893">
        <v>0</v>
      </c>
      <c r="K1893">
        <v>11</v>
      </c>
      <c r="L1893" t="s">
        <v>42</v>
      </c>
      <c r="M1893" s="3">
        <v>29.36</v>
      </c>
      <c r="N1893" s="3">
        <v>43.09</v>
      </c>
      <c r="O1893" s="10" t="str">
        <f>TEXT(Inventory_Data[[#This Row],[Date]],"mmm")</f>
        <v>Dec</v>
      </c>
    </row>
    <row r="1894" spans="1:15" x14ac:dyDescent="0.2">
      <c r="A1894" s="21">
        <v>46003</v>
      </c>
      <c r="B1894" s="5" t="s">
        <v>138</v>
      </c>
      <c r="C1894" t="s">
        <v>139</v>
      </c>
      <c r="D1894" t="s">
        <v>34</v>
      </c>
      <c r="E1894" t="s">
        <v>28</v>
      </c>
      <c r="F1894">
        <v>335</v>
      </c>
      <c r="G1894">
        <v>108</v>
      </c>
      <c r="H1894">
        <v>160</v>
      </c>
      <c r="I1894">
        <f>Inventory_Data[[#This Row],[Opening_Stock]]+Inventory_Data[[#This Row],[Units_Received]]-Inventory_Data[[#This Row],[Units_Sold]]</f>
        <v>283</v>
      </c>
      <c r="J1894">
        <v>0</v>
      </c>
      <c r="K1894">
        <v>3</v>
      </c>
      <c r="L1894" t="s">
        <v>39</v>
      </c>
      <c r="M1894" s="3">
        <v>24.67</v>
      </c>
      <c r="N1894" s="3">
        <v>28.56</v>
      </c>
      <c r="O1894" s="10" t="str">
        <f>TEXT(Inventory_Data[[#This Row],[Date]],"mmm")</f>
        <v>Dec</v>
      </c>
    </row>
    <row r="1895" spans="1:15" x14ac:dyDescent="0.2">
      <c r="A1895" s="21">
        <v>46004</v>
      </c>
      <c r="B1895" s="5" t="s">
        <v>61</v>
      </c>
      <c r="C1895" t="s">
        <v>62</v>
      </c>
      <c r="D1895" t="s">
        <v>48</v>
      </c>
      <c r="E1895" t="s">
        <v>28</v>
      </c>
      <c r="F1895">
        <v>250</v>
      </c>
      <c r="G1895">
        <v>137</v>
      </c>
      <c r="H1895">
        <v>51</v>
      </c>
      <c r="I1895">
        <f>Inventory_Data[[#This Row],[Opening_Stock]]+Inventory_Data[[#This Row],[Units_Received]]-Inventory_Data[[#This Row],[Units_Sold]]</f>
        <v>336</v>
      </c>
      <c r="J1895">
        <v>0</v>
      </c>
      <c r="K1895">
        <v>11</v>
      </c>
      <c r="L1895" t="s">
        <v>63</v>
      </c>
      <c r="M1895" s="3">
        <v>85.27</v>
      </c>
      <c r="N1895" s="3">
        <v>124.94</v>
      </c>
      <c r="O1895" s="10" t="str">
        <f>TEXT(Inventory_Data[[#This Row],[Date]],"mmm")</f>
        <v>Dec</v>
      </c>
    </row>
    <row r="1896" spans="1:15" x14ac:dyDescent="0.2">
      <c r="A1896" s="21">
        <v>46004</v>
      </c>
      <c r="B1896" s="5" t="s">
        <v>88</v>
      </c>
      <c r="C1896" t="s">
        <v>89</v>
      </c>
      <c r="D1896" t="s">
        <v>34</v>
      </c>
      <c r="E1896" t="s">
        <v>21</v>
      </c>
      <c r="F1896">
        <v>281</v>
      </c>
      <c r="G1896">
        <v>120</v>
      </c>
      <c r="H1896">
        <v>40</v>
      </c>
      <c r="I1896">
        <f>Inventory_Data[[#This Row],[Opening_Stock]]+Inventory_Data[[#This Row],[Units_Received]]-Inventory_Data[[#This Row],[Units_Sold]]</f>
        <v>361</v>
      </c>
      <c r="J1896">
        <v>0</v>
      </c>
      <c r="K1896">
        <v>2</v>
      </c>
      <c r="L1896" t="s">
        <v>42</v>
      </c>
      <c r="M1896" s="3">
        <v>24.56</v>
      </c>
      <c r="N1896" s="3">
        <v>36.630000000000003</v>
      </c>
      <c r="O1896" s="10" t="str">
        <f>TEXT(Inventory_Data[[#This Row],[Date]],"mmm")</f>
        <v>Dec</v>
      </c>
    </row>
    <row r="1897" spans="1:15" x14ac:dyDescent="0.2">
      <c r="A1897" s="21">
        <v>46004</v>
      </c>
      <c r="B1897" s="5" t="s">
        <v>126</v>
      </c>
      <c r="C1897" t="s">
        <v>127</v>
      </c>
      <c r="D1897" t="s">
        <v>34</v>
      </c>
      <c r="E1897" t="s">
        <v>28</v>
      </c>
      <c r="F1897">
        <v>116</v>
      </c>
      <c r="G1897">
        <v>214</v>
      </c>
      <c r="H1897">
        <v>68</v>
      </c>
      <c r="I1897">
        <f>Inventory_Data[[#This Row],[Opening_Stock]]+Inventory_Data[[#This Row],[Units_Received]]-Inventory_Data[[#This Row],[Units_Sold]]</f>
        <v>262</v>
      </c>
      <c r="J1897">
        <v>0</v>
      </c>
      <c r="K1897">
        <v>2</v>
      </c>
      <c r="L1897" t="s">
        <v>36</v>
      </c>
      <c r="M1897" s="3">
        <v>8.6300000000000008</v>
      </c>
      <c r="N1897" s="3">
        <v>11.91</v>
      </c>
      <c r="O1897" s="10" t="str">
        <f>TEXT(Inventory_Data[[#This Row],[Date]],"mmm")</f>
        <v>Dec</v>
      </c>
    </row>
    <row r="1898" spans="1:15" x14ac:dyDescent="0.2">
      <c r="A1898" s="21">
        <v>46005</v>
      </c>
      <c r="B1898" s="5" t="s">
        <v>50</v>
      </c>
      <c r="C1898" t="s">
        <v>51</v>
      </c>
      <c r="D1898" t="s">
        <v>52</v>
      </c>
      <c r="E1898" t="s">
        <v>35</v>
      </c>
      <c r="F1898">
        <v>75</v>
      </c>
      <c r="G1898">
        <v>15</v>
      </c>
      <c r="H1898">
        <v>6</v>
      </c>
      <c r="I1898">
        <f>Inventory_Data[[#This Row],[Opening_Stock]]+Inventory_Data[[#This Row],[Units_Received]]-Inventory_Data[[#This Row],[Units_Sold]]</f>
        <v>84</v>
      </c>
      <c r="J1898">
        <v>0</v>
      </c>
      <c r="K1898">
        <v>3</v>
      </c>
      <c r="L1898" t="s">
        <v>53</v>
      </c>
      <c r="M1898" s="3">
        <v>140.13999999999999</v>
      </c>
      <c r="N1898" s="3">
        <v>211.95</v>
      </c>
      <c r="O1898" s="10" t="str">
        <f>TEXT(Inventory_Data[[#This Row],[Date]],"mmm")</f>
        <v>Dec</v>
      </c>
    </row>
    <row r="1899" spans="1:15" x14ac:dyDescent="0.2">
      <c r="A1899" s="21">
        <v>46005</v>
      </c>
      <c r="B1899" s="5" t="s">
        <v>158</v>
      </c>
      <c r="C1899" t="s">
        <v>159</v>
      </c>
      <c r="D1899" t="s">
        <v>52</v>
      </c>
      <c r="E1899" t="s">
        <v>35</v>
      </c>
      <c r="F1899">
        <v>59</v>
      </c>
      <c r="G1899">
        <v>22</v>
      </c>
      <c r="H1899">
        <v>5</v>
      </c>
      <c r="I1899">
        <f>Inventory_Data[[#This Row],[Opening_Stock]]+Inventory_Data[[#This Row],[Units_Received]]-Inventory_Data[[#This Row],[Units_Sold]]</f>
        <v>76</v>
      </c>
      <c r="J1899">
        <v>0</v>
      </c>
      <c r="K1899">
        <v>5</v>
      </c>
      <c r="L1899" t="s">
        <v>53</v>
      </c>
      <c r="M1899" s="3">
        <v>96.57</v>
      </c>
      <c r="N1899" s="3">
        <v>129.91999999999999</v>
      </c>
      <c r="O1899" s="10" t="str">
        <f>TEXT(Inventory_Data[[#This Row],[Date]],"mmm")</f>
        <v>Dec</v>
      </c>
    </row>
    <row r="1900" spans="1:15" x14ac:dyDescent="0.2">
      <c r="A1900" s="21">
        <v>46005</v>
      </c>
      <c r="B1900" s="5" t="s">
        <v>57</v>
      </c>
      <c r="C1900" t="s">
        <v>58</v>
      </c>
      <c r="D1900" t="s">
        <v>52</v>
      </c>
      <c r="E1900" t="s">
        <v>28</v>
      </c>
      <c r="F1900">
        <v>73</v>
      </c>
      <c r="G1900">
        <v>12</v>
      </c>
      <c r="H1900">
        <v>17</v>
      </c>
      <c r="I1900">
        <f>Inventory_Data[[#This Row],[Opening_Stock]]+Inventory_Data[[#This Row],[Units_Received]]-Inventory_Data[[#This Row],[Units_Sold]]</f>
        <v>68</v>
      </c>
      <c r="J1900">
        <v>0</v>
      </c>
      <c r="K1900">
        <v>10</v>
      </c>
      <c r="L1900" t="s">
        <v>83</v>
      </c>
      <c r="M1900" s="3">
        <v>285.97000000000003</v>
      </c>
      <c r="N1900" s="3">
        <v>441.06</v>
      </c>
      <c r="O1900" s="10" t="str">
        <f>TEXT(Inventory_Data[[#This Row],[Date]],"mmm")</f>
        <v>Dec</v>
      </c>
    </row>
    <row r="1901" spans="1:15" x14ac:dyDescent="0.2">
      <c r="A1901" s="21">
        <v>46005</v>
      </c>
      <c r="B1901" s="5" t="s">
        <v>37</v>
      </c>
      <c r="C1901" t="s">
        <v>38</v>
      </c>
      <c r="D1901" t="s">
        <v>34</v>
      </c>
      <c r="E1901" t="s">
        <v>21</v>
      </c>
      <c r="F1901">
        <v>232</v>
      </c>
      <c r="G1901">
        <v>36</v>
      </c>
      <c r="H1901">
        <v>169</v>
      </c>
      <c r="I1901">
        <f>Inventory_Data[[#This Row],[Opening_Stock]]+Inventory_Data[[#This Row],[Units_Received]]-Inventory_Data[[#This Row],[Units_Sold]]</f>
        <v>99</v>
      </c>
      <c r="J1901">
        <v>0</v>
      </c>
      <c r="K1901">
        <v>11</v>
      </c>
      <c r="L1901" t="s">
        <v>36</v>
      </c>
      <c r="M1901" s="3">
        <v>23.17</v>
      </c>
      <c r="N1901" s="3">
        <v>28.01</v>
      </c>
      <c r="O1901" s="10" t="str">
        <f>TEXT(Inventory_Data[[#This Row],[Date]],"mmm")</f>
        <v>Dec</v>
      </c>
    </row>
    <row r="1902" spans="1:15" x14ac:dyDescent="0.2">
      <c r="A1902" s="21">
        <v>46005</v>
      </c>
      <c r="B1902" s="5" t="s">
        <v>168</v>
      </c>
      <c r="C1902" t="s">
        <v>169</v>
      </c>
      <c r="D1902" t="s">
        <v>34</v>
      </c>
      <c r="E1902" t="s">
        <v>21</v>
      </c>
      <c r="F1902">
        <v>210</v>
      </c>
      <c r="G1902">
        <v>114</v>
      </c>
      <c r="H1902">
        <v>165</v>
      </c>
      <c r="I1902">
        <f>Inventory_Data[[#This Row],[Opening_Stock]]+Inventory_Data[[#This Row],[Units_Received]]-Inventory_Data[[#This Row],[Units_Sold]]</f>
        <v>159</v>
      </c>
      <c r="J1902">
        <v>0</v>
      </c>
      <c r="K1902">
        <v>12</v>
      </c>
      <c r="L1902" t="s">
        <v>42</v>
      </c>
      <c r="M1902" s="3">
        <v>6.9</v>
      </c>
      <c r="N1902" s="3">
        <v>10.06</v>
      </c>
      <c r="O1902" s="10" t="str">
        <f>TEXT(Inventory_Data[[#This Row],[Date]],"mmm")</f>
        <v>Dec</v>
      </c>
    </row>
    <row r="1903" spans="1:15" x14ac:dyDescent="0.2">
      <c r="A1903" s="21">
        <v>46006</v>
      </c>
      <c r="B1903" s="5" t="s">
        <v>166</v>
      </c>
      <c r="C1903" t="s">
        <v>167</v>
      </c>
      <c r="D1903" t="s">
        <v>16</v>
      </c>
      <c r="E1903" t="s">
        <v>35</v>
      </c>
      <c r="F1903">
        <v>72</v>
      </c>
      <c r="G1903">
        <v>48</v>
      </c>
      <c r="H1903">
        <v>69</v>
      </c>
      <c r="I1903">
        <f>Inventory_Data[[#This Row],[Opening_Stock]]+Inventory_Data[[#This Row],[Units_Received]]-Inventory_Data[[#This Row],[Units_Sold]]</f>
        <v>51</v>
      </c>
      <c r="J1903">
        <v>0</v>
      </c>
      <c r="K1903">
        <v>2</v>
      </c>
      <c r="L1903" t="s">
        <v>24</v>
      </c>
      <c r="M1903" s="3">
        <v>146.30000000000001</v>
      </c>
      <c r="N1903" s="3">
        <v>225.53</v>
      </c>
      <c r="O1903" s="10" t="str">
        <f>TEXT(Inventory_Data[[#This Row],[Date]],"mmm")</f>
        <v>Dec</v>
      </c>
    </row>
    <row r="1904" spans="1:15" x14ac:dyDescent="0.2">
      <c r="A1904" s="21">
        <v>46006</v>
      </c>
      <c r="B1904" s="5" t="s">
        <v>132</v>
      </c>
      <c r="C1904" t="s">
        <v>133</v>
      </c>
      <c r="D1904" t="s">
        <v>16</v>
      </c>
      <c r="E1904" t="s">
        <v>21</v>
      </c>
      <c r="F1904">
        <v>46</v>
      </c>
      <c r="G1904">
        <v>26</v>
      </c>
      <c r="H1904">
        <v>48</v>
      </c>
      <c r="I1904">
        <f>Inventory_Data[[#This Row],[Opening_Stock]]+Inventory_Data[[#This Row],[Units_Received]]-Inventory_Data[[#This Row],[Units_Sold]]</f>
        <v>24</v>
      </c>
      <c r="J1904">
        <v>0</v>
      </c>
      <c r="K1904">
        <v>10</v>
      </c>
      <c r="L1904" t="s">
        <v>18</v>
      </c>
      <c r="M1904" s="3">
        <v>93.5</v>
      </c>
      <c r="N1904" s="3">
        <v>115.83</v>
      </c>
      <c r="O1904" s="10" t="str">
        <f>TEXT(Inventory_Data[[#This Row],[Date]],"mmm")</f>
        <v>Dec</v>
      </c>
    </row>
    <row r="1905" spans="1:15" x14ac:dyDescent="0.2">
      <c r="A1905" s="21">
        <v>46006</v>
      </c>
      <c r="B1905" s="5" t="s">
        <v>94</v>
      </c>
      <c r="C1905" t="s">
        <v>95</v>
      </c>
      <c r="D1905" t="s">
        <v>16</v>
      </c>
      <c r="E1905" t="s">
        <v>21</v>
      </c>
      <c r="F1905">
        <v>46</v>
      </c>
      <c r="G1905">
        <v>19</v>
      </c>
      <c r="H1905">
        <v>65</v>
      </c>
      <c r="I1905">
        <f>Inventory_Data[[#This Row],[Opening_Stock]]+Inventory_Data[[#This Row],[Units_Received]]-Inventory_Data[[#This Row],[Units_Sold]]</f>
        <v>0</v>
      </c>
      <c r="J1905">
        <v>1</v>
      </c>
      <c r="K1905">
        <v>2</v>
      </c>
      <c r="L1905" t="s">
        <v>45</v>
      </c>
      <c r="M1905" s="3">
        <v>152.77000000000001</v>
      </c>
      <c r="N1905" s="3">
        <v>211.35</v>
      </c>
      <c r="O1905" s="10" t="str">
        <f>TEXT(Inventory_Data[[#This Row],[Date]],"mmm")</f>
        <v>Dec</v>
      </c>
    </row>
    <row r="1906" spans="1:15" x14ac:dyDescent="0.2">
      <c r="A1906" s="21">
        <v>46006</v>
      </c>
      <c r="B1906" s="5" t="s">
        <v>184</v>
      </c>
      <c r="C1906" t="s">
        <v>185</v>
      </c>
      <c r="D1906" t="s">
        <v>16</v>
      </c>
      <c r="E1906" t="s">
        <v>28</v>
      </c>
      <c r="F1906">
        <v>133</v>
      </c>
      <c r="G1906">
        <v>87</v>
      </c>
      <c r="H1906">
        <v>6</v>
      </c>
      <c r="I1906">
        <f>Inventory_Data[[#This Row],[Opening_Stock]]+Inventory_Data[[#This Row],[Units_Received]]-Inventory_Data[[#This Row],[Units_Sold]]</f>
        <v>214</v>
      </c>
      <c r="J1906">
        <v>0</v>
      </c>
      <c r="K1906">
        <v>10</v>
      </c>
      <c r="L1906" t="s">
        <v>45</v>
      </c>
      <c r="M1906" s="3">
        <v>123.89</v>
      </c>
      <c r="N1906" s="3">
        <v>188.89</v>
      </c>
      <c r="O1906" s="10" t="str">
        <f>TEXT(Inventory_Data[[#This Row],[Date]],"mmm")</f>
        <v>Dec</v>
      </c>
    </row>
    <row r="1907" spans="1:15" x14ac:dyDescent="0.2">
      <c r="A1907" s="21">
        <v>46006</v>
      </c>
      <c r="B1907" s="5" t="s">
        <v>188</v>
      </c>
      <c r="C1907" t="s">
        <v>189</v>
      </c>
      <c r="D1907" t="s">
        <v>27</v>
      </c>
      <c r="E1907" t="s">
        <v>17</v>
      </c>
      <c r="F1907">
        <v>392</v>
      </c>
      <c r="G1907">
        <v>91</v>
      </c>
      <c r="H1907">
        <v>156</v>
      </c>
      <c r="I1907">
        <f>Inventory_Data[[#This Row],[Opening_Stock]]+Inventory_Data[[#This Row],[Units_Received]]-Inventory_Data[[#This Row],[Units_Sold]]</f>
        <v>327</v>
      </c>
      <c r="J1907">
        <v>0</v>
      </c>
      <c r="K1907">
        <v>6</v>
      </c>
      <c r="L1907" t="s">
        <v>29</v>
      </c>
      <c r="M1907" s="3">
        <v>24.92</v>
      </c>
      <c r="N1907" s="3">
        <v>36.590000000000003</v>
      </c>
      <c r="O1907" s="10" t="str">
        <f>TEXT(Inventory_Data[[#This Row],[Date]],"mmm")</f>
        <v>Dec</v>
      </c>
    </row>
    <row r="1908" spans="1:15" x14ac:dyDescent="0.2">
      <c r="A1908" s="21">
        <v>46006</v>
      </c>
      <c r="B1908" s="5" t="s">
        <v>114</v>
      </c>
      <c r="C1908" t="s">
        <v>115</v>
      </c>
      <c r="D1908" t="s">
        <v>27</v>
      </c>
      <c r="E1908" t="s">
        <v>21</v>
      </c>
      <c r="F1908">
        <v>438</v>
      </c>
      <c r="G1908">
        <v>165</v>
      </c>
      <c r="H1908">
        <v>174</v>
      </c>
      <c r="I1908">
        <f>Inventory_Data[[#This Row],[Opening_Stock]]+Inventory_Data[[#This Row],[Units_Received]]-Inventory_Data[[#This Row],[Units_Sold]]</f>
        <v>429</v>
      </c>
      <c r="J1908">
        <v>0</v>
      </c>
      <c r="K1908">
        <v>6</v>
      </c>
      <c r="L1908" t="s">
        <v>80</v>
      </c>
      <c r="M1908" s="3">
        <v>12.59</v>
      </c>
      <c r="N1908" s="3">
        <v>16.940000000000001</v>
      </c>
      <c r="O1908" s="10" t="str">
        <f>TEXT(Inventory_Data[[#This Row],[Date]],"mmm")</f>
        <v>Dec</v>
      </c>
    </row>
    <row r="1909" spans="1:15" x14ac:dyDescent="0.2">
      <c r="A1909" s="21">
        <v>46006</v>
      </c>
      <c r="B1909" s="5" t="s">
        <v>50</v>
      </c>
      <c r="C1909" t="s">
        <v>51</v>
      </c>
      <c r="D1909" t="s">
        <v>52</v>
      </c>
      <c r="E1909" t="s">
        <v>17</v>
      </c>
      <c r="F1909">
        <v>75</v>
      </c>
      <c r="G1909">
        <v>24</v>
      </c>
      <c r="H1909">
        <v>8</v>
      </c>
      <c r="I1909">
        <f>Inventory_Data[[#This Row],[Opening_Stock]]+Inventory_Data[[#This Row],[Units_Received]]-Inventory_Data[[#This Row],[Units_Sold]]</f>
        <v>91</v>
      </c>
      <c r="J1909">
        <v>0</v>
      </c>
      <c r="K1909">
        <v>12</v>
      </c>
      <c r="L1909" t="s">
        <v>83</v>
      </c>
      <c r="M1909" s="3">
        <v>107.49</v>
      </c>
      <c r="N1909" s="3">
        <v>134.18</v>
      </c>
      <c r="O1909" s="10" t="str">
        <f>TEXT(Inventory_Data[[#This Row],[Date]],"mmm")</f>
        <v>Dec</v>
      </c>
    </row>
    <row r="1910" spans="1:15" x14ac:dyDescent="0.2">
      <c r="A1910" s="21">
        <v>46006</v>
      </c>
      <c r="B1910" s="5" t="s">
        <v>100</v>
      </c>
      <c r="C1910" t="s">
        <v>101</v>
      </c>
      <c r="D1910" t="s">
        <v>52</v>
      </c>
      <c r="E1910" t="s">
        <v>21</v>
      </c>
      <c r="F1910">
        <v>57</v>
      </c>
      <c r="G1910">
        <v>21</v>
      </c>
      <c r="H1910">
        <v>8</v>
      </c>
      <c r="I1910">
        <f>Inventory_Data[[#This Row],[Opening_Stock]]+Inventory_Data[[#This Row],[Units_Received]]-Inventory_Data[[#This Row],[Units_Sold]]</f>
        <v>70</v>
      </c>
      <c r="J1910">
        <v>0</v>
      </c>
      <c r="K1910">
        <v>13</v>
      </c>
      <c r="L1910" t="s">
        <v>56</v>
      </c>
      <c r="M1910" s="3">
        <v>160.54</v>
      </c>
      <c r="N1910" s="3">
        <v>199.33</v>
      </c>
      <c r="O1910" s="10" t="str">
        <f>TEXT(Inventory_Data[[#This Row],[Date]],"mmm")</f>
        <v>Dec</v>
      </c>
    </row>
    <row r="1911" spans="1:15" x14ac:dyDescent="0.2">
      <c r="A1911" s="21">
        <v>46006</v>
      </c>
      <c r="B1911" s="5" t="s">
        <v>116</v>
      </c>
      <c r="C1911" t="s">
        <v>117</v>
      </c>
      <c r="D1911" t="s">
        <v>52</v>
      </c>
      <c r="E1911" t="s">
        <v>21</v>
      </c>
      <c r="F1911">
        <v>27</v>
      </c>
      <c r="G1911">
        <v>7</v>
      </c>
      <c r="H1911">
        <v>14</v>
      </c>
      <c r="I1911">
        <f>Inventory_Data[[#This Row],[Opening_Stock]]+Inventory_Data[[#This Row],[Units_Received]]-Inventory_Data[[#This Row],[Units_Sold]]</f>
        <v>20</v>
      </c>
      <c r="J1911">
        <v>0</v>
      </c>
      <c r="K1911">
        <v>8</v>
      </c>
      <c r="L1911" t="s">
        <v>56</v>
      </c>
      <c r="M1911" s="3">
        <v>213.84</v>
      </c>
      <c r="N1911" s="3">
        <v>326.68</v>
      </c>
      <c r="O1911" s="10" t="str">
        <f>TEXT(Inventory_Data[[#This Row],[Date]],"mmm")</f>
        <v>Dec</v>
      </c>
    </row>
    <row r="1912" spans="1:15" x14ac:dyDescent="0.2">
      <c r="A1912" s="21">
        <v>46006</v>
      </c>
      <c r="B1912" s="5" t="s">
        <v>124</v>
      </c>
      <c r="C1912" t="s">
        <v>125</v>
      </c>
      <c r="D1912" t="s">
        <v>52</v>
      </c>
      <c r="E1912" t="s">
        <v>28</v>
      </c>
      <c r="F1912">
        <v>48</v>
      </c>
      <c r="G1912">
        <v>25</v>
      </c>
      <c r="H1912">
        <v>16</v>
      </c>
      <c r="I1912">
        <f>Inventory_Data[[#This Row],[Opening_Stock]]+Inventory_Data[[#This Row],[Units_Received]]-Inventory_Data[[#This Row],[Units_Sold]]</f>
        <v>57</v>
      </c>
      <c r="J1912">
        <v>0</v>
      </c>
      <c r="K1912">
        <v>2</v>
      </c>
      <c r="L1912" t="s">
        <v>53</v>
      </c>
      <c r="M1912" s="3">
        <v>299.79000000000002</v>
      </c>
      <c r="N1912" s="3">
        <v>440.58</v>
      </c>
      <c r="O1912" s="10" t="str">
        <f>TEXT(Inventory_Data[[#This Row],[Date]],"mmm")</f>
        <v>Dec</v>
      </c>
    </row>
    <row r="1913" spans="1:15" x14ac:dyDescent="0.2">
      <c r="A1913" s="21">
        <v>46006</v>
      </c>
      <c r="B1913" s="5" t="s">
        <v>43</v>
      </c>
      <c r="C1913" t="s">
        <v>44</v>
      </c>
      <c r="D1913" t="s">
        <v>34</v>
      </c>
      <c r="E1913" t="s">
        <v>21</v>
      </c>
      <c r="F1913">
        <v>367</v>
      </c>
      <c r="G1913">
        <v>193</v>
      </c>
      <c r="H1913">
        <v>83</v>
      </c>
      <c r="I1913">
        <f>Inventory_Data[[#This Row],[Opening_Stock]]+Inventory_Data[[#This Row],[Units_Received]]-Inventory_Data[[#This Row],[Units_Sold]]</f>
        <v>477</v>
      </c>
      <c r="J1913">
        <v>0</v>
      </c>
      <c r="K1913">
        <v>4</v>
      </c>
      <c r="L1913" t="s">
        <v>39</v>
      </c>
      <c r="M1913" s="3">
        <v>28.02</v>
      </c>
      <c r="N1913" s="3">
        <v>40.159999999999997</v>
      </c>
      <c r="O1913" s="10" t="str">
        <f>TEXT(Inventory_Data[[#This Row],[Date]],"mmm")</f>
        <v>Dec</v>
      </c>
    </row>
    <row r="1914" spans="1:15" x14ac:dyDescent="0.2">
      <c r="A1914" s="21">
        <v>46007</v>
      </c>
      <c r="B1914" s="5" t="s">
        <v>106</v>
      </c>
      <c r="C1914" t="s">
        <v>107</v>
      </c>
      <c r="D1914" t="s">
        <v>16</v>
      </c>
      <c r="E1914" t="s">
        <v>21</v>
      </c>
      <c r="F1914">
        <v>162</v>
      </c>
      <c r="G1914">
        <v>85</v>
      </c>
      <c r="H1914">
        <v>26</v>
      </c>
      <c r="I1914">
        <f>Inventory_Data[[#This Row],[Opening_Stock]]+Inventory_Data[[#This Row],[Units_Received]]-Inventory_Data[[#This Row],[Units_Sold]]</f>
        <v>221</v>
      </c>
      <c r="J1914">
        <v>0</v>
      </c>
      <c r="K1914">
        <v>7</v>
      </c>
      <c r="L1914" t="s">
        <v>24</v>
      </c>
      <c r="M1914" s="3">
        <v>133.84</v>
      </c>
      <c r="N1914" s="3">
        <v>178.16</v>
      </c>
      <c r="O1914" s="10" t="str">
        <f>TEXT(Inventory_Data[[#This Row],[Date]],"mmm")</f>
        <v>Dec</v>
      </c>
    </row>
    <row r="1915" spans="1:15" x14ac:dyDescent="0.2">
      <c r="A1915" s="21">
        <v>46007</v>
      </c>
      <c r="B1915" s="5" t="s">
        <v>14</v>
      </c>
      <c r="C1915" t="s">
        <v>15</v>
      </c>
      <c r="D1915" t="s">
        <v>16</v>
      </c>
      <c r="E1915" t="s">
        <v>21</v>
      </c>
      <c r="F1915">
        <v>57</v>
      </c>
      <c r="G1915">
        <v>28</v>
      </c>
      <c r="H1915">
        <v>18</v>
      </c>
      <c r="I1915">
        <f>Inventory_Data[[#This Row],[Opening_Stock]]+Inventory_Data[[#This Row],[Units_Received]]-Inventory_Data[[#This Row],[Units_Sold]]</f>
        <v>67</v>
      </c>
      <c r="J1915">
        <v>0</v>
      </c>
      <c r="K1915">
        <v>6</v>
      </c>
      <c r="L1915" t="s">
        <v>18</v>
      </c>
      <c r="M1915" s="3">
        <v>27.27</v>
      </c>
      <c r="N1915" s="3">
        <v>41.85</v>
      </c>
      <c r="O1915" s="10" t="str">
        <f>TEXT(Inventory_Data[[#This Row],[Date]],"mmm")</f>
        <v>Dec</v>
      </c>
    </row>
    <row r="1916" spans="1:15" x14ac:dyDescent="0.2">
      <c r="A1916" s="21">
        <v>46007</v>
      </c>
      <c r="B1916" s="5" t="s">
        <v>22</v>
      </c>
      <c r="C1916" t="s">
        <v>23</v>
      </c>
      <c r="D1916" t="s">
        <v>16</v>
      </c>
      <c r="E1916" t="s">
        <v>21</v>
      </c>
      <c r="F1916">
        <v>111</v>
      </c>
      <c r="G1916">
        <v>62</v>
      </c>
      <c r="H1916">
        <v>65</v>
      </c>
      <c r="I1916">
        <f>Inventory_Data[[#This Row],[Opening_Stock]]+Inventory_Data[[#This Row],[Units_Received]]-Inventory_Data[[#This Row],[Units_Sold]]</f>
        <v>108</v>
      </c>
      <c r="J1916">
        <v>0</v>
      </c>
      <c r="K1916">
        <v>7</v>
      </c>
      <c r="L1916" t="s">
        <v>18</v>
      </c>
      <c r="M1916" s="3">
        <v>100.88</v>
      </c>
      <c r="N1916" s="3">
        <v>147.32</v>
      </c>
      <c r="O1916" s="10" t="str">
        <f>TEXT(Inventory_Data[[#This Row],[Date]],"mmm")</f>
        <v>Dec</v>
      </c>
    </row>
    <row r="1917" spans="1:15" x14ac:dyDescent="0.2">
      <c r="A1917" s="21">
        <v>46007</v>
      </c>
      <c r="B1917" s="5" t="s">
        <v>158</v>
      </c>
      <c r="C1917" t="s">
        <v>159</v>
      </c>
      <c r="D1917" t="s">
        <v>52</v>
      </c>
      <c r="E1917" t="s">
        <v>21</v>
      </c>
      <c r="F1917">
        <v>40</v>
      </c>
      <c r="G1917">
        <v>25</v>
      </c>
      <c r="H1917">
        <v>10</v>
      </c>
      <c r="I1917">
        <f>Inventory_Data[[#This Row],[Opening_Stock]]+Inventory_Data[[#This Row],[Units_Received]]-Inventory_Data[[#This Row],[Units_Sold]]</f>
        <v>55</v>
      </c>
      <c r="J1917">
        <v>0</v>
      </c>
      <c r="K1917">
        <v>2</v>
      </c>
      <c r="L1917" t="s">
        <v>56</v>
      </c>
      <c r="M1917" s="3">
        <v>193.74</v>
      </c>
      <c r="N1917" s="3">
        <v>240.96</v>
      </c>
      <c r="O1917" s="10" t="str">
        <f>TEXT(Inventory_Data[[#This Row],[Date]],"mmm")</f>
        <v>Dec</v>
      </c>
    </row>
    <row r="1918" spans="1:15" x14ac:dyDescent="0.2">
      <c r="A1918" s="21">
        <v>46007</v>
      </c>
      <c r="B1918" s="5" t="s">
        <v>110</v>
      </c>
      <c r="C1918" t="s">
        <v>111</v>
      </c>
      <c r="D1918" t="s">
        <v>52</v>
      </c>
      <c r="E1918" t="s">
        <v>21</v>
      </c>
      <c r="F1918">
        <v>56</v>
      </c>
      <c r="G1918">
        <v>5</v>
      </c>
      <c r="H1918">
        <v>11</v>
      </c>
      <c r="I1918">
        <f>Inventory_Data[[#This Row],[Opening_Stock]]+Inventory_Data[[#This Row],[Units_Received]]-Inventory_Data[[#This Row],[Units_Sold]]</f>
        <v>50</v>
      </c>
      <c r="J1918">
        <v>0</v>
      </c>
      <c r="K1918">
        <v>6</v>
      </c>
      <c r="L1918" t="s">
        <v>83</v>
      </c>
      <c r="M1918" s="3">
        <v>183.62</v>
      </c>
      <c r="N1918" s="3">
        <v>280.29000000000002</v>
      </c>
      <c r="O1918" s="10" t="str">
        <f>TEXT(Inventory_Data[[#This Row],[Date]],"mmm")</f>
        <v>Dec</v>
      </c>
    </row>
    <row r="1919" spans="1:15" x14ac:dyDescent="0.2">
      <c r="A1919" s="21">
        <v>46007</v>
      </c>
      <c r="B1919" s="5" t="s">
        <v>57</v>
      </c>
      <c r="C1919" t="s">
        <v>58</v>
      </c>
      <c r="D1919" t="s">
        <v>52</v>
      </c>
      <c r="E1919" t="s">
        <v>21</v>
      </c>
      <c r="F1919">
        <v>33</v>
      </c>
      <c r="G1919">
        <v>5</v>
      </c>
      <c r="H1919">
        <v>16</v>
      </c>
      <c r="I1919">
        <f>Inventory_Data[[#This Row],[Opening_Stock]]+Inventory_Data[[#This Row],[Units_Received]]-Inventory_Data[[#This Row],[Units_Sold]]</f>
        <v>22</v>
      </c>
      <c r="J1919">
        <v>0</v>
      </c>
      <c r="K1919">
        <v>9</v>
      </c>
      <c r="L1919" t="s">
        <v>53</v>
      </c>
      <c r="M1919" s="3">
        <v>72.650000000000006</v>
      </c>
      <c r="N1919" s="3">
        <v>102.32</v>
      </c>
      <c r="O1919" s="10" t="str">
        <f>TEXT(Inventory_Data[[#This Row],[Date]],"mmm")</f>
        <v>Dec</v>
      </c>
    </row>
    <row r="1920" spans="1:15" x14ac:dyDescent="0.2">
      <c r="A1920" s="21">
        <v>46008</v>
      </c>
      <c r="B1920" s="5" t="s">
        <v>64</v>
      </c>
      <c r="C1920" t="s">
        <v>65</v>
      </c>
      <c r="D1920" t="s">
        <v>27</v>
      </c>
      <c r="E1920" t="s">
        <v>21</v>
      </c>
      <c r="F1920">
        <v>487</v>
      </c>
      <c r="G1920">
        <v>90</v>
      </c>
      <c r="H1920">
        <v>29</v>
      </c>
      <c r="I1920">
        <f>Inventory_Data[[#This Row],[Opening_Stock]]+Inventory_Data[[#This Row],[Units_Received]]-Inventory_Data[[#This Row],[Units_Sold]]</f>
        <v>548</v>
      </c>
      <c r="J1920">
        <v>0</v>
      </c>
      <c r="K1920">
        <v>5</v>
      </c>
      <c r="L1920" t="s">
        <v>80</v>
      </c>
      <c r="M1920" s="3">
        <v>13.91</v>
      </c>
      <c r="N1920" s="3">
        <v>19.41</v>
      </c>
      <c r="O1920" s="10" t="str">
        <f>TEXT(Inventory_Data[[#This Row],[Date]],"mmm")</f>
        <v>Dec</v>
      </c>
    </row>
    <row r="1921" spans="1:15" x14ac:dyDescent="0.2">
      <c r="A1921" s="21">
        <v>46008</v>
      </c>
      <c r="B1921" s="5" t="s">
        <v>174</v>
      </c>
      <c r="C1921" t="s">
        <v>175</v>
      </c>
      <c r="D1921" t="s">
        <v>52</v>
      </c>
      <c r="E1921" t="s">
        <v>17</v>
      </c>
      <c r="F1921">
        <v>61</v>
      </c>
      <c r="G1921">
        <v>7</v>
      </c>
      <c r="H1921">
        <v>10</v>
      </c>
      <c r="I1921">
        <f>Inventory_Data[[#This Row],[Opening_Stock]]+Inventory_Data[[#This Row],[Units_Received]]-Inventory_Data[[#This Row],[Units_Sold]]</f>
        <v>58</v>
      </c>
      <c r="J1921">
        <v>0</v>
      </c>
      <c r="K1921">
        <v>6</v>
      </c>
      <c r="L1921" t="s">
        <v>53</v>
      </c>
      <c r="M1921" s="3">
        <v>335.77</v>
      </c>
      <c r="N1921" s="3">
        <v>404.02</v>
      </c>
      <c r="O1921" s="10" t="str">
        <f>TEXT(Inventory_Data[[#This Row],[Date]],"mmm")</f>
        <v>Dec</v>
      </c>
    </row>
    <row r="1922" spans="1:15" x14ac:dyDescent="0.2">
      <c r="A1922" s="21">
        <v>46009</v>
      </c>
      <c r="B1922" s="5" t="s">
        <v>184</v>
      </c>
      <c r="C1922" t="s">
        <v>185</v>
      </c>
      <c r="D1922" t="s">
        <v>16</v>
      </c>
      <c r="E1922" t="s">
        <v>21</v>
      </c>
      <c r="F1922">
        <v>166</v>
      </c>
      <c r="G1922">
        <v>80</v>
      </c>
      <c r="H1922">
        <v>69</v>
      </c>
      <c r="I1922">
        <f>Inventory_Data[[#This Row],[Opening_Stock]]+Inventory_Data[[#This Row],[Units_Received]]-Inventory_Data[[#This Row],[Units_Sold]]</f>
        <v>177</v>
      </c>
      <c r="J1922">
        <v>0</v>
      </c>
      <c r="K1922">
        <v>6</v>
      </c>
      <c r="L1922" t="s">
        <v>45</v>
      </c>
      <c r="M1922" s="3">
        <v>87.48</v>
      </c>
      <c r="N1922" s="3">
        <v>117.48</v>
      </c>
      <c r="O1922" s="10" t="str">
        <f>TEXT(Inventory_Data[[#This Row],[Date]],"mmm")</f>
        <v>Dec</v>
      </c>
    </row>
    <row r="1923" spans="1:15" x14ac:dyDescent="0.2">
      <c r="A1923" s="21">
        <v>46009</v>
      </c>
      <c r="B1923" s="5" t="s">
        <v>61</v>
      </c>
      <c r="C1923" t="s">
        <v>62</v>
      </c>
      <c r="D1923" t="s">
        <v>48</v>
      </c>
      <c r="E1923" t="s">
        <v>35</v>
      </c>
      <c r="F1923">
        <v>205</v>
      </c>
      <c r="G1923">
        <v>137</v>
      </c>
      <c r="H1923">
        <v>126</v>
      </c>
      <c r="I1923">
        <f>Inventory_Data[[#This Row],[Opening_Stock]]+Inventory_Data[[#This Row],[Units_Received]]-Inventory_Data[[#This Row],[Units_Sold]]</f>
        <v>216</v>
      </c>
      <c r="J1923">
        <v>0</v>
      </c>
      <c r="K1923">
        <v>6</v>
      </c>
      <c r="L1923" t="s">
        <v>49</v>
      </c>
      <c r="M1923" s="3">
        <v>43.67</v>
      </c>
      <c r="N1923" s="3">
        <v>55.33</v>
      </c>
      <c r="O1923" s="10" t="str">
        <f>TEXT(Inventory_Data[[#This Row],[Date]],"mmm")</f>
        <v>Dec</v>
      </c>
    </row>
    <row r="1924" spans="1:15" x14ac:dyDescent="0.2">
      <c r="A1924" s="21">
        <v>46009</v>
      </c>
      <c r="B1924" s="5" t="s">
        <v>172</v>
      </c>
      <c r="C1924" t="s">
        <v>173</v>
      </c>
      <c r="D1924" t="s">
        <v>27</v>
      </c>
      <c r="E1924" t="s">
        <v>35</v>
      </c>
      <c r="F1924">
        <v>226</v>
      </c>
      <c r="G1924">
        <v>110</v>
      </c>
      <c r="H1924">
        <v>178</v>
      </c>
      <c r="I1924">
        <f>Inventory_Data[[#This Row],[Opening_Stock]]+Inventory_Data[[#This Row],[Units_Received]]-Inventory_Data[[#This Row],[Units_Sold]]</f>
        <v>158</v>
      </c>
      <c r="J1924">
        <v>0</v>
      </c>
      <c r="K1924">
        <v>2</v>
      </c>
      <c r="L1924" t="s">
        <v>29</v>
      </c>
      <c r="M1924" s="3">
        <v>14.36</v>
      </c>
      <c r="N1924" s="3">
        <v>22.23</v>
      </c>
      <c r="O1924" s="10" t="str">
        <f>TEXT(Inventory_Data[[#This Row],[Date]],"mmm")</f>
        <v>Dec</v>
      </c>
    </row>
    <row r="1925" spans="1:15" x14ac:dyDescent="0.2">
      <c r="A1925" s="21">
        <v>46009</v>
      </c>
      <c r="B1925" s="5" t="s">
        <v>160</v>
      </c>
      <c r="C1925" t="s">
        <v>161</v>
      </c>
      <c r="D1925" t="s">
        <v>27</v>
      </c>
      <c r="E1925" t="s">
        <v>17</v>
      </c>
      <c r="F1925">
        <v>327</v>
      </c>
      <c r="G1925">
        <v>170</v>
      </c>
      <c r="H1925">
        <v>219</v>
      </c>
      <c r="I1925">
        <f>Inventory_Data[[#This Row],[Opening_Stock]]+Inventory_Data[[#This Row],[Units_Received]]-Inventory_Data[[#This Row],[Units_Sold]]</f>
        <v>278</v>
      </c>
      <c r="J1925">
        <v>0</v>
      </c>
      <c r="K1925">
        <v>4</v>
      </c>
      <c r="L1925" t="s">
        <v>80</v>
      </c>
      <c r="M1925" s="3">
        <v>14.39</v>
      </c>
      <c r="N1925" s="3">
        <v>19.41</v>
      </c>
      <c r="O1925" s="10" t="str">
        <f>TEXT(Inventory_Data[[#This Row],[Date]],"mmm")</f>
        <v>Dec</v>
      </c>
    </row>
    <row r="1926" spans="1:15" x14ac:dyDescent="0.2">
      <c r="A1926" s="21">
        <v>46009</v>
      </c>
      <c r="B1926" s="5" t="s">
        <v>180</v>
      </c>
      <c r="C1926" t="s">
        <v>181</v>
      </c>
      <c r="D1926" t="s">
        <v>34</v>
      </c>
      <c r="E1926" t="s">
        <v>35</v>
      </c>
      <c r="F1926">
        <v>213</v>
      </c>
      <c r="G1926">
        <v>47</v>
      </c>
      <c r="H1926">
        <v>110</v>
      </c>
      <c r="I1926">
        <f>Inventory_Data[[#This Row],[Opening_Stock]]+Inventory_Data[[#This Row],[Units_Received]]-Inventory_Data[[#This Row],[Units_Sold]]</f>
        <v>150</v>
      </c>
      <c r="J1926">
        <v>0</v>
      </c>
      <c r="K1926">
        <v>7</v>
      </c>
      <c r="L1926" t="s">
        <v>36</v>
      </c>
      <c r="M1926" s="3">
        <v>21.5</v>
      </c>
      <c r="N1926" s="3">
        <v>25.26</v>
      </c>
      <c r="O1926" s="10" t="str">
        <f>TEXT(Inventory_Data[[#This Row],[Date]],"mmm")</f>
        <v>Dec</v>
      </c>
    </row>
    <row r="1927" spans="1:15" x14ac:dyDescent="0.2">
      <c r="A1927" s="21">
        <v>46010</v>
      </c>
      <c r="B1927" s="5" t="s">
        <v>164</v>
      </c>
      <c r="C1927" t="s">
        <v>165</v>
      </c>
      <c r="D1927" t="s">
        <v>48</v>
      </c>
      <c r="E1927" t="s">
        <v>21</v>
      </c>
      <c r="F1927">
        <v>41</v>
      </c>
      <c r="G1927">
        <v>123</v>
      </c>
      <c r="H1927">
        <v>93</v>
      </c>
      <c r="I1927">
        <f>Inventory_Data[[#This Row],[Opening_Stock]]+Inventory_Data[[#This Row],[Units_Received]]-Inventory_Data[[#This Row],[Units_Sold]]</f>
        <v>71</v>
      </c>
      <c r="J1927">
        <v>0</v>
      </c>
      <c r="K1927">
        <v>3</v>
      </c>
      <c r="L1927" t="s">
        <v>63</v>
      </c>
      <c r="M1927" s="3">
        <v>50.74</v>
      </c>
      <c r="N1927" s="3">
        <v>61.39</v>
      </c>
      <c r="O1927" s="10" t="str">
        <f>TEXT(Inventory_Data[[#This Row],[Date]],"mmm")</f>
        <v>Dec</v>
      </c>
    </row>
    <row r="1928" spans="1:15" x14ac:dyDescent="0.2">
      <c r="A1928" s="21">
        <v>46010</v>
      </c>
      <c r="B1928" s="5" t="s">
        <v>164</v>
      </c>
      <c r="C1928" t="s">
        <v>165</v>
      </c>
      <c r="D1928" t="s">
        <v>48</v>
      </c>
      <c r="E1928" t="s">
        <v>17</v>
      </c>
      <c r="F1928">
        <v>242</v>
      </c>
      <c r="G1928">
        <v>115</v>
      </c>
      <c r="H1928">
        <v>126</v>
      </c>
      <c r="I1928">
        <f>Inventory_Data[[#This Row],[Opening_Stock]]+Inventory_Data[[#This Row],[Units_Received]]-Inventory_Data[[#This Row],[Units_Sold]]</f>
        <v>231</v>
      </c>
      <c r="J1928">
        <v>0</v>
      </c>
      <c r="K1928">
        <v>9</v>
      </c>
      <c r="L1928" t="s">
        <v>49</v>
      </c>
      <c r="M1928" s="3">
        <v>67.209999999999994</v>
      </c>
      <c r="N1928" s="3">
        <v>95.21</v>
      </c>
      <c r="O1928" s="10" t="str">
        <f>TEXT(Inventory_Data[[#This Row],[Date]],"mmm")</f>
        <v>Dec</v>
      </c>
    </row>
    <row r="1929" spans="1:15" x14ac:dyDescent="0.2">
      <c r="A1929" s="21">
        <v>46010</v>
      </c>
      <c r="B1929" s="5" t="s">
        <v>54</v>
      </c>
      <c r="C1929" t="s">
        <v>55</v>
      </c>
      <c r="D1929" t="s">
        <v>52</v>
      </c>
      <c r="E1929" t="s">
        <v>17</v>
      </c>
      <c r="F1929">
        <v>79</v>
      </c>
      <c r="G1929">
        <v>18</v>
      </c>
      <c r="H1929">
        <v>11</v>
      </c>
      <c r="I1929">
        <f>Inventory_Data[[#This Row],[Opening_Stock]]+Inventory_Data[[#This Row],[Units_Received]]-Inventory_Data[[#This Row],[Units_Sold]]</f>
        <v>86</v>
      </c>
      <c r="J1929">
        <v>0</v>
      </c>
      <c r="K1929">
        <v>5</v>
      </c>
      <c r="L1929" t="s">
        <v>83</v>
      </c>
      <c r="M1929" s="3">
        <v>287.45</v>
      </c>
      <c r="N1929" s="3">
        <v>389.06</v>
      </c>
      <c r="O1929" s="10" t="str">
        <f>TEXT(Inventory_Data[[#This Row],[Date]],"mmm")</f>
        <v>Dec</v>
      </c>
    </row>
    <row r="1930" spans="1:15" x14ac:dyDescent="0.2">
      <c r="A1930" s="21">
        <v>46010</v>
      </c>
      <c r="B1930" s="5" t="s">
        <v>67</v>
      </c>
      <c r="C1930" t="s">
        <v>68</v>
      </c>
      <c r="D1930" t="s">
        <v>52</v>
      </c>
      <c r="E1930" t="s">
        <v>17</v>
      </c>
      <c r="F1930">
        <v>56</v>
      </c>
      <c r="G1930">
        <v>4</v>
      </c>
      <c r="H1930">
        <v>10</v>
      </c>
      <c r="I1930">
        <f>Inventory_Data[[#This Row],[Opening_Stock]]+Inventory_Data[[#This Row],[Units_Received]]-Inventory_Data[[#This Row],[Units_Sold]]</f>
        <v>50</v>
      </c>
      <c r="J1930">
        <v>0</v>
      </c>
      <c r="K1930">
        <v>10</v>
      </c>
      <c r="L1930" t="s">
        <v>56</v>
      </c>
      <c r="M1930" s="3">
        <v>286.39999999999998</v>
      </c>
      <c r="N1930" s="3">
        <v>432.38</v>
      </c>
      <c r="O1930" s="10" t="str">
        <f>TEXT(Inventory_Data[[#This Row],[Date]],"mmm")</f>
        <v>Dec</v>
      </c>
    </row>
    <row r="1931" spans="1:15" x14ac:dyDescent="0.2">
      <c r="A1931" s="21">
        <v>46010</v>
      </c>
      <c r="B1931" s="5" t="s">
        <v>102</v>
      </c>
      <c r="C1931" t="s">
        <v>103</v>
      </c>
      <c r="D1931" t="s">
        <v>52</v>
      </c>
      <c r="E1931" t="s">
        <v>21</v>
      </c>
      <c r="F1931">
        <v>52</v>
      </c>
      <c r="G1931">
        <v>19</v>
      </c>
      <c r="H1931">
        <v>8</v>
      </c>
      <c r="I1931">
        <f>Inventory_Data[[#This Row],[Opening_Stock]]+Inventory_Data[[#This Row],[Units_Received]]-Inventory_Data[[#This Row],[Units_Sold]]</f>
        <v>63</v>
      </c>
      <c r="J1931">
        <v>0</v>
      </c>
      <c r="K1931">
        <v>10</v>
      </c>
      <c r="L1931" t="s">
        <v>83</v>
      </c>
      <c r="M1931" s="3">
        <v>282.95999999999998</v>
      </c>
      <c r="N1931" s="3">
        <v>414.28</v>
      </c>
      <c r="O1931" s="10" t="str">
        <f>TEXT(Inventory_Data[[#This Row],[Date]],"mmm")</f>
        <v>Dec</v>
      </c>
    </row>
    <row r="1932" spans="1:15" x14ac:dyDescent="0.2">
      <c r="A1932" s="21">
        <v>46011</v>
      </c>
      <c r="B1932" s="5" t="s">
        <v>108</v>
      </c>
      <c r="C1932" t="s">
        <v>109</v>
      </c>
      <c r="D1932" t="s">
        <v>16</v>
      </c>
      <c r="E1932" t="s">
        <v>35</v>
      </c>
      <c r="F1932">
        <v>115</v>
      </c>
      <c r="G1932">
        <v>39</v>
      </c>
      <c r="H1932">
        <v>6</v>
      </c>
      <c r="I1932">
        <f>Inventory_Data[[#This Row],[Opening_Stock]]+Inventory_Data[[#This Row],[Units_Received]]-Inventory_Data[[#This Row],[Units_Sold]]</f>
        <v>148</v>
      </c>
      <c r="J1932">
        <v>0</v>
      </c>
      <c r="K1932">
        <v>2</v>
      </c>
      <c r="L1932" t="s">
        <v>24</v>
      </c>
      <c r="M1932" s="3">
        <v>91.51</v>
      </c>
      <c r="N1932" s="3">
        <v>128.37</v>
      </c>
      <c r="O1932" s="10" t="str">
        <f>TEXT(Inventory_Data[[#This Row],[Date]],"mmm")</f>
        <v>Dec</v>
      </c>
    </row>
    <row r="1933" spans="1:15" x14ac:dyDescent="0.2">
      <c r="A1933" s="21">
        <v>46011</v>
      </c>
      <c r="B1933" s="5" t="s">
        <v>146</v>
      </c>
      <c r="C1933" t="s">
        <v>147</v>
      </c>
      <c r="D1933" t="s">
        <v>48</v>
      </c>
      <c r="E1933" t="s">
        <v>21</v>
      </c>
      <c r="F1933">
        <v>155</v>
      </c>
      <c r="G1933">
        <v>71</v>
      </c>
      <c r="H1933">
        <v>129</v>
      </c>
      <c r="I1933">
        <f>Inventory_Data[[#This Row],[Opening_Stock]]+Inventory_Data[[#This Row],[Units_Received]]-Inventory_Data[[#This Row],[Units_Sold]]</f>
        <v>97</v>
      </c>
      <c r="J1933">
        <v>0</v>
      </c>
      <c r="K1933">
        <v>12</v>
      </c>
      <c r="L1933" t="s">
        <v>77</v>
      </c>
      <c r="M1933" s="3">
        <v>82.75</v>
      </c>
      <c r="N1933" s="3">
        <v>111.78</v>
      </c>
      <c r="O1933" s="10" t="str">
        <f>TEXT(Inventory_Data[[#This Row],[Date]],"mmm")</f>
        <v>Dec</v>
      </c>
    </row>
    <row r="1934" spans="1:15" x14ac:dyDescent="0.2">
      <c r="A1934" s="21">
        <v>46011</v>
      </c>
      <c r="B1934" s="5" t="s">
        <v>174</v>
      </c>
      <c r="C1934" t="s">
        <v>175</v>
      </c>
      <c r="D1934" t="s">
        <v>52</v>
      </c>
      <c r="E1934" t="s">
        <v>17</v>
      </c>
      <c r="F1934">
        <v>41</v>
      </c>
      <c r="G1934">
        <v>18</v>
      </c>
      <c r="H1934">
        <v>13</v>
      </c>
      <c r="I1934">
        <f>Inventory_Data[[#This Row],[Opening_Stock]]+Inventory_Data[[#This Row],[Units_Received]]-Inventory_Data[[#This Row],[Units_Sold]]</f>
        <v>46</v>
      </c>
      <c r="J1934">
        <v>0</v>
      </c>
      <c r="K1934">
        <v>10</v>
      </c>
      <c r="L1934" t="s">
        <v>56</v>
      </c>
      <c r="M1934" s="3">
        <v>277.58999999999997</v>
      </c>
      <c r="N1934" s="3">
        <v>350.92</v>
      </c>
      <c r="O1934" s="10" t="str">
        <f>TEXT(Inventory_Data[[#This Row],[Date]],"mmm")</f>
        <v>Dec</v>
      </c>
    </row>
    <row r="1935" spans="1:15" x14ac:dyDescent="0.2">
      <c r="A1935" s="21">
        <v>46011</v>
      </c>
      <c r="B1935" s="5" t="s">
        <v>57</v>
      </c>
      <c r="C1935" t="s">
        <v>58</v>
      </c>
      <c r="D1935" t="s">
        <v>52</v>
      </c>
      <c r="E1935" t="s">
        <v>35</v>
      </c>
      <c r="F1935">
        <v>37</v>
      </c>
      <c r="G1935">
        <v>15</v>
      </c>
      <c r="H1935">
        <v>13</v>
      </c>
      <c r="I1935">
        <f>Inventory_Data[[#This Row],[Opening_Stock]]+Inventory_Data[[#This Row],[Units_Received]]-Inventory_Data[[#This Row],[Units_Sold]]</f>
        <v>39</v>
      </c>
      <c r="J1935">
        <v>0</v>
      </c>
      <c r="K1935">
        <v>4</v>
      </c>
      <c r="L1935" t="s">
        <v>83</v>
      </c>
      <c r="M1935" s="3">
        <v>133.49</v>
      </c>
      <c r="N1935" s="3">
        <v>192.37</v>
      </c>
      <c r="O1935" s="10" t="str">
        <f>TEXT(Inventory_Data[[#This Row],[Date]],"mmm")</f>
        <v>Dec</v>
      </c>
    </row>
    <row r="1936" spans="1:15" x14ac:dyDescent="0.2">
      <c r="A1936" s="21">
        <v>46011</v>
      </c>
      <c r="B1936" s="5" t="s">
        <v>57</v>
      </c>
      <c r="C1936" t="s">
        <v>58</v>
      </c>
      <c r="D1936" t="s">
        <v>52</v>
      </c>
      <c r="E1936" t="s">
        <v>17</v>
      </c>
      <c r="F1936">
        <v>22</v>
      </c>
      <c r="G1936">
        <v>15</v>
      </c>
      <c r="H1936">
        <v>8</v>
      </c>
      <c r="I1936">
        <f>Inventory_Data[[#This Row],[Opening_Stock]]+Inventory_Data[[#This Row],[Units_Received]]-Inventory_Data[[#This Row],[Units_Sold]]</f>
        <v>29</v>
      </c>
      <c r="J1936">
        <v>0</v>
      </c>
      <c r="K1936">
        <v>10</v>
      </c>
      <c r="L1936" t="s">
        <v>53</v>
      </c>
      <c r="M1936" s="3">
        <v>314.29000000000002</v>
      </c>
      <c r="N1936" s="3">
        <v>469.43</v>
      </c>
      <c r="O1936" s="10" t="str">
        <f>TEXT(Inventory_Data[[#This Row],[Date]],"mmm")</f>
        <v>Dec</v>
      </c>
    </row>
    <row r="1937" spans="1:15" x14ac:dyDescent="0.2">
      <c r="A1937" s="21">
        <v>46012</v>
      </c>
      <c r="B1937" s="5" t="s">
        <v>152</v>
      </c>
      <c r="C1937" t="s">
        <v>153</v>
      </c>
      <c r="D1937" t="s">
        <v>16</v>
      </c>
      <c r="E1937" t="s">
        <v>35</v>
      </c>
      <c r="F1937">
        <v>62</v>
      </c>
      <c r="G1937">
        <v>88</v>
      </c>
      <c r="H1937">
        <v>16</v>
      </c>
      <c r="I1937">
        <f>Inventory_Data[[#This Row],[Opening_Stock]]+Inventory_Data[[#This Row],[Units_Received]]-Inventory_Data[[#This Row],[Units_Sold]]</f>
        <v>134</v>
      </c>
      <c r="J1937">
        <v>0</v>
      </c>
      <c r="K1937">
        <v>9</v>
      </c>
      <c r="L1937" t="s">
        <v>18</v>
      </c>
      <c r="M1937" s="3">
        <v>179.58</v>
      </c>
      <c r="N1937" s="3">
        <v>275.54000000000002</v>
      </c>
      <c r="O1937" s="10" t="str">
        <f>TEXT(Inventory_Data[[#This Row],[Date]],"mmm")</f>
        <v>Dec</v>
      </c>
    </row>
    <row r="1938" spans="1:15" x14ac:dyDescent="0.2">
      <c r="A1938" s="21">
        <v>46012</v>
      </c>
      <c r="B1938" s="5" t="s">
        <v>19</v>
      </c>
      <c r="C1938" t="s">
        <v>20</v>
      </c>
      <c r="D1938" t="s">
        <v>16</v>
      </c>
      <c r="E1938" t="s">
        <v>28</v>
      </c>
      <c r="F1938">
        <v>124</v>
      </c>
      <c r="G1938">
        <v>16</v>
      </c>
      <c r="H1938">
        <v>76</v>
      </c>
      <c r="I1938">
        <f>Inventory_Data[[#This Row],[Opening_Stock]]+Inventory_Data[[#This Row],[Units_Received]]-Inventory_Data[[#This Row],[Units_Sold]]</f>
        <v>64</v>
      </c>
      <c r="J1938">
        <v>0</v>
      </c>
      <c r="K1938">
        <v>4</v>
      </c>
      <c r="L1938" t="s">
        <v>18</v>
      </c>
      <c r="M1938" s="3">
        <v>158.22</v>
      </c>
      <c r="N1938" s="3">
        <v>198.23</v>
      </c>
      <c r="O1938" s="10" t="str">
        <f>TEXT(Inventory_Data[[#This Row],[Date]],"mmm")</f>
        <v>Dec</v>
      </c>
    </row>
    <row r="1939" spans="1:15" x14ac:dyDescent="0.2">
      <c r="A1939" s="21">
        <v>46012</v>
      </c>
      <c r="B1939" s="5" t="s">
        <v>170</v>
      </c>
      <c r="C1939" t="s">
        <v>171</v>
      </c>
      <c r="D1939" t="s">
        <v>48</v>
      </c>
      <c r="E1939" t="s">
        <v>35</v>
      </c>
      <c r="F1939">
        <v>132</v>
      </c>
      <c r="G1939">
        <v>67</v>
      </c>
      <c r="H1939">
        <v>73</v>
      </c>
      <c r="I1939">
        <f>Inventory_Data[[#This Row],[Opening_Stock]]+Inventory_Data[[#This Row],[Units_Received]]-Inventory_Data[[#This Row],[Units_Sold]]</f>
        <v>126</v>
      </c>
      <c r="J1939">
        <v>0</v>
      </c>
      <c r="K1939">
        <v>14</v>
      </c>
      <c r="L1939" t="s">
        <v>77</v>
      </c>
      <c r="M1939" s="3">
        <v>35.65</v>
      </c>
      <c r="N1939" s="3">
        <v>43.03</v>
      </c>
      <c r="O1939" s="10" t="str">
        <f>TEXT(Inventory_Data[[#This Row],[Date]],"mmm")</f>
        <v>Dec</v>
      </c>
    </row>
    <row r="1940" spans="1:15" x14ac:dyDescent="0.2">
      <c r="A1940" s="21">
        <v>46012</v>
      </c>
      <c r="B1940" s="5" t="s">
        <v>46</v>
      </c>
      <c r="C1940" t="s">
        <v>47</v>
      </c>
      <c r="D1940" t="s">
        <v>48</v>
      </c>
      <c r="E1940" t="s">
        <v>21</v>
      </c>
      <c r="F1940">
        <v>241</v>
      </c>
      <c r="G1940">
        <v>133</v>
      </c>
      <c r="H1940">
        <v>77</v>
      </c>
      <c r="I1940">
        <f>Inventory_Data[[#This Row],[Opening_Stock]]+Inventory_Data[[#This Row],[Units_Received]]-Inventory_Data[[#This Row],[Units_Sold]]</f>
        <v>297</v>
      </c>
      <c r="J1940">
        <v>0</v>
      </c>
      <c r="K1940">
        <v>10</v>
      </c>
      <c r="L1940" t="s">
        <v>63</v>
      </c>
      <c r="M1940" s="3">
        <v>8.69</v>
      </c>
      <c r="N1940" s="3">
        <v>12.91</v>
      </c>
      <c r="O1940" s="10" t="str">
        <f>TEXT(Inventory_Data[[#This Row],[Date]],"mmm")</f>
        <v>Dec</v>
      </c>
    </row>
    <row r="1941" spans="1:15" x14ac:dyDescent="0.2">
      <c r="A1941" s="21">
        <v>46012</v>
      </c>
      <c r="B1941" s="5" t="s">
        <v>174</v>
      </c>
      <c r="C1941" t="s">
        <v>175</v>
      </c>
      <c r="D1941" t="s">
        <v>52</v>
      </c>
      <c r="E1941" t="s">
        <v>35</v>
      </c>
      <c r="F1941">
        <v>63</v>
      </c>
      <c r="G1941">
        <v>24</v>
      </c>
      <c r="H1941">
        <v>8</v>
      </c>
      <c r="I1941">
        <f>Inventory_Data[[#This Row],[Opening_Stock]]+Inventory_Data[[#This Row],[Units_Received]]-Inventory_Data[[#This Row],[Units_Sold]]</f>
        <v>79</v>
      </c>
      <c r="J1941">
        <v>0</v>
      </c>
      <c r="K1941">
        <v>14</v>
      </c>
      <c r="L1941" t="s">
        <v>53</v>
      </c>
      <c r="M1941" s="3">
        <v>336.23</v>
      </c>
      <c r="N1941" s="3">
        <v>462.75</v>
      </c>
      <c r="O1941" s="10" t="str">
        <f>TEXT(Inventory_Data[[#This Row],[Date]],"mmm")</f>
        <v>Dec</v>
      </c>
    </row>
    <row r="1942" spans="1:15" x14ac:dyDescent="0.2">
      <c r="A1942" s="21">
        <v>46012</v>
      </c>
      <c r="B1942" s="5" t="s">
        <v>174</v>
      </c>
      <c r="C1942" t="s">
        <v>175</v>
      </c>
      <c r="D1942" t="s">
        <v>52</v>
      </c>
      <c r="E1942" t="s">
        <v>35</v>
      </c>
      <c r="F1942">
        <v>56</v>
      </c>
      <c r="G1942">
        <v>8</v>
      </c>
      <c r="H1942">
        <v>17</v>
      </c>
      <c r="I1942">
        <f>Inventory_Data[[#This Row],[Opening_Stock]]+Inventory_Data[[#This Row],[Units_Received]]-Inventory_Data[[#This Row],[Units_Sold]]</f>
        <v>47</v>
      </c>
      <c r="J1942">
        <v>0</v>
      </c>
      <c r="K1942">
        <v>13</v>
      </c>
      <c r="L1942" t="s">
        <v>53</v>
      </c>
      <c r="M1942" s="3">
        <v>210.09</v>
      </c>
      <c r="N1942" s="3">
        <v>311.55</v>
      </c>
      <c r="O1942" s="10" t="str">
        <f>TEXT(Inventory_Data[[#This Row],[Date]],"mmm")</f>
        <v>Dec</v>
      </c>
    </row>
    <row r="1943" spans="1:15" x14ac:dyDescent="0.2">
      <c r="A1943" s="21">
        <v>46013</v>
      </c>
      <c r="B1943" s="5" t="s">
        <v>152</v>
      </c>
      <c r="C1943" t="s">
        <v>153</v>
      </c>
      <c r="D1943" t="s">
        <v>16</v>
      </c>
      <c r="E1943" t="s">
        <v>35</v>
      </c>
      <c r="F1943">
        <v>152</v>
      </c>
      <c r="G1943">
        <v>48</v>
      </c>
      <c r="H1943">
        <v>27</v>
      </c>
      <c r="I1943">
        <f>Inventory_Data[[#This Row],[Opening_Stock]]+Inventory_Data[[#This Row],[Units_Received]]-Inventory_Data[[#This Row],[Units_Sold]]</f>
        <v>173</v>
      </c>
      <c r="J1943">
        <v>0</v>
      </c>
      <c r="K1943">
        <v>5</v>
      </c>
      <c r="L1943" t="s">
        <v>24</v>
      </c>
      <c r="M1943" s="3">
        <v>67.709999999999994</v>
      </c>
      <c r="N1943" s="3">
        <v>103.56</v>
      </c>
      <c r="O1943" s="10" t="str">
        <f>TEXT(Inventory_Data[[#This Row],[Date]],"mmm")</f>
        <v>Dec</v>
      </c>
    </row>
    <row r="1944" spans="1:15" x14ac:dyDescent="0.2">
      <c r="A1944" s="21">
        <v>46013</v>
      </c>
      <c r="B1944" s="5" t="s">
        <v>14</v>
      </c>
      <c r="C1944" t="s">
        <v>15</v>
      </c>
      <c r="D1944" t="s">
        <v>16</v>
      </c>
      <c r="E1944" t="s">
        <v>28</v>
      </c>
      <c r="F1944">
        <v>94</v>
      </c>
      <c r="G1944">
        <v>82</v>
      </c>
      <c r="H1944">
        <v>13</v>
      </c>
      <c r="I1944">
        <f>Inventory_Data[[#This Row],[Opening_Stock]]+Inventory_Data[[#This Row],[Units_Received]]-Inventory_Data[[#This Row],[Units_Sold]]</f>
        <v>163</v>
      </c>
      <c r="J1944">
        <v>0</v>
      </c>
      <c r="K1944">
        <v>8</v>
      </c>
      <c r="L1944" t="s">
        <v>18</v>
      </c>
      <c r="M1944" s="3">
        <v>29.62</v>
      </c>
      <c r="N1944" s="3">
        <v>34.880000000000003</v>
      </c>
      <c r="O1944" s="10" t="str">
        <f>TEXT(Inventory_Data[[#This Row],[Date]],"mmm")</f>
        <v>Dec</v>
      </c>
    </row>
    <row r="1945" spans="1:15" x14ac:dyDescent="0.2">
      <c r="A1945" s="21">
        <v>46013</v>
      </c>
      <c r="B1945" s="5" t="s">
        <v>94</v>
      </c>
      <c r="C1945" t="s">
        <v>95</v>
      </c>
      <c r="D1945" t="s">
        <v>16</v>
      </c>
      <c r="E1945" t="s">
        <v>35</v>
      </c>
      <c r="F1945">
        <v>33</v>
      </c>
      <c r="G1945">
        <v>10</v>
      </c>
      <c r="H1945">
        <v>29</v>
      </c>
      <c r="I1945">
        <f>Inventory_Data[[#This Row],[Opening_Stock]]+Inventory_Data[[#This Row],[Units_Received]]-Inventory_Data[[#This Row],[Units_Sold]]</f>
        <v>14</v>
      </c>
      <c r="J1945">
        <v>0</v>
      </c>
      <c r="K1945">
        <v>12</v>
      </c>
      <c r="L1945" t="s">
        <v>45</v>
      </c>
      <c r="M1945" s="3">
        <v>195.04</v>
      </c>
      <c r="N1945" s="3">
        <v>265.43</v>
      </c>
      <c r="O1945" s="10" t="str">
        <f>TEXT(Inventory_Data[[#This Row],[Date]],"mmm")</f>
        <v>Dec</v>
      </c>
    </row>
    <row r="1946" spans="1:15" x14ac:dyDescent="0.2">
      <c r="A1946" s="21">
        <v>46013</v>
      </c>
      <c r="B1946" s="5" t="s">
        <v>86</v>
      </c>
      <c r="C1946" t="s">
        <v>87</v>
      </c>
      <c r="D1946" t="s">
        <v>48</v>
      </c>
      <c r="E1946" t="s">
        <v>17</v>
      </c>
      <c r="F1946">
        <v>216</v>
      </c>
      <c r="G1946">
        <v>30</v>
      </c>
      <c r="H1946">
        <v>127</v>
      </c>
      <c r="I1946">
        <f>Inventory_Data[[#This Row],[Opening_Stock]]+Inventory_Data[[#This Row],[Units_Received]]-Inventory_Data[[#This Row],[Units_Sold]]</f>
        <v>119</v>
      </c>
      <c r="J1946">
        <v>0</v>
      </c>
      <c r="K1946">
        <v>5</v>
      </c>
      <c r="L1946" t="s">
        <v>49</v>
      </c>
      <c r="M1946" s="3">
        <v>49.71</v>
      </c>
      <c r="N1946" s="3">
        <v>62</v>
      </c>
      <c r="O1946" s="10" t="str">
        <f>TEXT(Inventory_Data[[#This Row],[Date]],"mmm")</f>
        <v>Dec</v>
      </c>
    </row>
    <row r="1947" spans="1:15" x14ac:dyDescent="0.2">
      <c r="A1947" s="21">
        <v>46013</v>
      </c>
      <c r="B1947" s="5" t="s">
        <v>186</v>
      </c>
      <c r="C1947" t="s">
        <v>187</v>
      </c>
      <c r="D1947" t="s">
        <v>27</v>
      </c>
      <c r="E1947" t="s">
        <v>35</v>
      </c>
      <c r="F1947">
        <v>445</v>
      </c>
      <c r="G1947">
        <v>43</v>
      </c>
      <c r="H1947">
        <v>55</v>
      </c>
      <c r="I1947">
        <f>Inventory_Data[[#This Row],[Opening_Stock]]+Inventory_Data[[#This Row],[Units_Received]]-Inventory_Data[[#This Row],[Units_Sold]]</f>
        <v>433</v>
      </c>
      <c r="J1947">
        <v>0</v>
      </c>
      <c r="K1947">
        <v>2</v>
      </c>
      <c r="L1947" t="s">
        <v>29</v>
      </c>
      <c r="M1947" s="3">
        <v>3.15</v>
      </c>
      <c r="N1947" s="3">
        <v>3.95</v>
      </c>
      <c r="O1947" s="10" t="str">
        <f>TEXT(Inventory_Data[[#This Row],[Date]],"mmm")</f>
        <v>Dec</v>
      </c>
    </row>
    <row r="1948" spans="1:15" x14ac:dyDescent="0.2">
      <c r="A1948" s="21">
        <v>46013</v>
      </c>
      <c r="B1948" s="5" t="s">
        <v>124</v>
      </c>
      <c r="C1948" t="s">
        <v>125</v>
      </c>
      <c r="D1948" t="s">
        <v>52</v>
      </c>
      <c r="E1948" t="s">
        <v>28</v>
      </c>
      <c r="F1948">
        <v>44</v>
      </c>
      <c r="G1948">
        <v>20</v>
      </c>
      <c r="H1948">
        <v>14</v>
      </c>
      <c r="I1948">
        <f>Inventory_Data[[#This Row],[Opening_Stock]]+Inventory_Data[[#This Row],[Units_Received]]-Inventory_Data[[#This Row],[Units_Sold]]</f>
        <v>50</v>
      </c>
      <c r="J1948">
        <v>0</v>
      </c>
      <c r="K1948">
        <v>7</v>
      </c>
      <c r="L1948" t="s">
        <v>53</v>
      </c>
      <c r="M1948" s="3">
        <v>100.9</v>
      </c>
      <c r="N1948" s="3">
        <v>156.16999999999999</v>
      </c>
      <c r="O1948" s="10" t="str">
        <f>TEXT(Inventory_Data[[#This Row],[Date]],"mmm")</f>
        <v>Dec</v>
      </c>
    </row>
    <row r="1949" spans="1:15" x14ac:dyDescent="0.2">
      <c r="A1949" s="21">
        <v>46014</v>
      </c>
      <c r="B1949" s="5" t="s">
        <v>132</v>
      </c>
      <c r="C1949" t="s">
        <v>133</v>
      </c>
      <c r="D1949" t="s">
        <v>16</v>
      </c>
      <c r="E1949" t="s">
        <v>17</v>
      </c>
      <c r="F1949">
        <v>170</v>
      </c>
      <c r="G1949">
        <v>80</v>
      </c>
      <c r="H1949">
        <v>7</v>
      </c>
      <c r="I1949">
        <f>Inventory_Data[[#This Row],[Opening_Stock]]+Inventory_Data[[#This Row],[Units_Received]]-Inventory_Data[[#This Row],[Units_Sold]]</f>
        <v>243</v>
      </c>
      <c r="J1949">
        <v>0</v>
      </c>
      <c r="K1949">
        <v>11</v>
      </c>
      <c r="L1949" t="s">
        <v>45</v>
      </c>
      <c r="M1949" s="3">
        <v>143.21</v>
      </c>
      <c r="N1949" s="3">
        <v>210.99</v>
      </c>
      <c r="O1949" s="10" t="str">
        <f>TEXT(Inventory_Data[[#This Row],[Date]],"mmm")</f>
        <v>Dec</v>
      </c>
    </row>
    <row r="1950" spans="1:15" x14ac:dyDescent="0.2">
      <c r="A1950" s="21">
        <v>46014</v>
      </c>
      <c r="B1950" s="5" t="s">
        <v>110</v>
      </c>
      <c r="C1950" t="s">
        <v>111</v>
      </c>
      <c r="D1950" t="s">
        <v>52</v>
      </c>
      <c r="E1950" t="s">
        <v>21</v>
      </c>
      <c r="F1950">
        <v>13</v>
      </c>
      <c r="G1950">
        <v>18</v>
      </c>
      <c r="H1950">
        <v>8</v>
      </c>
      <c r="I1950">
        <f>Inventory_Data[[#This Row],[Opening_Stock]]+Inventory_Data[[#This Row],[Units_Received]]-Inventory_Data[[#This Row],[Units_Sold]]</f>
        <v>23</v>
      </c>
      <c r="J1950">
        <v>0</v>
      </c>
      <c r="K1950">
        <v>12</v>
      </c>
      <c r="L1950" t="s">
        <v>56</v>
      </c>
      <c r="M1950" s="3">
        <v>35.450000000000003</v>
      </c>
      <c r="N1950" s="3">
        <v>49.62</v>
      </c>
      <c r="O1950" s="10" t="str">
        <f>TEXT(Inventory_Data[[#This Row],[Date]],"mmm")</f>
        <v>Dec</v>
      </c>
    </row>
    <row r="1951" spans="1:15" x14ac:dyDescent="0.2">
      <c r="A1951" s="21">
        <v>46014</v>
      </c>
      <c r="B1951" s="5" t="s">
        <v>54</v>
      </c>
      <c r="C1951" t="s">
        <v>55</v>
      </c>
      <c r="D1951" t="s">
        <v>52</v>
      </c>
      <c r="E1951" t="s">
        <v>35</v>
      </c>
      <c r="F1951">
        <v>77</v>
      </c>
      <c r="G1951">
        <v>19</v>
      </c>
      <c r="H1951">
        <v>3</v>
      </c>
      <c r="I1951">
        <f>Inventory_Data[[#This Row],[Opening_Stock]]+Inventory_Data[[#This Row],[Units_Received]]-Inventory_Data[[#This Row],[Units_Sold]]</f>
        <v>93</v>
      </c>
      <c r="J1951">
        <v>0</v>
      </c>
      <c r="K1951">
        <v>7</v>
      </c>
      <c r="L1951" t="s">
        <v>83</v>
      </c>
      <c r="M1951" s="3">
        <v>195.02</v>
      </c>
      <c r="N1951" s="3">
        <v>278.85000000000002</v>
      </c>
      <c r="O1951" s="10" t="str">
        <f>TEXT(Inventory_Data[[#This Row],[Date]],"mmm")</f>
        <v>Dec</v>
      </c>
    </row>
    <row r="1952" spans="1:15" x14ac:dyDescent="0.2">
      <c r="A1952" s="21">
        <v>46014</v>
      </c>
      <c r="B1952" s="5" t="s">
        <v>81</v>
      </c>
      <c r="C1952" t="s">
        <v>82</v>
      </c>
      <c r="D1952" t="s">
        <v>52</v>
      </c>
      <c r="E1952" t="s">
        <v>21</v>
      </c>
      <c r="F1952">
        <v>75</v>
      </c>
      <c r="G1952">
        <v>18</v>
      </c>
      <c r="H1952">
        <v>16</v>
      </c>
      <c r="I1952">
        <f>Inventory_Data[[#This Row],[Opening_Stock]]+Inventory_Data[[#This Row],[Units_Received]]-Inventory_Data[[#This Row],[Units_Sold]]</f>
        <v>77</v>
      </c>
      <c r="J1952">
        <v>0</v>
      </c>
      <c r="K1952">
        <v>3</v>
      </c>
      <c r="L1952" t="s">
        <v>53</v>
      </c>
      <c r="M1952" s="3">
        <v>211.99</v>
      </c>
      <c r="N1952" s="3">
        <v>280.17</v>
      </c>
      <c r="O1952" s="10" t="str">
        <f>TEXT(Inventory_Data[[#This Row],[Date]],"mmm")</f>
        <v>Dec</v>
      </c>
    </row>
    <row r="1953" spans="1:15" x14ac:dyDescent="0.2">
      <c r="A1953" s="21">
        <v>46014</v>
      </c>
      <c r="B1953" s="5" t="s">
        <v>40</v>
      </c>
      <c r="C1953" t="s">
        <v>41</v>
      </c>
      <c r="D1953" t="s">
        <v>34</v>
      </c>
      <c r="E1953" t="s">
        <v>28</v>
      </c>
      <c r="F1953">
        <v>215</v>
      </c>
      <c r="G1953">
        <v>180</v>
      </c>
      <c r="H1953">
        <v>121</v>
      </c>
      <c r="I1953">
        <f>Inventory_Data[[#This Row],[Opening_Stock]]+Inventory_Data[[#This Row],[Units_Received]]-Inventory_Data[[#This Row],[Units_Sold]]</f>
        <v>274</v>
      </c>
      <c r="J1953">
        <v>0</v>
      </c>
      <c r="K1953">
        <v>9</v>
      </c>
      <c r="L1953" t="s">
        <v>42</v>
      </c>
      <c r="M1953" s="3">
        <v>1.55</v>
      </c>
      <c r="N1953" s="3">
        <v>1.84</v>
      </c>
      <c r="O1953" s="10" t="str">
        <f>TEXT(Inventory_Data[[#This Row],[Date]],"mmm")</f>
        <v>Dec</v>
      </c>
    </row>
    <row r="1954" spans="1:15" x14ac:dyDescent="0.2">
      <c r="A1954" s="21">
        <v>46015</v>
      </c>
      <c r="B1954" s="5" t="s">
        <v>182</v>
      </c>
      <c r="C1954" t="s">
        <v>183</v>
      </c>
      <c r="D1954" t="s">
        <v>52</v>
      </c>
      <c r="E1954" t="s">
        <v>35</v>
      </c>
      <c r="F1954">
        <v>65</v>
      </c>
      <c r="G1954">
        <v>23</v>
      </c>
      <c r="H1954">
        <v>3</v>
      </c>
      <c r="I1954">
        <f>Inventory_Data[[#This Row],[Opening_Stock]]+Inventory_Data[[#This Row],[Units_Received]]-Inventory_Data[[#This Row],[Units_Sold]]</f>
        <v>85</v>
      </c>
      <c r="J1954">
        <v>0</v>
      </c>
      <c r="K1954">
        <v>9</v>
      </c>
      <c r="L1954" t="s">
        <v>56</v>
      </c>
      <c r="M1954" s="3">
        <v>117.17</v>
      </c>
      <c r="N1954" s="3">
        <v>150.04</v>
      </c>
      <c r="O1954" s="10" t="str">
        <f>TEXT(Inventory_Data[[#This Row],[Date]],"mmm")</f>
        <v>Dec</v>
      </c>
    </row>
    <row r="1955" spans="1:15" x14ac:dyDescent="0.2">
      <c r="A1955" s="21">
        <v>46015</v>
      </c>
      <c r="B1955" s="5" t="s">
        <v>194</v>
      </c>
      <c r="C1955" t="s">
        <v>195</v>
      </c>
      <c r="D1955" t="s">
        <v>34</v>
      </c>
      <c r="E1955" t="s">
        <v>28</v>
      </c>
      <c r="F1955">
        <v>363</v>
      </c>
      <c r="G1955">
        <v>71</v>
      </c>
      <c r="H1955">
        <v>41</v>
      </c>
      <c r="I1955">
        <f>Inventory_Data[[#This Row],[Opening_Stock]]+Inventory_Data[[#This Row],[Units_Received]]-Inventory_Data[[#This Row],[Units_Sold]]</f>
        <v>393</v>
      </c>
      <c r="J1955">
        <v>0</v>
      </c>
      <c r="K1955">
        <v>11</v>
      </c>
      <c r="L1955" t="s">
        <v>39</v>
      </c>
      <c r="M1955" s="3">
        <v>15.64</v>
      </c>
      <c r="N1955" s="3">
        <v>22.8</v>
      </c>
      <c r="O1955" s="10" t="str">
        <f>TEXT(Inventory_Data[[#This Row],[Date]],"mmm")</f>
        <v>Dec</v>
      </c>
    </row>
    <row r="1956" spans="1:15" x14ac:dyDescent="0.2">
      <c r="A1956" s="21">
        <v>46016</v>
      </c>
      <c r="B1956" s="5" t="s">
        <v>164</v>
      </c>
      <c r="C1956" t="s">
        <v>165</v>
      </c>
      <c r="D1956" t="s">
        <v>48</v>
      </c>
      <c r="E1956" t="s">
        <v>17</v>
      </c>
      <c r="F1956">
        <v>120</v>
      </c>
      <c r="G1956">
        <v>80</v>
      </c>
      <c r="H1956">
        <v>70</v>
      </c>
      <c r="I1956">
        <f>Inventory_Data[[#This Row],[Opening_Stock]]+Inventory_Data[[#This Row],[Units_Received]]-Inventory_Data[[#This Row],[Units_Sold]]</f>
        <v>130</v>
      </c>
      <c r="J1956">
        <v>0</v>
      </c>
      <c r="K1956">
        <v>3</v>
      </c>
      <c r="L1956" t="s">
        <v>49</v>
      </c>
      <c r="M1956" s="3">
        <v>41.13</v>
      </c>
      <c r="N1956" s="3">
        <v>56.23</v>
      </c>
      <c r="O1956" s="10" t="str">
        <f>TEXT(Inventory_Data[[#This Row],[Date]],"mmm")</f>
        <v>Dec</v>
      </c>
    </row>
    <row r="1957" spans="1:15" x14ac:dyDescent="0.2">
      <c r="A1957" s="21">
        <v>46016</v>
      </c>
      <c r="B1957" s="5" t="s">
        <v>50</v>
      </c>
      <c r="C1957" t="s">
        <v>51</v>
      </c>
      <c r="D1957" t="s">
        <v>52</v>
      </c>
      <c r="E1957" t="s">
        <v>35</v>
      </c>
      <c r="F1957">
        <v>39</v>
      </c>
      <c r="G1957">
        <v>20</v>
      </c>
      <c r="H1957">
        <v>5</v>
      </c>
      <c r="I1957">
        <f>Inventory_Data[[#This Row],[Opening_Stock]]+Inventory_Data[[#This Row],[Units_Received]]-Inventory_Data[[#This Row],[Units_Sold]]</f>
        <v>54</v>
      </c>
      <c r="J1957">
        <v>0</v>
      </c>
      <c r="K1957">
        <v>12</v>
      </c>
      <c r="L1957" t="s">
        <v>53</v>
      </c>
      <c r="M1957" s="3">
        <v>52.43</v>
      </c>
      <c r="N1957" s="3">
        <v>65.73</v>
      </c>
      <c r="O1957" s="10" t="str">
        <f>TEXT(Inventory_Data[[#This Row],[Date]],"mmm")</f>
        <v>Dec</v>
      </c>
    </row>
    <row r="1958" spans="1:15" x14ac:dyDescent="0.2">
      <c r="A1958" s="21">
        <v>46016</v>
      </c>
      <c r="B1958" s="5" t="s">
        <v>124</v>
      </c>
      <c r="C1958" t="s">
        <v>125</v>
      </c>
      <c r="D1958" t="s">
        <v>52</v>
      </c>
      <c r="E1958" t="s">
        <v>28</v>
      </c>
      <c r="F1958">
        <v>66</v>
      </c>
      <c r="G1958">
        <v>14</v>
      </c>
      <c r="H1958">
        <v>17</v>
      </c>
      <c r="I1958">
        <f>Inventory_Data[[#This Row],[Opening_Stock]]+Inventory_Data[[#This Row],[Units_Received]]-Inventory_Data[[#This Row],[Units_Sold]]</f>
        <v>63</v>
      </c>
      <c r="J1958">
        <v>0</v>
      </c>
      <c r="K1958">
        <v>4</v>
      </c>
      <c r="L1958" t="s">
        <v>56</v>
      </c>
      <c r="M1958" s="3">
        <v>88.73</v>
      </c>
      <c r="N1958" s="3">
        <v>123.72</v>
      </c>
      <c r="O1958" s="10" t="str">
        <f>TEXT(Inventory_Data[[#This Row],[Date]],"mmm")</f>
        <v>Dec</v>
      </c>
    </row>
    <row r="1959" spans="1:15" x14ac:dyDescent="0.2">
      <c r="A1959" s="21">
        <v>46016</v>
      </c>
      <c r="B1959" s="5" t="s">
        <v>54</v>
      </c>
      <c r="C1959" t="s">
        <v>55</v>
      </c>
      <c r="D1959" t="s">
        <v>52</v>
      </c>
      <c r="E1959" t="s">
        <v>28</v>
      </c>
      <c r="F1959">
        <v>68</v>
      </c>
      <c r="G1959">
        <v>16</v>
      </c>
      <c r="H1959">
        <v>10</v>
      </c>
      <c r="I1959">
        <f>Inventory_Data[[#This Row],[Opening_Stock]]+Inventory_Data[[#This Row],[Units_Received]]-Inventory_Data[[#This Row],[Units_Sold]]</f>
        <v>74</v>
      </c>
      <c r="J1959">
        <v>0</v>
      </c>
      <c r="K1959">
        <v>14</v>
      </c>
      <c r="L1959" t="s">
        <v>53</v>
      </c>
      <c r="M1959" s="3">
        <v>290.66000000000003</v>
      </c>
      <c r="N1959" s="3">
        <v>442.76</v>
      </c>
      <c r="O1959" s="10" t="str">
        <f>TEXT(Inventory_Data[[#This Row],[Date]],"mmm")</f>
        <v>Dec</v>
      </c>
    </row>
    <row r="1960" spans="1:15" x14ac:dyDescent="0.2">
      <c r="A1960" s="21">
        <v>46016</v>
      </c>
      <c r="B1960" s="5" t="s">
        <v>180</v>
      </c>
      <c r="C1960" t="s">
        <v>181</v>
      </c>
      <c r="D1960" t="s">
        <v>34</v>
      </c>
      <c r="E1960" t="s">
        <v>35</v>
      </c>
      <c r="F1960">
        <v>144</v>
      </c>
      <c r="G1960">
        <v>196</v>
      </c>
      <c r="H1960">
        <v>142</v>
      </c>
      <c r="I1960">
        <f>Inventory_Data[[#This Row],[Opening_Stock]]+Inventory_Data[[#This Row],[Units_Received]]-Inventory_Data[[#This Row],[Units_Sold]]</f>
        <v>198</v>
      </c>
      <c r="J1960">
        <v>0</v>
      </c>
      <c r="K1960">
        <v>5</v>
      </c>
      <c r="L1960" t="s">
        <v>39</v>
      </c>
      <c r="M1960" s="3">
        <v>24.98</v>
      </c>
      <c r="N1960" s="3">
        <v>37.03</v>
      </c>
      <c r="O1960" s="10" t="str">
        <f>TEXT(Inventory_Data[[#This Row],[Date]],"mmm")</f>
        <v>Dec</v>
      </c>
    </row>
    <row r="1961" spans="1:15" x14ac:dyDescent="0.2">
      <c r="A1961" s="21">
        <v>46016</v>
      </c>
      <c r="B1961" s="5" t="s">
        <v>126</v>
      </c>
      <c r="C1961" t="s">
        <v>127</v>
      </c>
      <c r="D1961" t="s">
        <v>34</v>
      </c>
      <c r="E1961" t="s">
        <v>28</v>
      </c>
      <c r="F1961">
        <v>170</v>
      </c>
      <c r="G1961">
        <v>190</v>
      </c>
      <c r="H1961">
        <v>110</v>
      </c>
      <c r="I1961">
        <f>Inventory_Data[[#This Row],[Opening_Stock]]+Inventory_Data[[#This Row],[Units_Received]]-Inventory_Data[[#This Row],[Units_Sold]]</f>
        <v>250</v>
      </c>
      <c r="J1961">
        <v>0</v>
      </c>
      <c r="K1961">
        <v>8</v>
      </c>
      <c r="L1961" t="s">
        <v>36</v>
      </c>
      <c r="M1961" s="3">
        <v>2.5099999999999998</v>
      </c>
      <c r="N1961" s="3">
        <v>3.32</v>
      </c>
      <c r="O1961" s="10" t="str">
        <f>TEXT(Inventory_Data[[#This Row],[Date]],"mmm")</f>
        <v>Dec</v>
      </c>
    </row>
    <row r="1962" spans="1:15" x14ac:dyDescent="0.2">
      <c r="A1962" s="21">
        <v>46016</v>
      </c>
      <c r="B1962" s="5" t="s">
        <v>40</v>
      </c>
      <c r="C1962" t="s">
        <v>41</v>
      </c>
      <c r="D1962" t="s">
        <v>34</v>
      </c>
      <c r="E1962" t="s">
        <v>17</v>
      </c>
      <c r="F1962">
        <v>239</v>
      </c>
      <c r="G1962">
        <v>58</v>
      </c>
      <c r="H1962">
        <v>126</v>
      </c>
      <c r="I1962">
        <f>Inventory_Data[[#This Row],[Opening_Stock]]+Inventory_Data[[#This Row],[Units_Received]]-Inventory_Data[[#This Row],[Units_Sold]]</f>
        <v>171</v>
      </c>
      <c r="J1962">
        <v>0</v>
      </c>
      <c r="K1962">
        <v>7</v>
      </c>
      <c r="L1962" t="s">
        <v>39</v>
      </c>
      <c r="M1962" s="3">
        <v>13.41</v>
      </c>
      <c r="N1962" s="3">
        <v>17.2</v>
      </c>
      <c r="O1962" s="10" t="str">
        <f>TEXT(Inventory_Data[[#This Row],[Date]],"mmm")</f>
        <v>Dec</v>
      </c>
    </row>
    <row r="1963" spans="1:15" x14ac:dyDescent="0.2">
      <c r="A1963" s="21">
        <v>46017</v>
      </c>
      <c r="B1963" s="5" t="s">
        <v>184</v>
      </c>
      <c r="C1963" t="s">
        <v>185</v>
      </c>
      <c r="D1963" t="s">
        <v>16</v>
      </c>
      <c r="E1963" t="s">
        <v>28</v>
      </c>
      <c r="F1963">
        <v>171</v>
      </c>
      <c r="G1963">
        <v>45</v>
      </c>
      <c r="H1963">
        <v>34</v>
      </c>
      <c r="I1963">
        <f>Inventory_Data[[#This Row],[Opening_Stock]]+Inventory_Data[[#This Row],[Units_Received]]-Inventory_Data[[#This Row],[Units_Sold]]</f>
        <v>182</v>
      </c>
      <c r="J1963">
        <v>0</v>
      </c>
      <c r="K1963">
        <v>9</v>
      </c>
      <c r="L1963" t="s">
        <v>45</v>
      </c>
      <c r="M1963" s="3">
        <v>26.7</v>
      </c>
      <c r="N1963" s="3">
        <v>33.72</v>
      </c>
      <c r="O1963" s="10" t="str">
        <f>TEXT(Inventory_Data[[#This Row],[Date]],"mmm")</f>
        <v>Dec</v>
      </c>
    </row>
    <row r="1964" spans="1:15" x14ac:dyDescent="0.2">
      <c r="A1964" s="21">
        <v>46017</v>
      </c>
      <c r="B1964" s="5" t="s">
        <v>128</v>
      </c>
      <c r="C1964" t="s">
        <v>129</v>
      </c>
      <c r="D1964" t="s">
        <v>48</v>
      </c>
      <c r="E1964" t="s">
        <v>17</v>
      </c>
      <c r="F1964">
        <v>146</v>
      </c>
      <c r="G1964">
        <v>38</v>
      </c>
      <c r="H1964">
        <v>90</v>
      </c>
      <c r="I1964">
        <f>Inventory_Data[[#This Row],[Opening_Stock]]+Inventory_Data[[#This Row],[Units_Received]]-Inventory_Data[[#This Row],[Units_Sold]]</f>
        <v>94</v>
      </c>
      <c r="J1964">
        <v>0</v>
      </c>
      <c r="K1964">
        <v>12</v>
      </c>
      <c r="L1964" t="s">
        <v>49</v>
      </c>
      <c r="M1964" s="3">
        <v>9.51</v>
      </c>
      <c r="N1964" s="3">
        <v>13.56</v>
      </c>
      <c r="O1964" s="10" t="str">
        <f>TEXT(Inventory_Data[[#This Row],[Date]],"mmm")</f>
        <v>Dec</v>
      </c>
    </row>
    <row r="1965" spans="1:15" x14ac:dyDescent="0.2">
      <c r="A1965" s="21">
        <v>46017</v>
      </c>
      <c r="B1965" s="5" t="s">
        <v>84</v>
      </c>
      <c r="C1965" t="s">
        <v>85</v>
      </c>
      <c r="D1965" t="s">
        <v>48</v>
      </c>
      <c r="E1965" t="s">
        <v>17</v>
      </c>
      <c r="F1965">
        <v>74</v>
      </c>
      <c r="G1965">
        <v>33</v>
      </c>
      <c r="H1965">
        <v>59</v>
      </c>
      <c r="I1965">
        <f>Inventory_Data[[#This Row],[Opening_Stock]]+Inventory_Data[[#This Row],[Units_Received]]-Inventory_Data[[#This Row],[Units_Sold]]</f>
        <v>48</v>
      </c>
      <c r="J1965">
        <v>0</v>
      </c>
      <c r="K1965">
        <v>6</v>
      </c>
      <c r="L1965" t="s">
        <v>77</v>
      </c>
      <c r="M1965" s="3">
        <v>24.97</v>
      </c>
      <c r="N1965" s="3">
        <v>37.71</v>
      </c>
      <c r="O1965" s="10" t="str">
        <f>TEXT(Inventory_Data[[#This Row],[Date]],"mmm")</f>
        <v>Dec</v>
      </c>
    </row>
    <row r="1966" spans="1:15" x14ac:dyDescent="0.2">
      <c r="A1966" s="21">
        <v>46017</v>
      </c>
      <c r="B1966" s="5" t="s">
        <v>30</v>
      </c>
      <c r="C1966" t="s">
        <v>31</v>
      </c>
      <c r="D1966" t="s">
        <v>27</v>
      </c>
      <c r="E1966" t="s">
        <v>35</v>
      </c>
      <c r="F1966">
        <v>152</v>
      </c>
      <c r="G1966">
        <v>116</v>
      </c>
      <c r="H1966">
        <v>178</v>
      </c>
      <c r="I1966">
        <f>Inventory_Data[[#This Row],[Opening_Stock]]+Inventory_Data[[#This Row],[Units_Received]]-Inventory_Data[[#This Row],[Units_Sold]]</f>
        <v>90</v>
      </c>
      <c r="J1966">
        <v>0</v>
      </c>
      <c r="K1966">
        <v>1</v>
      </c>
      <c r="L1966" t="s">
        <v>80</v>
      </c>
      <c r="M1966" s="3">
        <v>4.51</v>
      </c>
      <c r="N1966" s="3">
        <v>6.36</v>
      </c>
      <c r="O1966" s="10" t="str">
        <f>TEXT(Inventory_Data[[#This Row],[Date]],"mmm")</f>
        <v>Dec</v>
      </c>
    </row>
    <row r="1967" spans="1:15" x14ac:dyDescent="0.2">
      <c r="A1967" s="21">
        <v>46017</v>
      </c>
      <c r="B1967" s="5" t="s">
        <v>124</v>
      </c>
      <c r="C1967" t="s">
        <v>125</v>
      </c>
      <c r="D1967" t="s">
        <v>52</v>
      </c>
      <c r="E1967" t="s">
        <v>21</v>
      </c>
      <c r="F1967">
        <v>15</v>
      </c>
      <c r="G1967">
        <v>12</v>
      </c>
      <c r="H1967">
        <v>2</v>
      </c>
      <c r="I1967">
        <f>Inventory_Data[[#This Row],[Opening_Stock]]+Inventory_Data[[#This Row],[Units_Received]]-Inventory_Data[[#This Row],[Units_Sold]]</f>
        <v>25</v>
      </c>
      <c r="J1967">
        <v>0</v>
      </c>
      <c r="K1967">
        <v>13</v>
      </c>
      <c r="L1967" t="s">
        <v>83</v>
      </c>
      <c r="M1967" s="3">
        <v>143.56</v>
      </c>
      <c r="N1967" s="3">
        <v>187.29</v>
      </c>
      <c r="O1967" s="10" t="str">
        <f>TEXT(Inventory_Data[[#This Row],[Date]],"mmm")</f>
        <v>Dec</v>
      </c>
    </row>
    <row r="1968" spans="1:15" x14ac:dyDescent="0.2">
      <c r="A1968" s="21">
        <v>46017</v>
      </c>
      <c r="B1968" s="5" t="s">
        <v>124</v>
      </c>
      <c r="C1968" t="s">
        <v>125</v>
      </c>
      <c r="D1968" t="s">
        <v>52</v>
      </c>
      <c r="E1968" t="s">
        <v>28</v>
      </c>
      <c r="F1968">
        <v>20</v>
      </c>
      <c r="G1968">
        <v>18</v>
      </c>
      <c r="H1968">
        <v>4</v>
      </c>
      <c r="I1968">
        <f>Inventory_Data[[#This Row],[Opening_Stock]]+Inventory_Data[[#This Row],[Units_Received]]-Inventory_Data[[#This Row],[Units_Sold]]</f>
        <v>34</v>
      </c>
      <c r="J1968">
        <v>0</v>
      </c>
      <c r="K1968">
        <v>10</v>
      </c>
      <c r="L1968" t="s">
        <v>53</v>
      </c>
      <c r="M1968" s="3">
        <v>121.87</v>
      </c>
      <c r="N1968" s="3">
        <v>145.29</v>
      </c>
      <c r="O1968" s="10" t="str">
        <f>TEXT(Inventory_Data[[#This Row],[Date]],"mmm")</f>
        <v>Dec</v>
      </c>
    </row>
    <row r="1969" spans="1:15" x14ac:dyDescent="0.2">
      <c r="A1969" s="21">
        <v>46017</v>
      </c>
      <c r="B1969" s="5" t="s">
        <v>124</v>
      </c>
      <c r="C1969" t="s">
        <v>125</v>
      </c>
      <c r="D1969" t="s">
        <v>52</v>
      </c>
      <c r="E1969" t="s">
        <v>28</v>
      </c>
      <c r="F1969">
        <v>13</v>
      </c>
      <c r="G1969">
        <v>23</v>
      </c>
      <c r="H1969">
        <v>7</v>
      </c>
      <c r="I1969">
        <f>Inventory_Data[[#This Row],[Opening_Stock]]+Inventory_Data[[#This Row],[Units_Received]]-Inventory_Data[[#This Row],[Units_Sold]]</f>
        <v>29</v>
      </c>
      <c r="J1969">
        <v>0</v>
      </c>
      <c r="K1969">
        <v>14</v>
      </c>
      <c r="L1969" t="s">
        <v>83</v>
      </c>
      <c r="M1969" s="3">
        <v>177.6</v>
      </c>
      <c r="N1969" s="3">
        <v>206.25</v>
      </c>
      <c r="O1969" s="10" t="str">
        <f>TEXT(Inventory_Data[[#This Row],[Date]],"mmm")</f>
        <v>Dec</v>
      </c>
    </row>
    <row r="1970" spans="1:15" x14ac:dyDescent="0.2">
      <c r="A1970" s="21">
        <v>46017</v>
      </c>
      <c r="B1970" s="5" t="s">
        <v>176</v>
      </c>
      <c r="C1970" t="s">
        <v>177</v>
      </c>
      <c r="D1970" t="s">
        <v>34</v>
      </c>
      <c r="E1970" t="s">
        <v>17</v>
      </c>
      <c r="F1970">
        <v>79</v>
      </c>
      <c r="G1970">
        <v>214</v>
      </c>
      <c r="H1970">
        <v>167</v>
      </c>
      <c r="I1970">
        <f>Inventory_Data[[#This Row],[Opening_Stock]]+Inventory_Data[[#This Row],[Units_Received]]-Inventory_Data[[#This Row],[Units_Sold]]</f>
        <v>126</v>
      </c>
      <c r="J1970">
        <v>0</v>
      </c>
      <c r="K1970">
        <v>13</v>
      </c>
      <c r="L1970" t="s">
        <v>36</v>
      </c>
      <c r="M1970" s="3">
        <v>4.87</v>
      </c>
      <c r="N1970" s="3">
        <v>7.41</v>
      </c>
      <c r="O1970" s="10" t="str">
        <f>TEXT(Inventory_Data[[#This Row],[Date]],"mmm")</f>
        <v>Dec</v>
      </c>
    </row>
    <row r="1971" spans="1:15" x14ac:dyDescent="0.2">
      <c r="A1971" s="21">
        <v>46017</v>
      </c>
      <c r="B1971" s="5" t="s">
        <v>69</v>
      </c>
      <c r="C1971" t="s">
        <v>70</v>
      </c>
      <c r="D1971" t="s">
        <v>34</v>
      </c>
      <c r="E1971" t="s">
        <v>35</v>
      </c>
      <c r="F1971">
        <v>314</v>
      </c>
      <c r="G1971">
        <v>121</v>
      </c>
      <c r="H1971">
        <v>37</v>
      </c>
      <c r="I1971">
        <f>Inventory_Data[[#This Row],[Opening_Stock]]+Inventory_Data[[#This Row],[Units_Received]]-Inventory_Data[[#This Row],[Units_Sold]]</f>
        <v>398</v>
      </c>
      <c r="J1971">
        <v>0</v>
      </c>
      <c r="K1971">
        <v>2</v>
      </c>
      <c r="L1971" t="s">
        <v>39</v>
      </c>
      <c r="M1971" s="3">
        <v>25.66</v>
      </c>
      <c r="N1971" s="3">
        <v>33.76</v>
      </c>
      <c r="O1971" s="10" t="str">
        <f>TEXT(Inventory_Data[[#This Row],[Date]],"mmm")</f>
        <v>Dec</v>
      </c>
    </row>
    <row r="1972" spans="1:15" x14ac:dyDescent="0.2">
      <c r="A1972" s="21">
        <v>46017</v>
      </c>
      <c r="B1972" s="5" t="s">
        <v>126</v>
      </c>
      <c r="C1972" t="s">
        <v>127</v>
      </c>
      <c r="D1972" t="s">
        <v>34</v>
      </c>
      <c r="E1972" t="s">
        <v>35</v>
      </c>
      <c r="F1972">
        <v>119</v>
      </c>
      <c r="G1972">
        <v>102</v>
      </c>
      <c r="H1972">
        <v>69</v>
      </c>
      <c r="I1972">
        <f>Inventory_Data[[#This Row],[Opening_Stock]]+Inventory_Data[[#This Row],[Units_Received]]-Inventory_Data[[#This Row],[Units_Sold]]</f>
        <v>152</v>
      </c>
      <c r="J1972">
        <v>0</v>
      </c>
      <c r="K1972">
        <v>6</v>
      </c>
      <c r="L1972" t="s">
        <v>36</v>
      </c>
      <c r="M1972" s="3">
        <v>21.68</v>
      </c>
      <c r="N1972" s="3">
        <v>27.3</v>
      </c>
      <c r="O1972" s="10" t="str">
        <f>TEXT(Inventory_Data[[#This Row],[Date]],"mmm")</f>
        <v>Dec</v>
      </c>
    </row>
    <row r="1973" spans="1:15" x14ac:dyDescent="0.2">
      <c r="A1973" s="21">
        <v>46018</v>
      </c>
      <c r="B1973" s="5" t="s">
        <v>192</v>
      </c>
      <c r="C1973" t="s">
        <v>193</v>
      </c>
      <c r="D1973" t="s">
        <v>48</v>
      </c>
      <c r="E1973" t="s">
        <v>28</v>
      </c>
      <c r="F1973">
        <v>215</v>
      </c>
      <c r="G1973">
        <v>25</v>
      </c>
      <c r="H1973">
        <v>24</v>
      </c>
      <c r="I1973">
        <f>Inventory_Data[[#This Row],[Opening_Stock]]+Inventory_Data[[#This Row],[Units_Received]]-Inventory_Data[[#This Row],[Units_Sold]]</f>
        <v>216</v>
      </c>
      <c r="J1973">
        <v>0</v>
      </c>
      <c r="K1973">
        <v>14</v>
      </c>
      <c r="L1973" t="s">
        <v>63</v>
      </c>
      <c r="M1973" s="3">
        <v>69.41</v>
      </c>
      <c r="N1973" s="3">
        <v>101.87</v>
      </c>
      <c r="O1973" s="10" t="str">
        <f>TEXT(Inventory_Data[[#This Row],[Date]],"mmm")</f>
        <v>Dec</v>
      </c>
    </row>
    <row r="1974" spans="1:15" x14ac:dyDescent="0.2">
      <c r="A1974" s="21">
        <v>46018</v>
      </c>
      <c r="B1974" s="5" t="s">
        <v>75</v>
      </c>
      <c r="C1974" t="s">
        <v>76</v>
      </c>
      <c r="D1974" t="s">
        <v>48</v>
      </c>
      <c r="E1974" t="s">
        <v>28</v>
      </c>
      <c r="F1974">
        <v>300</v>
      </c>
      <c r="G1974">
        <v>49</v>
      </c>
      <c r="H1974">
        <v>10</v>
      </c>
      <c r="I1974">
        <f>Inventory_Data[[#This Row],[Opening_Stock]]+Inventory_Data[[#This Row],[Units_Received]]-Inventory_Data[[#This Row],[Units_Sold]]</f>
        <v>339</v>
      </c>
      <c r="J1974">
        <v>0</v>
      </c>
      <c r="K1974">
        <v>7</v>
      </c>
      <c r="L1974" t="s">
        <v>77</v>
      </c>
      <c r="M1974" s="3">
        <v>89.01</v>
      </c>
      <c r="N1974" s="3">
        <v>102.65</v>
      </c>
      <c r="O1974" s="10" t="str">
        <f>TEXT(Inventory_Data[[#This Row],[Date]],"mmm")</f>
        <v>Dec</v>
      </c>
    </row>
    <row r="1975" spans="1:15" x14ac:dyDescent="0.2">
      <c r="A1975" s="21">
        <v>46018</v>
      </c>
      <c r="B1975" s="5" t="s">
        <v>156</v>
      </c>
      <c r="C1975" t="s">
        <v>157</v>
      </c>
      <c r="D1975" t="s">
        <v>27</v>
      </c>
      <c r="E1975" t="s">
        <v>17</v>
      </c>
      <c r="F1975">
        <v>109</v>
      </c>
      <c r="G1975">
        <v>250</v>
      </c>
      <c r="H1975">
        <v>68</v>
      </c>
      <c r="I1975">
        <f>Inventory_Data[[#This Row],[Opening_Stock]]+Inventory_Data[[#This Row],[Units_Received]]-Inventory_Data[[#This Row],[Units_Sold]]</f>
        <v>291</v>
      </c>
      <c r="J1975">
        <v>0</v>
      </c>
      <c r="K1975">
        <v>1</v>
      </c>
      <c r="L1975" t="s">
        <v>80</v>
      </c>
      <c r="M1975" s="3">
        <v>22.77</v>
      </c>
      <c r="N1975" s="3">
        <v>28.62</v>
      </c>
      <c r="O1975" s="10" t="str">
        <f>TEXT(Inventory_Data[[#This Row],[Date]],"mmm")</f>
        <v>Dec</v>
      </c>
    </row>
    <row r="1976" spans="1:15" x14ac:dyDescent="0.2">
      <c r="A1976" s="21">
        <v>46018</v>
      </c>
      <c r="B1976" s="5" t="s">
        <v>174</v>
      </c>
      <c r="C1976" t="s">
        <v>175</v>
      </c>
      <c r="D1976" t="s">
        <v>52</v>
      </c>
      <c r="E1976" t="s">
        <v>28</v>
      </c>
      <c r="F1976">
        <v>54</v>
      </c>
      <c r="G1976">
        <v>23</v>
      </c>
      <c r="H1976">
        <v>1</v>
      </c>
      <c r="I1976">
        <f>Inventory_Data[[#This Row],[Opening_Stock]]+Inventory_Data[[#This Row],[Units_Received]]-Inventory_Data[[#This Row],[Units_Sold]]</f>
        <v>76</v>
      </c>
      <c r="J1976">
        <v>0</v>
      </c>
      <c r="K1976">
        <v>13</v>
      </c>
      <c r="L1976" t="s">
        <v>53</v>
      </c>
      <c r="M1976" s="3">
        <v>200.7</v>
      </c>
      <c r="N1976" s="3">
        <v>299.01</v>
      </c>
      <c r="O1976" s="10" t="str">
        <f>TEXT(Inventory_Data[[#This Row],[Date]],"mmm")</f>
        <v>Dec</v>
      </c>
    </row>
    <row r="1977" spans="1:15" x14ac:dyDescent="0.2">
      <c r="A1977" s="21">
        <v>46018</v>
      </c>
      <c r="B1977" s="5" t="s">
        <v>57</v>
      </c>
      <c r="C1977" t="s">
        <v>58</v>
      </c>
      <c r="D1977" t="s">
        <v>52</v>
      </c>
      <c r="E1977" t="s">
        <v>17</v>
      </c>
      <c r="F1977">
        <v>38</v>
      </c>
      <c r="G1977">
        <v>7</v>
      </c>
      <c r="H1977">
        <v>2</v>
      </c>
      <c r="I1977">
        <f>Inventory_Data[[#This Row],[Opening_Stock]]+Inventory_Data[[#This Row],[Units_Received]]-Inventory_Data[[#This Row],[Units_Sold]]</f>
        <v>43</v>
      </c>
      <c r="J1977">
        <v>0</v>
      </c>
      <c r="K1977">
        <v>14</v>
      </c>
      <c r="L1977" t="s">
        <v>53</v>
      </c>
      <c r="M1977" s="3">
        <v>346.37</v>
      </c>
      <c r="N1977" s="3">
        <v>429.6</v>
      </c>
      <c r="O1977" s="10" t="str">
        <f>TEXT(Inventory_Data[[#This Row],[Date]],"mmm")</f>
        <v>Dec</v>
      </c>
    </row>
    <row r="1978" spans="1:15" x14ac:dyDescent="0.2">
      <c r="A1978" s="21">
        <v>46018</v>
      </c>
      <c r="B1978" s="5" t="s">
        <v>118</v>
      </c>
      <c r="C1978" t="s">
        <v>119</v>
      </c>
      <c r="D1978" t="s">
        <v>34</v>
      </c>
      <c r="E1978" t="s">
        <v>17</v>
      </c>
      <c r="F1978">
        <v>136</v>
      </c>
      <c r="G1978">
        <v>66</v>
      </c>
      <c r="H1978">
        <v>95</v>
      </c>
      <c r="I1978">
        <f>Inventory_Data[[#This Row],[Opening_Stock]]+Inventory_Data[[#This Row],[Units_Received]]-Inventory_Data[[#This Row],[Units_Sold]]</f>
        <v>107</v>
      </c>
      <c r="J1978">
        <v>0</v>
      </c>
      <c r="K1978">
        <v>6</v>
      </c>
      <c r="L1978" t="s">
        <v>39</v>
      </c>
      <c r="M1978" s="3">
        <v>1.72</v>
      </c>
      <c r="N1978" s="3">
        <v>2.5499999999999998</v>
      </c>
      <c r="O1978" s="10" t="str">
        <f>TEXT(Inventory_Data[[#This Row],[Date]],"mmm")</f>
        <v>Dec</v>
      </c>
    </row>
    <row r="1979" spans="1:15" x14ac:dyDescent="0.2">
      <c r="A1979" s="21">
        <v>46019</v>
      </c>
      <c r="B1979" s="5" t="s">
        <v>166</v>
      </c>
      <c r="C1979" t="s">
        <v>167</v>
      </c>
      <c r="D1979" t="s">
        <v>16</v>
      </c>
      <c r="E1979" t="s">
        <v>28</v>
      </c>
      <c r="F1979">
        <v>84</v>
      </c>
      <c r="G1979">
        <v>61</v>
      </c>
      <c r="H1979">
        <v>80</v>
      </c>
      <c r="I1979">
        <f>Inventory_Data[[#This Row],[Opening_Stock]]+Inventory_Data[[#This Row],[Units_Received]]-Inventory_Data[[#This Row],[Units_Sold]]</f>
        <v>65</v>
      </c>
      <c r="J1979">
        <v>0</v>
      </c>
      <c r="K1979">
        <v>10</v>
      </c>
      <c r="L1979" t="s">
        <v>45</v>
      </c>
      <c r="M1979" s="3">
        <v>24.72</v>
      </c>
      <c r="N1979" s="3">
        <v>36.35</v>
      </c>
      <c r="O1979" s="10" t="str">
        <f>TEXT(Inventory_Data[[#This Row],[Date]],"mmm")</f>
        <v>Dec</v>
      </c>
    </row>
    <row r="1980" spans="1:15" x14ac:dyDescent="0.2">
      <c r="A1980" s="21">
        <v>46019</v>
      </c>
      <c r="B1980" s="5" t="s">
        <v>59</v>
      </c>
      <c r="C1980" t="s">
        <v>60</v>
      </c>
      <c r="D1980" t="s">
        <v>34</v>
      </c>
      <c r="E1980" t="s">
        <v>21</v>
      </c>
      <c r="F1980">
        <v>365</v>
      </c>
      <c r="G1980">
        <v>30</v>
      </c>
      <c r="H1980">
        <v>158</v>
      </c>
      <c r="I1980">
        <f>Inventory_Data[[#This Row],[Opening_Stock]]+Inventory_Data[[#This Row],[Units_Received]]-Inventory_Data[[#This Row],[Units_Sold]]</f>
        <v>237</v>
      </c>
      <c r="J1980">
        <v>0</v>
      </c>
      <c r="K1980">
        <v>11</v>
      </c>
      <c r="L1980" t="s">
        <v>42</v>
      </c>
      <c r="M1980" s="3">
        <v>7.22</v>
      </c>
      <c r="N1980" s="3">
        <v>8.52</v>
      </c>
      <c r="O1980" s="10" t="str">
        <f>TEXT(Inventory_Data[[#This Row],[Date]],"mmm")</f>
        <v>Dec</v>
      </c>
    </row>
    <row r="1981" spans="1:15" x14ac:dyDescent="0.2">
      <c r="A1981" s="21">
        <v>46020</v>
      </c>
      <c r="B1981" s="5" t="s">
        <v>94</v>
      </c>
      <c r="C1981" t="s">
        <v>95</v>
      </c>
      <c r="D1981" t="s">
        <v>16</v>
      </c>
      <c r="E1981" t="s">
        <v>21</v>
      </c>
      <c r="F1981">
        <v>50</v>
      </c>
      <c r="G1981">
        <v>69</v>
      </c>
      <c r="H1981">
        <v>74</v>
      </c>
      <c r="I1981">
        <f>Inventory_Data[[#This Row],[Opening_Stock]]+Inventory_Data[[#This Row],[Units_Received]]-Inventory_Data[[#This Row],[Units_Sold]]</f>
        <v>45</v>
      </c>
      <c r="J1981">
        <v>0</v>
      </c>
      <c r="K1981">
        <v>2</v>
      </c>
      <c r="L1981" t="s">
        <v>18</v>
      </c>
      <c r="M1981" s="3">
        <v>157.52000000000001</v>
      </c>
      <c r="N1981" s="3">
        <v>188.72</v>
      </c>
      <c r="O1981" s="10" t="str">
        <f>TEXT(Inventory_Data[[#This Row],[Date]],"mmm")</f>
        <v>Dec</v>
      </c>
    </row>
    <row r="1982" spans="1:15" x14ac:dyDescent="0.2">
      <c r="A1982" s="21">
        <v>46020</v>
      </c>
      <c r="B1982" s="5" t="s">
        <v>75</v>
      </c>
      <c r="C1982" t="s">
        <v>76</v>
      </c>
      <c r="D1982" t="s">
        <v>48</v>
      </c>
      <c r="E1982" t="s">
        <v>21</v>
      </c>
      <c r="F1982">
        <v>210</v>
      </c>
      <c r="G1982">
        <v>96</v>
      </c>
      <c r="H1982">
        <v>57</v>
      </c>
      <c r="I1982">
        <f>Inventory_Data[[#This Row],[Opening_Stock]]+Inventory_Data[[#This Row],[Units_Received]]-Inventory_Data[[#This Row],[Units_Sold]]</f>
        <v>249</v>
      </c>
      <c r="J1982">
        <v>0</v>
      </c>
      <c r="K1982">
        <v>3</v>
      </c>
      <c r="L1982" t="s">
        <v>77</v>
      </c>
      <c r="M1982" s="3">
        <v>65.25</v>
      </c>
      <c r="N1982" s="3">
        <v>91.32</v>
      </c>
      <c r="O1982" s="10" t="str">
        <f>TEXT(Inventory_Data[[#This Row],[Date]],"mmm")</f>
        <v>Dec</v>
      </c>
    </row>
    <row r="1983" spans="1:15" x14ac:dyDescent="0.2">
      <c r="A1983" s="21">
        <v>46020</v>
      </c>
      <c r="B1983" s="5" t="s">
        <v>96</v>
      </c>
      <c r="C1983" t="s">
        <v>97</v>
      </c>
      <c r="D1983" t="s">
        <v>48</v>
      </c>
      <c r="E1983" t="s">
        <v>35</v>
      </c>
      <c r="F1983">
        <v>90</v>
      </c>
      <c r="G1983">
        <v>71</v>
      </c>
      <c r="H1983">
        <v>131</v>
      </c>
      <c r="I1983">
        <f>Inventory_Data[[#This Row],[Opening_Stock]]+Inventory_Data[[#This Row],[Units_Received]]-Inventory_Data[[#This Row],[Units_Sold]]</f>
        <v>30</v>
      </c>
      <c r="J1983">
        <v>0</v>
      </c>
      <c r="K1983">
        <v>8</v>
      </c>
      <c r="L1983" t="s">
        <v>77</v>
      </c>
      <c r="M1983" s="3">
        <v>68.45</v>
      </c>
      <c r="N1983" s="3">
        <v>97.88</v>
      </c>
      <c r="O1983" s="10" t="str">
        <f>TEXT(Inventory_Data[[#This Row],[Date]],"mmm")</f>
        <v>Dec</v>
      </c>
    </row>
    <row r="1984" spans="1:15" x14ac:dyDescent="0.2">
      <c r="A1984" s="21">
        <v>46020</v>
      </c>
      <c r="B1984" s="5" t="s">
        <v>156</v>
      </c>
      <c r="C1984" t="s">
        <v>157</v>
      </c>
      <c r="D1984" t="s">
        <v>27</v>
      </c>
      <c r="E1984" t="s">
        <v>28</v>
      </c>
      <c r="F1984">
        <v>125</v>
      </c>
      <c r="G1984">
        <v>83</v>
      </c>
      <c r="H1984">
        <v>41</v>
      </c>
      <c r="I1984">
        <f>Inventory_Data[[#This Row],[Opening_Stock]]+Inventory_Data[[#This Row],[Units_Received]]-Inventory_Data[[#This Row],[Units_Sold]]</f>
        <v>167</v>
      </c>
      <c r="J1984">
        <v>0</v>
      </c>
      <c r="K1984">
        <v>5</v>
      </c>
      <c r="L1984" t="s">
        <v>80</v>
      </c>
      <c r="M1984" s="3">
        <v>7.44</v>
      </c>
      <c r="N1984" s="3">
        <v>9.19</v>
      </c>
      <c r="O1984" s="10" t="str">
        <f>TEXT(Inventory_Data[[#This Row],[Date]],"mmm")</f>
        <v>Dec</v>
      </c>
    </row>
    <row r="1985" spans="1:15" x14ac:dyDescent="0.2">
      <c r="A1985" s="21">
        <v>46020</v>
      </c>
      <c r="B1985" s="5" t="s">
        <v>156</v>
      </c>
      <c r="C1985" t="s">
        <v>157</v>
      </c>
      <c r="D1985" t="s">
        <v>27</v>
      </c>
      <c r="E1985" t="s">
        <v>35</v>
      </c>
      <c r="F1985">
        <v>136</v>
      </c>
      <c r="G1985">
        <v>66</v>
      </c>
      <c r="H1985">
        <v>132</v>
      </c>
      <c r="I1985">
        <f>Inventory_Data[[#This Row],[Opening_Stock]]+Inventory_Data[[#This Row],[Units_Received]]-Inventory_Data[[#This Row],[Units_Sold]]</f>
        <v>70</v>
      </c>
      <c r="J1985">
        <v>0</v>
      </c>
      <c r="K1985">
        <v>5</v>
      </c>
      <c r="L1985" t="s">
        <v>80</v>
      </c>
      <c r="M1985" s="3">
        <v>19.64</v>
      </c>
      <c r="N1985" s="3">
        <v>25.34</v>
      </c>
      <c r="O1985" s="10" t="str">
        <f>TEXT(Inventory_Data[[#This Row],[Date]],"mmm")</f>
        <v>Dec</v>
      </c>
    </row>
    <row r="1986" spans="1:15" x14ac:dyDescent="0.2">
      <c r="A1986" s="21">
        <v>46021</v>
      </c>
      <c r="B1986" s="5" t="s">
        <v>162</v>
      </c>
      <c r="C1986" t="s">
        <v>163</v>
      </c>
      <c r="D1986" t="s">
        <v>16</v>
      </c>
      <c r="E1986" t="s">
        <v>35</v>
      </c>
      <c r="F1986">
        <v>133</v>
      </c>
      <c r="G1986">
        <v>61</v>
      </c>
      <c r="H1986">
        <v>26</v>
      </c>
      <c r="I1986">
        <f>Inventory_Data[[#This Row],[Opening_Stock]]+Inventory_Data[[#This Row],[Units_Received]]-Inventory_Data[[#This Row],[Units_Sold]]</f>
        <v>168</v>
      </c>
      <c r="J1986">
        <v>0</v>
      </c>
      <c r="K1986">
        <v>5</v>
      </c>
      <c r="L1986" t="s">
        <v>18</v>
      </c>
      <c r="M1986" s="3">
        <v>94.67</v>
      </c>
      <c r="N1986" s="3">
        <v>124.62</v>
      </c>
      <c r="O1986" s="10" t="str">
        <f>TEXT(Inventory_Data[[#This Row],[Date]],"mmm")</f>
        <v>Dec</v>
      </c>
    </row>
    <row r="1987" spans="1:15" x14ac:dyDescent="0.2">
      <c r="A1987" s="21">
        <v>46021</v>
      </c>
      <c r="B1987" s="5" t="s">
        <v>178</v>
      </c>
      <c r="C1987" t="s">
        <v>179</v>
      </c>
      <c r="D1987" t="s">
        <v>16</v>
      </c>
      <c r="E1987" t="s">
        <v>35</v>
      </c>
      <c r="F1987">
        <v>21</v>
      </c>
      <c r="G1987">
        <v>73</v>
      </c>
      <c r="H1987">
        <v>39</v>
      </c>
      <c r="I1987">
        <f>Inventory_Data[[#This Row],[Opening_Stock]]+Inventory_Data[[#This Row],[Units_Received]]-Inventory_Data[[#This Row],[Units_Sold]]</f>
        <v>55</v>
      </c>
      <c r="J1987">
        <v>0</v>
      </c>
      <c r="K1987">
        <v>8</v>
      </c>
      <c r="L1987" t="s">
        <v>24</v>
      </c>
      <c r="M1987" s="3">
        <v>157.5</v>
      </c>
      <c r="N1987" s="3">
        <v>206.6</v>
      </c>
      <c r="O1987" s="10" t="str">
        <f>TEXT(Inventory_Data[[#This Row],[Date]],"mmm")</f>
        <v>Dec</v>
      </c>
    </row>
    <row r="1988" spans="1:15" x14ac:dyDescent="0.2">
      <c r="A1988" s="21">
        <v>46021</v>
      </c>
      <c r="B1988" s="5" t="s">
        <v>61</v>
      </c>
      <c r="C1988" t="s">
        <v>62</v>
      </c>
      <c r="D1988" t="s">
        <v>48</v>
      </c>
      <c r="E1988" t="s">
        <v>17</v>
      </c>
      <c r="F1988">
        <v>168</v>
      </c>
      <c r="G1988">
        <v>61</v>
      </c>
      <c r="H1988">
        <v>89</v>
      </c>
      <c r="I1988">
        <f>Inventory_Data[[#This Row],[Opening_Stock]]+Inventory_Data[[#This Row],[Units_Received]]-Inventory_Data[[#This Row],[Units_Sold]]</f>
        <v>140</v>
      </c>
      <c r="J1988">
        <v>0</v>
      </c>
      <c r="K1988">
        <v>13</v>
      </c>
      <c r="L1988" t="s">
        <v>63</v>
      </c>
      <c r="M1988" s="3">
        <v>72.84</v>
      </c>
      <c r="N1988" s="3">
        <v>94.98</v>
      </c>
      <c r="O1988" s="10" t="str">
        <f>TEXT(Inventory_Data[[#This Row],[Date]],"mmm")</f>
        <v>Dec</v>
      </c>
    </row>
    <row r="1989" spans="1:15" x14ac:dyDescent="0.2">
      <c r="A1989" s="21">
        <v>46021</v>
      </c>
      <c r="B1989" s="5" t="s">
        <v>164</v>
      </c>
      <c r="C1989" t="s">
        <v>165</v>
      </c>
      <c r="D1989" t="s">
        <v>48</v>
      </c>
      <c r="E1989" t="s">
        <v>17</v>
      </c>
      <c r="F1989">
        <v>283</v>
      </c>
      <c r="G1989">
        <v>32</v>
      </c>
      <c r="H1989">
        <v>100</v>
      </c>
      <c r="I1989">
        <f>Inventory_Data[[#This Row],[Opening_Stock]]+Inventory_Data[[#This Row],[Units_Received]]-Inventory_Data[[#This Row],[Units_Sold]]</f>
        <v>215</v>
      </c>
      <c r="J1989">
        <v>0</v>
      </c>
      <c r="K1989">
        <v>9</v>
      </c>
      <c r="L1989" t="s">
        <v>49</v>
      </c>
      <c r="M1989" s="3">
        <v>74.13</v>
      </c>
      <c r="N1989" s="3">
        <v>100.38</v>
      </c>
      <c r="O1989" s="10" t="str">
        <f>TEXT(Inventory_Data[[#This Row],[Date]],"mmm")</f>
        <v>Dec</v>
      </c>
    </row>
    <row r="1990" spans="1:15" x14ac:dyDescent="0.2">
      <c r="A1990" s="21">
        <v>46021</v>
      </c>
      <c r="B1990" s="5" t="s">
        <v>188</v>
      </c>
      <c r="C1990" t="s">
        <v>189</v>
      </c>
      <c r="D1990" t="s">
        <v>27</v>
      </c>
      <c r="E1990" t="s">
        <v>17</v>
      </c>
      <c r="F1990">
        <v>218</v>
      </c>
      <c r="G1990">
        <v>242</v>
      </c>
      <c r="H1990">
        <v>89</v>
      </c>
      <c r="I1990">
        <f>Inventory_Data[[#This Row],[Opening_Stock]]+Inventory_Data[[#This Row],[Units_Received]]-Inventory_Data[[#This Row],[Units_Sold]]</f>
        <v>371</v>
      </c>
      <c r="J1990">
        <v>0</v>
      </c>
      <c r="K1990">
        <v>1</v>
      </c>
      <c r="L1990" t="s">
        <v>80</v>
      </c>
      <c r="M1990" s="3">
        <v>17.41</v>
      </c>
      <c r="N1990" s="3">
        <v>20.02</v>
      </c>
      <c r="O1990" s="10" t="str">
        <f>TEXT(Inventory_Data[[#This Row],[Date]],"mmm")</f>
        <v>Dec</v>
      </c>
    </row>
    <row r="1991" spans="1:15" x14ac:dyDescent="0.2">
      <c r="A1991" s="21">
        <v>46021</v>
      </c>
      <c r="B1991" s="5" t="s">
        <v>138</v>
      </c>
      <c r="C1991" t="s">
        <v>139</v>
      </c>
      <c r="D1991" t="s">
        <v>34</v>
      </c>
      <c r="E1991" t="s">
        <v>35</v>
      </c>
      <c r="F1991">
        <v>76</v>
      </c>
      <c r="G1991">
        <v>175</v>
      </c>
      <c r="H1991">
        <v>92</v>
      </c>
      <c r="I1991">
        <f>Inventory_Data[[#This Row],[Opening_Stock]]+Inventory_Data[[#This Row],[Units_Received]]-Inventory_Data[[#This Row],[Units_Sold]]</f>
        <v>159</v>
      </c>
      <c r="J1991">
        <v>0</v>
      </c>
      <c r="K1991">
        <v>9</v>
      </c>
      <c r="L1991" t="s">
        <v>36</v>
      </c>
      <c r="M1991" s="3">
        <v>11.69</v>
      </c>
      <c r="N1991" s="3">
        <v>13.75</v>
      </c>
      <c r="O1991" s="10" t="str">
        <f>TEXT(Inventory_Data[[#This Row],[Date]],"mmm")</f>
        <v>Dec</v>
      </c>
    </row>
    <row r="1992" spans="1:15" x14ac:dyDescent="0.2">
      <c r="A1992" s="21">
        <v>46022</v>
      </c>
      <c r="B1992" s="5" t="s">
        <v>144</v>
      </c>
      <c r="C1992" t="s">
        <v>145</v>
      </c>
      <c r="D1992" t="s">
        <v>48</v>
      </c>
      <c r="E1992" t="s">
        <v>35</v>
      </c>
      <c r="F1992">
        <v>108</v>
      </c>
      <c r="G1992">
        <v>64</v>
      </c>
      <c r="H1992">
        <v>41</v>
      </c>
      <c r="I1992">
        <f>Inventory_Data[[#This Row],[Opening_Stock]]+Inventory_Data[[#This Row],[Units_Received]]-Inventory_Data[[#This Row],[Units_Sold]]</f>
        <v>131</v>
      </c>
      <c r="J1992">
        <v>0</v>
      </c>
      <c r="K1992">
        <v>2</v>
      </c>
      <c r="L1992" t="s">
        <v>63</v>
      </c>
      <c r="M1992" s="3">
        <v>32.549999999999997</v>
      </c>
      <c r="N1992" s="3">
        <v>38.74</v>
      </c>
      <c r="O1992" s="10" t="str">
        <f>TEXT(Inventory_Data[[#This Row],[Date]],"mmm")</f>
        <v>Dec</v>
      </c>
    </row>
    <row r="1993" spans="1:15" x14ac:dyDescent="0.2">
      <c r="A1993" s="21">
        <v>46022</v>
      </c>
      <c r="B1993" s="5" t="s">
        <v>90</v>
      </c>
      <c r="C1993" t="s">
        <v>91</v>
      </c>
      <c r="D1993" t="s">
        <v>48</v>
      </c>
      <c r="E1993" t="s">
        <v>28</v>
      </c>
      <c r="F1993">
        <v>190</v>
      </c>
      <c r="G1993">
        <v>33</v>
      </c>
      <c r="H1993">
        <v>88</v>
      </c>
      <c r="I1993">
        <f>Inventory_Data[[#This Row],[Opening_Stock]]+Inventory_Data[[#This Row],[Units_Received]]-Inventory_Data[[#This Row],[Units_Sold]]</f>
        <v>135</v>
      </c>
      <c r="J1993">
        <v>0</v>
      </c>
      <c r="K1993">
        <v>2</v>
      </c>
      <c r="L1993" t="s">
        <v>49</v>
      </c>
      <c r="M1993" s="3">
        <v>14.47</v>
      </c>
      <c r="N1993" s="3">
        <v>17.75</v>
      </c>
      <c r="O1993" s="10" t="str">
        <f>TEXT(Inventory_Data[[#This Row],[Date]],"mmm")</f>
        <v>Dec</v>
      </c>
    </row>
    <row r="1994" spans="1:15" x14ac:dyDescent="0.2">
      <c r="A1994" s="21">
        <v>46022</v>
      </c>
      <c r="B1994" s="5" t="s">
        <v>154</v>
      </c>
      <c r="C1994" t="s">
        <v>155</v>
      </c>
      <c r="D1994" t="s">
        <v>48</v>
      </c>
      <c r="E1994" t="s">
        <v>21</v>
      </c>
      <c r="F1994">
        <v>71</v>
      </c>
      <c r="G1994">
        <v>28</v>
      </c>
      <c r="H1994">
        <v>19</v>
      </c>
      <c r="I1994">
        <f>Inventory_Data[[#This Row],[Opening_Stock]]+Inventory_Data[[#This Row],[Units_Received]]-Inventory_Data[[#This Row],[Units_Sold]]</f>
        <v>80</v>
      </c>
      <c r="J1994">
        <v>0</v>
      </c>
      <c r="K1994">
        <v>7</v>
      </c>
      <c r="L1994" t="s">
        <v>49</v>
      </c>
      <c r="M1994" s="3">
        <v>29.76</v>
      </c>
      <c r="N1994" s="3">
        <v>41.38</v>
      </c>
      <c r="O1994" s="10" t="str">
        <f>TEXT(Inventory_Data[[#This Row],[Date]],"mmm")</f>
        <v>Dec</v>
      </c>
    </row>
    <row r="1995" spans="1:15" x14ac:dyDescent="0.2">
      <c r="A1995" s="21">
        <v>46022</v>
      </c>
      <c r="B1995" s="5" t="s">
        <v>25</v>
      </c>
      <c r="C1995" t="s">
        <v>26</v>
      </c>
      <c r="D1995" t="s">
        <v>27</v>
      </c>
      <c r="E1995" t="s">
        <v>28</v>
      </c>
      <c r="F1995">
        <v>483</v>
      </c>
      <c r="G1995">
        <v>60</v>
      </c>
      <c r="H1995">
        <v>101</v>
      </c>
      <c r="I1995">
        <f>Inventory_Data[[#This Row],[Opening_Stock]]+Inventory_Data[[#This Row],[Units_Received]]-Inventory_Data[[#This Row],[Units_Sold]]</f>
        <v>442</v>
      </c>
      <c r="J1995">
        <v>0</v>
      </c>
      <c r="K1995">
        <v>1</v>
      </c>
      <c r="L1995" t="s">
        <v>80</v>
      </c>
      <c r="M1995" s="3">
        <v>18.54</v>
      </c>
      <c r="N1995" s="3">
        <v>26.85</v>
      </c>
      <c r="O1995" s="10" t="str">
        <f>TEXT(Inventory_Data[[#This Row],[Date]],"mmm")</f>
        <v>Dec</v>
      </c>
    </row>
    <row r="1996" spans="1:15" x14ac:dyDescent="0.2">
      <c r="A1996" s="21">
        <v>46022</v>
      </c>
      <c r="B1996" s="5" t="s">
        <v>148</v>
      </c>
      <c r="C1996" t="s">
        <v>149</v>
      </c>
      <c r="D1996" t="s">
        <v>27</v>
      </c>
      <c r="E1996" t="s">
        <v>17</v>
      </c>
      <c r="F1996">
        <v>361</v>
      </c>
      <c r="G1996">
        <v>124</v>
      </c>
      <c r="H1996">
        <v>172</v>
      </c>
      <c r="I1996">
        <f>Inventory_Data[[#This Row],[Opening_Stock]]+Inventory_Data[[#This Row],[Units_Received]]-Inventory_Data[[#This Row],[Units_Sold]]</f>
        <v>313</v>
      </c>
      <c r="J1996">
        <v>0</v>
      </c>
      <c r="K1996">
        <v>1</v>
      </c>
      <c r="L1996" t="s">
        <v>80</v>
      </c>
      <c r="M1996" s="3">
        <v>6.79</v>
      </c>
      <c r="N1996" s="3">
        <v>8.77</v>
      </c>
      <c r="O1996" s="10" t="str">
        <f>TEXT(Inventory_Data[[#This Row],[Date]],"mmm")</f>
        <v>Dec</v>
      </c>
    </row>
    <row r="1997" spans="1:15" x14ac:dyDescent="0.2">
      <c r="A1997" s="21">
        <v>46022</v>
      </c>
      <c r="B1997" s="5" t="s">
        <v>100</v>
      </c>
      <c r="C1997" t="s">
        <v>101</v>
      </c>
      <c r="D1997" t="s">
        <v>52</v>
      </c>
      <c r="E1997" t="s">
        <v>28</v>
      </c>
      <c r="F1997">
        <v>15</v>
      </c>
      <c r="G1997">
        <v>22</v>
      </c>
      <c r="H1997">
        <v>19</v>
      </c>
      <c r="I1997">
        <f>Inventory_Data[[#This Row],[Opening_Stock]]+Inventory_Data[[#This Row],[Units_Received]]-Inventory_Data[[#This Row],[Units_Sold]]</f>
        <v>18</v>
      </c>
      <c r="J1997">
        <v>0</v>
      </c>
      <c r="K1997">
        <v>5</v>
      </c>
      <c r="L1997" t="s">
        <v>53</v>
      </c>
      <c r="M1997" s="3">
        <v>48.91</v>
      </c>
      <c r="N1997" s="3">
        <v>68.55</v>
      </c>
      <c r="O1997" s="10" t="str">
        <f>TEXT(Inventory_Data[[#This Row],[Date]],"mmm")</f>
        <v>Dec</v>
      </c>
    </row>
    <row r="1998" spans="1:15" x14ac:dyDescent="0.2">
      <c r="A1998" s="21">
        <v>46022</v>
      </c>
      <c r="B1998" s="5" t="s">
        <v>150</v>
      </c>
      <c r="C1998" t="s">
        <v>151</v>
      </c>
      <c r="D1998" t="s">
        <v>52</v>
      </c>
      <c r="E1998" t="s">
        <v>21</v>
      </c>
      <c r="F1998">
        <v>52</v>
      </c>
      <c r="G1998">
        <v>15</v>
      </c>
      <c r="H1998">
        <v>7</v>
      </c>
      <c r="I1998">
        <f>Inventory_Data[[#This Row],[Opening_Stock]]+Inventory_Data[[#This Row],[Units_Received]]-Inventory_Data[[#This Row],[Units_Sold]]</f>
        <v>60</v>
      </c>
      <c r="J1998">
        <v>0</v>
      </c>
      <c r="K1998">
        <v>2</v>
      </c>
      <c r="L1998" t="s">
        <v>53</v>
      </c>
      <c r="M1998" s="3">
        <v>268.3</v>
      </c>
      <c r="N1998" s="3">
        <v>360.34</v>
      </c>
      <c r="O1998" s="10" t="str">
        <f>TEXT(Inventory_Data[[#This Row],[Date]],"mmm")</f>
        <v>Dec</v>
      </c>
    </row>
    <row r="1999" spans="1:15" x14ac:dyDescent="0.2">
      <c r="A1999" s="21">
        <v>46022</v>
      </c>
      <c r="B1999" s="5" t="s">
        <v>142</v>
      </c>
      <c r="C1999" t="s">
        <v>143</v>
      </c>
      <c r="D1999" t="s">
        <v>52</v>
      </c>
      <c r="E1999" t="s">
        <v>28</v>
      </c>
      <c r="F1999">
        <v>63</v>
      </c>
      <c r="G1999">
        <v>11</v>
      </c>
      <c r="H1999">
        <v>19</v>
      </c>
      <c r="I1999">
        <f>Inventory_Data[[#This Row],[Opening_Stock]]+Inventory_Data[[#This Row],[Units_Received]]-Inventory_Data[[#This Row],[Units_Sold]]</f>
        <v>55</v>
      </c>
      <c r="J1999">
        <v>0</v>
      </c>
      <c r="K1999">
        <v>2</v>
      </c>
      <c r="L1999" t="s">
        <v>53</v>
      </c>
      <c r="M1999" s="3">
        <v>231.68</v>
      </c>
      <c r="N1999" s="3">
        <v>321.97000000000003</v>
      </c>
      <c r="O1999" s="10" t="str">
        <f>TEXT(Inventory_Data[[#This Row],[Date]],"mmm")</f>
        <v>Dec</v>
      </c>
    </row>
    <row r="2000" spans="1:15" x14ac:dyDescent="0.2">
      <c r="A2000" s="21">
        <v>46022</v>
      </c>
      <c r="B2000" s="5" t="s">
        <v>67</v>
      </c>
      <c r="C2000" t="s">
        <v>68</v>
      </c>
      <c r="D2000" t="s">
        <v>52</v>
      </c>
      <c r="E2000" t="s">
        <v>35</v>
      </c>
      <c r="F2000">
        <v>51</v>
      </c>
      <c r="G2000">
        <v>5</v>
      </c>
      <c r="H2000">
        <v>5</v>
      </c>
      <c r="I2000">
        <f>Inventory_Data[[#This Row],[Opening_Stock]]+Inventory_Data[[#This Row],[Units_Received]]-Inventory_Data[[#This Row],[Units_Sold]]</f>
        <v>51</v>
      </c>
      <c r="J2000">
        <v>0</v>
      </c>
      <c r="K2000">
        <v>6</v>
      </c>
      <c r="L2000" t="s">
        <v>83</v>
      </c>
      <c r="M2000" s="3">
        <v>170.65</v>
      </c>
      <c r="N2000" s="3">
        <v>214.98</v>
      </c>
      <c r="O2000" s="10" t="str">
        <f>TEXT(Inventory_Data[[#This Row],[Date]],"mmm")</f>
        <v>Dec</v>
      </c>
    </row>
    <row r="2001" spans="1:15" x14ac:dyDescent="0.2">
      <c r="A2001" s="21">
        <v>46022</v>
      </c>
      <c r="B2001" s="5" t="s">
        <v>174</v>
      </c>
      <c r="C2001" t="s">
        <v>175</v>
      </c>
      <c r="D2001" t="s">
        <v>52</v>
      </c>
      <c r="E2001" t="s">
        <v>21</v>
      </c>
      <c r="F2001">
        <v>57</v>
      </c>
      <c r="G2001">
        <v>13</v>
      </c>
      <c r="H2001">
        <v>13</v>
      </c>
      <c r="I2001">
        <f>Inventory_Data[[#This Row],[Opening_Stock]]+Inventory_Data[[#This Row],[Units_Received]]-Inventory_Data[[#This Row],[Units_Sold]]</f>
        <v>57</v>
      </c>
      <c r="J2001">
        <v>0</v>
      </c>
      <c r="K2001">
        <v>12</v>
      </c>
      <c r="L2001" t="s">
        <v>83</v>
      </c>
      <c r="M2001" s="3">
        <v>33.67</v>
      </c>
      <c r="N2001" s="3">
        <v>38.89</v>
      </c>
      <c r="O2001" s="10" t="str">
        <f>TEXT(Inventory_Data[[#This Row],[Date]],"mmm")</f>
        <v>Dec</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6923-9A98-BC48-BFBE-016272F07BEF}">
  <sheetPr codeName="Sheet2"/>
  <dimension ref="B2:D87"/>
  <sheetViews>
    <sheetView workbookViewId="0">
      <selection activeCell="E10" sqref="E10"/>
    </sheetView>
  </sheetViews>
  <sheetFormatPr baseColWidth="10" defaultRowHeight="16" x14ac:dyDescent="0.2"/>
  <cols>
    <col min="2" max="2" width="3.28515625" customWidth="1"/>
    <col min="3" max="3" width="12.7109375" customWidth="1"/>
    <col min="4" max="4" width="20.85546875" customWidth="1"/>
  </cols>
  <sheetData>
    <row r="2" spans="2:4" x14ac:dyDescent="0.2">
      <c r="B2" s="7"/>
    </row>
    <row r="6" spans="2:4" x14ac:dyDescent="0.2">
      <c r="C6" s="8" t="s">
        <v>1</v>
      </c>
      <c r="D6" t="s">
        <v>199</v>
      </c>
    </row>
    <row r="7" spans="2:4" x14ac:dyDescent="0.2">
      <c r="C7" t="s">
        <v>106</v>
      </c>
      <c r="D7" s="13">
        <v>33</v>
      </c>
    </row>
    <row r="8" spans="2:4" x14ac:dyDescent="0.2">
      <c r="C8" t="s">
        <v>71</v>
      </c>
      <c r="D8" s="13">
        <v>29</v>
      </c>
    </row>
    <row r="9" spans="2:4" x14ac:dyDescent="0.2">
      <c r="C9" t="s">
        <v>166</v>
      </c>
      <c r="D9" s="13">
        <v>27</v>
      </c>
    </row>
    <row r="10" spans="2:4" x14ac:dyDescent="0.2">
      <c r="C10" t="s">
        <v>152</v>
      </c>
      <c r="D10" s="13">
        <v>23</v>
      </c>
    </row>
    <row r="11" spans="2:4" x14ac:dyDescent="0.2">
      <c r="C11" t="s">
        <v>162</v>
      </c>
      <c r="D11" s="13">
        <v>28</v>
      </c>
    </row>
    <row r="12" spans="2:4" x14ac:dyDescent="0.2">
      <c r="C12" t="s">
        <v>73</v>
      </c>
      <c r="D12" s="13">
        <v>24</v>
      </c>
    </row>
    <row r="13" spans="2:4" x14ac:dyDescent="0.2">
      <c r="C13" t="s">
        <v>178</v>
      </c>
      <c r="D13" s="13">
        <v>22</v>
      </c>
    </row>
    <row r="14" spans="2:4" x14ac:dyDescent="0.2">
      <c r="C14" t="s">
        <v>14</v>
      </c>
      <c r="D14" s="13">
        <v>30</v>
      </c>
    </row>
    <row r="15" spans="2:4" x14ac:dyDescent="0.2">
      <c r="C15" t="s">
        <v>19</v>
      </c>
      <c r="D15" s="13">
        <v>26</v>
      </c>
    </row>
    <row r="16" spans="2:4" x14ac:dyDescent="0.2">
      <c r="C16" t="s">
        <v>132</v>
      </c>
      <c r="D16" s="13">
        <v>19</v>
      </c>
    </row>
    <row r="17" spans="3:4" x14ac:dyDescent="0.2">
      <c r="C17" t="s">
        <v>112</v>
      </c>
      <c r="D17" s="13">
        <v>21</v>
      </c>
    </row>
    <row r="18" spans="3:4" x14ac:dyDescent="0.2">
      <c r="C18" t="s">
        <v>120</v>
      </c>
      <c r="D18" s="13">
        <v>29</v>
      </c>
    </row>
    <row r="19" spans="3:4" x14ac:dyDescent="0.2">
      <c r="C19" t="s">
        <v>22</v>
      </c>
      <c r="D19" s="13">
        <v>27</v>
      </c>
    </row>
    <row r="20" spans="3:4" x14ac:dyDescent="0.2">
      <c r="C20" t="s">
        <v>94</v>
      </c>
      <c r="D20" s="13">
        <v>25</v>
      </c>
    </row>
    <row r="21" spans="3:4" x14ac:dyDescent="0.2">
      <c r="C21" t="s">
        <v>184</v>
      </c>
      <c r="D21" s="13">
        <v>31</v>
      </c>
    </row>
    <row r="22" spans="3:4" x14ac:dyDescent="0.2">
      <c r="C22" t="s">
        <v>108</v>
      </c>
      <c r="D22" s="13">
        <v>19</v>
      </c>
    </row>
    <row r="23" spans="3:4" x14ac:dyDescent="0.2">
      <c r="C23" t="s">
        <v>128</v>
      </c>
      <c r="D23" s="13">
        <v>33</v>
      </c>
    </row>
    <row r="24" spans="3:4" x14ac:dyDescent="0.2">
      <c r="C24" t="s">
        <v>130</v>
      </c>
      <c r="D24" s="13">
        <v>23</v>
      </c>
    </row>
    <row r="25" spans="3:4" x14ac:dyDescent="0.2">
      <c r="C25" t="s">
        <v>170</v>
      </c>
      <c r="D25" s="13">
        <v>29</v>
      </c>
    </row>
    <row r="26" spans="3:4" x14ac:dyDescent="0.2">
      <c r="C26" t="s">
        <v>84</v>
      </c>
      <c r="D26" s="13">
        <v>24</v>
      </c>
    </row>
    <row r="27" spans="3:4" x14ac:dyDescent="0.2">
      <c r="C27" t="s">
        <v>192</v>
      </c>
      <c r="D27" s="13">
        <v>23</v>
      </c>
    </row>
    <row r="28" spans="3:4" x14ac:dyDescent="0.2">
      <c r="C28" t="s">
        <v>144</v>
      </c>
      <c r="D28" s="13">
        <v>20</v>
      </c>
    </row>
    <row r="29" spans="3:4" x14ac:dyDescent="0.2">
      <c r="C29" t="s">
        <v>86</v>
      </c>
      <c r="D29" s="13">
        <v>25</v>
      </c>
    </row>
    <row r="30" spans="3:4" x14ac:dyDescent="0.2">
      <c r="C30" t="s">
        <v>146</v>
      </c>
      <c r="D30" s="13">
        <v>28</v>
      </c>
    </row>
    <row r="31" spans="3:4" x14ac:dyDescent="0.2">
      <c r="C31" t="s">
        <v>75</v>
      </c>
      <c r="D31" s="13">
        <v>29</v>
      </c>
    </row>
    <row r="32" spans="3:4" x14ac:dyDescent="0.2">
      <c r="C32" t="s">
        <v>61</v>
      </c>
      <c r="D32" s="13">
        <v>33</v>
      </c>
    </row>
    <row r="33" spans="3:4" x14ac:dyDescent="0.2">
      <c r="C33" t="s">
        <v>90</v>
      </c>
      <c r="D33" s="13">
        <v>22</v>
      </c>
    </row>
    <row r="34" spans="3:4" x14ac:dyDescent="0.2">
      <c r="C34" t="s">
        <v>96</v>
      </c>
      <c r="D34" s="13">
        <v>19</v>
      </c>
    </row>
    <row r="35" spans="3:4" x14ac:dyDescent="0.2">
      <c r="C35" t="s">
        <v>164</v>
      </c>
      <c r="D35" s="13">
        <v>30</v>
      </c>
    </row>
    <row r="36" spans="3:4" x14ac:dyDescent="0.2">
      <c r="C36" t="s">
        <v>46</v>
      </c>
      <c r="D36" s="13">
        <v>22</v>
      </c>
    </row>
    <row r="37" spans="3:4" x14ac:dyDescent="0.2">
      <c r="C37" t="s">
        <v>190</v>
      </c>
      <c r="D37" s="13">
        <v>15</v>
      </c>
    </row>
    <row r="38" spans="3:4" x14ac:dyDescent="0.2">
      <c r="C38" t="s">
        <v>154</v>
      </c>
      <c r="D38" s="13">
        <v>30</v>
      </c>
    </row>
    <row r="39" spans="3:4" x14ac:dyDescent="0.2">
      <c r="C39" t="s">
        <v>92</v>
      </c>
      <c r="D39" s="13">
        <v>37</v>
      </c>
    </row>
    <row r="40" spans="3:4" x14ac:dyDescent="0.2">
      <c r="C40" t="s">
        <v>25</v>
      </c>
      <c r="D40" s="13">
        <v>20</v>
      </c>
    </row>
    <row r="41" spans="3:4" x14ac:dyDescent="0.2">
      <c r="C41" t="s">
        <v>122</v>
      </c>
      <c r="D41" s="13">
        <v>26</v>
      </c>
    </row>
    <row r="42" spans="3:4" x14ac:dyDescent="0.2">
      <c r="C42" t="s">
        <v>188</v>
      </c>
      <c r="D42" s="13">
        <v>29</v>
      </c>
    </row>
    <row r="43" spans="3:4" x14ac:dyDescent="0.2">
      <c r="C43" t="s">
        <v>156</v>
      </c>
      <c r="D43" s="13">
        <v>28</v>
      </c>
    </row>
    <row r="44" spans="3:4" x14ac:dyDescent="0.2">
      <c r="C44" t="s">
        <v>30</v>
      </c>
      <c r="D44" s="13">
        <v>28</v>
      </c>
    </row>
    <row r="45" spans="3:4" x14ac:dyDescent="0.2">
      <c r="C45" t="s">
        <v>98</v>
      </c>
      <c r="D45" s="13">
        <v>29</v>
      </c>
    </row>
    <row r="46" spans="3:4" x14ac:dyDescent="0.2">
      <c r="C46" t="s">
        <v>172</v>
      </c>
      <c r="D46" s="13">
        <v>26</v>
      </c>
    </row>
    <row r="47" spans="3:4" x14ac:dyDescent="0.2">
      <c r="C47" t="s">
        <v>114</v>
      </c>
      <c r="D47" s="13">
        <v>17</v>
      </c>
    </row>
    <row r="48" spans="3:4" x14ac:dyDescent="0.2">
      <c r="C48" t="s">
        <v>160</v>
      </c>
      <c r="D48" s="13">
        <v>26</v>
      </c>
    </row>
    <row r="49" spans="3:4" x14ac:dyDescent="0.2">
      <c r="C49" t="s">
        <v>78</v>
      </c>
      <c r="D49" s="13">
        <v>17</v>
      </c>
    </row>
    <row r="50" spans="3:4" x14ac:dyDescent="0.2">
      <c r="C50" t="s">
        <v>134</v>
      </c>
      <c r="D50" s="13">
        <v>24</v>
      </c>
    </row>
    <row r="51" spans="3:4" x14ac:dyDescent="0.2">
      <c r="C51" t="s">
        <v>64</v>
      </c>
      <c r="D51" s="13">
        <v>24</v>
      </c>
    </row>
    <row r="52" spans="3:4" x14ac:dyDescent="0.2">
      <c r="C52" t="s">
        <v>136</v>
      </c>
      <c r="D52" s="13">
        <v>24</v>
      </c>
    </row>
    <row r="53" spans="3:4" x14ac:dyDescent="0.2">
      <c r="C53" t="s">
        <v>148</v>
      </c>
      <c r="D53" s="13">
        <v>32</v>
      </c>
    </row>
    <row r="54" spans="3:4" x14ac:dyDescent="0.2">
      <c r="C54" t="s">
        <v>186</v>
      </c>
      <c r="D54" s="13">
        <v>24</v>
      </c>
    </row>
    <row r="55" spans="3:4" x14ac:dyDescent="0.2">
      <c r="C55" t="s">
        <v>50</v>
      </c>
      <c r="D55" s="13">
        <v>27</v>
      </c>
    </row>
    <row r="56" spans="3:4" x14ac:dyDescent="0.2">
      <c r="C56" t="s">
        <v>182</v>
      </c>
      <c r="D56" s="13">
        <v>21</v>
      </c>
    </row>
    <row r="57" spans="3:4" x14ac:dyDescent="0.2">
      <c r="C57" t="s">
        <v>100</v>
      </c>
      <c r="D57" s="13">
        <v>32</v>
      </c>
    </row>
    <row r="58" spans="3:4" x14ac:dyDescent="0.2">
      <c r="C58" t="s">
        <v>158</v>
      </c>
      <c r="D58" s="13">
        <v>20</v>
      </c>
    </row>
    <row r="59" spans="3:4" x14ac:dyDescent="0.2">
      <c r="C59" t="s">
        <v>116</v>
      </c>
      <c r="D59" s="13">
        <v>25</v>
      </c>
    </row>
    <row r="60" spans="3:4" x14ac:dyDescent="0.2">
      <c r="C60" t="s">
        <v>124</v>
      </c>
      <c r="D60" s="13">
        <v>25</v>
      </c>
    </row>
    <row r="61" spans="3:4" x14ac:dyDescent="0.2">
      <c r="C61" t="s">
        <v>140</v>
      </c>
      <c r="D61" s="13">
        <v>21</v>
      </c>
    </row>
    <row r="62" spans="3:4" x14ac:dyDescent="0.2">
      <c r="C62" t="s">
        <v>150</v>
      </c>
      <c r="D62" s="13">
        <v>24</v>
      </c>
    </row>
    <row r="63" spans="3:4" x14ac:dyDescent="0.2">
      <c r="C63" t="s">
        <v>110</v>
      </c>
      <c r="D63" s="13">
        <v>22</v>
      </c>
    </row>
    <row r="64" spans="3:4" x14ac:dyDescent="0.2">
      <c r="C64" t="s">
        <v>142</v>
      </c>
      <c r="D64" s="13">
        <v>23</v>
      </c>
    </row>
    <row r="65" spans="3:4" x14ac:dyDescent="0.2">
      <c r="C65" t="s">
        <v>54</v>
      </c>
      <c r="D65" s="13">
        <v>28</v>
      </c>
    </row>
    <row r="66" spans="3:4" x14ac:dyDescent="0.2">
      <c r="C66" t="s">
        <v>67</v>
      </c>
      <c r="D66" s="13">
        <v>30</v>
      </c>
    </row>
    <row r="67" spans="3:4" x14ac:dyDescent="0.2">
      <c r="C67" t="s">
        <v>81</v>
      </c>
      <c r="D67" s="13">
        <v>23</v>
      </c>
    </row>
    <row r="68" spans="3:4" x14ac:dyDescent="0.2">
      <c r="C68" t="s">
        <v>174</v>
      </c>
      <c r="D68" s="13">
        <v>39</v>
      </c>
    </row>
    <row r="69" spans="3:4" x14ac:dyDescent="0.2">
      <c r="C69" t="s">
        <v>57</v>
      </c>
      <c r="D69" s="13">
        <v>28</v>
      </c>
    </row>
    <row r="70" spans="3:4" x14ac:dyDescent="0.2">
      <c r="C70" t="s">
        <v>102</v>
      </c>
      <c r="D70" s="13">
        <v>25</v>
      </c>
    </row>
    <row r="71" spans="3:4" x14ac:dyDescent="0.2">
      <c r="C71" t="s">
        <v>88</v>
      </c>
      <c r="D71" s="13">
        <v>17</v>
      </c>
    </row>
    <row r="72" spans="3:4" x14ac:dyDescent="0.2">
      <c r="C72" t="s">
        <v>176</v>
      </c>
      <c r="D72" s="13">
        <v>23</v>
      </c>
    </row>
    <row r="73" spans="3:4" x14ac:dyDescent="0.2">
      <c r="C73" t="s">
        <v>32</v>
      </c>
      <c r="D73" s="13">
        <v>21</v>
      </c>
    </row>
    <row r="74" spans="3:4" x14ac:dyDescent="0.2">
      <c r="C74" t="s">
        <v>104</v>
      </c>
      <c r="D74" s="13">
        <v>22</v>
      </c>
    </row>
    <row r="75" spans="3:4" x14ac:dyDescent="0.2">
      <c r="C75" t="s">
        <v>69</v>
      </c>
      <c r="D75" s="13">
        <v>22</v>
      </c>
    </row>
    <row r="76" spans="3:4" x14ac:dyDescent="0.2">
      <c r="C76" t="s">
        <v>59</v>
      </c>
      <c r="D76" s="13">
        <v>25</v>
      </c>
    </row>
    <row r="77" spans="3:4" x14ac:dyDescent="0.2">
      <c r="C77" t="s">
        <v>118</v>
      </c>
      <c r="D77" s="13">
        <v>19</v>
      </c>
    </row>
    <row r="78" spans="3:4" x14ac:dyDescent="0.2">
      <c r="C78" t="s">
        <v>180</v>
      </c>
      <c r="D78" s="13">
        <v>26</v>
      </c>
    </row>
    <row r="79" spans="3:4" x14ac:dyDescent="0.2">
      <c r="C79" t="s">
        <v>194</v>
      </c>
      <c r="D79" s="13">
        <v>20</v>
      </c>
    </row>
    <row r="80" spans="3:4" x14ac:dyDescent="0.2">
      <c r="C80" t="s">
        <v>37</v>
      </c>
      <c r="D80" s="13">
        <v>27</v>
      </c>
    </row>
    <row r="81" spans="3:4" x14ac:dyDescent="0.2">
      <c r="C81" t="s">
        <v>126</v>
      </c>
      <c r="D81" s="13">
        <v>30</v>
      </c>
    </row>
    <row r="82" spans="3:4" x14ac:dyDescent="0.2">
      <c r="C82" t="s">
        <v>40</v>
      </c>
      <c r="D82" s="13">
        <v>24</v>
      </c>
    </row>
    <row r="83" spans="3:4" x14ac:dyDescent="0.2">
      <c r="C83" t="s">
        <v>138</v>
      </c>
      <c r="D83" s="13">
        <v>19</v>
      </c>
    </row>
    <row r="84" spans="3:4" x14ac:dyDescent="0.2">
      <c r="C84" t="s">
        <v>168</v>
      </c>
      <c r="D84" s="13">
        <v>23</v>
      </c>
    </row>
    <row r="85" spans="3:4" x14ac:dyDescent="0.2">
      <c r="C85" t="s">
        <v>43</v>
      </c>
      <c r="D85" s="13">
        <v>20</v>
      </c>
    </row>
    <row r="86" spans="3:4" x14ac:dyDescent="0.2">
      <c r="C86" t="s">
        <v>196</v>
      </c>
      <c r="D86" s="13">
        <v>20</v>
      </c>
    </row>
    <row r="87" spans="3:4" x14ac:dyDescent="0.2">
      <c r="C87" t="s">
        <v>198</v>
      </c>
      <c r="D87" s="13">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PivotTables</vt:lpstr>
      <vt:lpstr>Data</vt:lpstr>
      <vt:lpstr>Count of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 zafar</dc:creator>
  <cp:lastModifiedBy>saba zafar</cp:lastModifiedBy>
  <dcterms:created xsi:type="dcterms:W3CDTF">2026-04-01T05:32:45Z</dcterms:created>
  <dcterms:modified xsi:type="dcterms:W3CDTF">2026-04-12T05:13:58Z</dcterms:modified>
</cp:coreProperties>
</file>